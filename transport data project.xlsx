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77199c851e3e95f/Documents/"/>
    </mc:Choice>
  </mc:AlternateContent>
  <xr:revisionPtr revIDLastSave="587" documentId="13_ncr:1_{7C00C47B-5F6A-4B36-A5C5-36480BE5FE7D}" xr6:coauthVersionLast="47" xr6:coauthVersionMax="47" xr10:uidLastSave="{7A782F11-948E-4E54-AC5B-8191B1439158}"/>
  <bookViews>
    <workbookView xWindow="-108" yWindow="-108" windowWidth="23256" windowHeight="12456" activeTab="2" xr2:uid="{00000000-000D-0000-FFFF-FFFF00000000}"/>
  </bookViews>
  <sheets>
    <sheet name="Requirements" sheetId="2" r:id="rId1"/>
    <sheet name="Data" sheetId="1" r:id="rId2"/>
    <sheet name="insides" sheetId="6" r:id="rId3"/>
  </sheets>
  <definedNames>
    <definedName name="_xlnm._FilterDatabase" localSheetId="1" hidden="1">Data!$A$1:$X$1809</definedName>
    <definedName name="_xlnm._FilterDatabase" localSheetId="0" hidden="1">Requirements!$C$10:$C$64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6" l="1"/>
  <c r="Z24" i="1"/>
  <c r="Z39" i="1"/>
  <c r="Z40" i="1"/>
  <c r="Z56" i="1"/>
  <c r="Z64" i="1"/>
  <c r="Z72" i="1"/>
  <c r="Z89" i="1"/>
  <c r="Z104" i="1"/>
  <c r="Z109" i="1"/>
  <c r="Z128" i="1"/>
  <c r="Z168" i="1"/>
  <c r="Z188" i="1"/>
  <c r="Z198" i="1"/>
  <c r="Z200" i="1"/>
  <c r="Z263" i="1"/>
  <c r="Z286" i="1"/>
  <c r="Z312" i="1"/>
  <c r="Z318" i="1"/>
  <c r="Z326" i="1"/>
  <c r="Z331" i="1"/>
  <c r="Z376" i="1"/>
  <c r="Z408" i="1"/>
  <c r="Z416" i="1"/>
  <c r="Z448" i="1"/>
  <c r="Z469" i="1"/>
  <c r="Z472" i="1"/>
  <c r="Z487" i="1"/>
  <c r="Z488" i="1"/>
  <c r="Z558" i="1"/>
  <c r="Z647" i="1"/>
  <c r="Z654" i="1"/>
  <c r="Z728" i="1"/>
  <c r="Z760" i="1"/>
  <c r="Z766" i="1"/>
  <c r="Z800" i="1"/>
  <c r="Z814" i="1"/>
  <c r="Z815" i="1"/>
  <c r="Z834" i="1"/>
  <c r="Z839" i="1"/>
  <c r="Z856" i="1"/>
  <c r="Z880" i="1"/>
  <c r="Z936" i="1"/>
  <c r="Z967" i="1"/>
  <c r="Z984" i="1"/>
  <c r="Z987" i="1"/>
  <c r="Z1024" i="1"/>
  <c r="Z1112" i="1"/>
  <c r="Z1160" i="1"/>
  <c r="Z1166" i="1"/>
  <c r="Z1176" i="1"/>
  <c r="Z1240" i="1"/>
  <c r="Z1279" i="1"/>
  <c r="Z1288" i="1"/>
  <c r="Z1352" i="1"/>
  <c r="Z1368" i="1"/>
  <c r="Z1384" i="1"/>
  <c r="Z1416" i="1"/>
  <c r="Z1432" i="1"/>
  <c r="Z1472" i="1"/>
  <c r="Z1486" i="1"/>
  <c r="Z1504" i="1"/>
  <c r="Z1536" i="1"/>
  <c r="Z1544" i="1"/>
  <c r="Z1550" i="1"/>
  <c r="Z1576" i="1"/>
  <c r="Z1621" i="1"/>
  <c r="Z1622" i="1"/>
  <c r="Z1655" i="1"/>
  <c r="Z1695" i="1"/>
  <c r="Z1720" i="1"/>
  <c r="Z1755" i="1"/>
  <c r="Y2" i="1"/>
  <c r="Y3" i="1"/>
  <c r="Z3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Z31" i="1" s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Y40" i="1"/>
  <c r="Y41" i="1"/>
  <c r="Z41" i="1" s="1"/>
  <c r="Y42" i="1"/>
  <c r="Z42" i="1" s="1"/>
  <c r="Y43" i="1"/>
  <c r="Z43" i="1" s="1"/>
  <c r="Y44" i="1"/>
  <c r="Z44" i="1" s="1"/>
  <c r="Y45" i="1"/>
  <c r="Z45" i="1" s="1"/>
  <c r="Y46" i="1"/>
  <c r="Z46" i="1" s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Y57" i="1"/>
  <c r="Z57" i="1" s="1"/>
  <c r="Y58" i="1"/>
  <c r="Z58" i="1" s="1"/>
  <c r="Y59" i="1"/>
  <c r="Z59" i="1" s="1"/>
  <c r="Y60" i="1"/>
  <c r="Z60" i="1" s="1"/>
  <c r="Y61" i="1"/>
  <c r="Z61" i="1" s="1"/>
  <c r="Y62" i="1"/>
  <c r="Z62" i="1" s="1"/>
  <c r="Y63" i="1"/>
  <c r="Z63" i="1" s="1"/>
  <c r="Y64" i="1"/>
  <c r="Y65" i="1"/>
  <c r="Z65" i="1" s="1"/>
  <c r="Y66" i="1"/>
  <c r="Z66" i="1" s="1"/>
  <c r="Y67" i="1"/>
  <c r="Z67" i="1" s="1"/>
  <c r="Y68" i="1"/>
  <c r="Z68" i="1" s="1"/>
  <c r="Y69" i="1"/>
  <c r="Z69" i="1" s="1"/>
  <c r="Y70" i="1"/>
  <c r="Z70" i="1" s="1"/>
  <c r="Y71" i="1"/>
  <c r="Z71" i="1" s="1"/>
  <c r="Y72" i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Z86" i="1" s="1"/>
  <c r="Y87" i="1"/>
  <c r="Z87" i="1" s="1"/>
  <c r="Y88" i="1"/>
  <c r="Z88" i="1" s="1"/>
  <c r="Y89" i="1"/>
  <c r="Y90" i="1"/>
  <c r="Z90" i="1" s="1"/>
  <c r="Y91" i="1"/>
  <c r="Z91" i="1" s="1"/>
  <c r="Y92" i="1"/>
  <c r="Z92" i="1" s="1"/>
  <c r="Y93" i="1"/>
  <c r="Z93" i="1" s="1"/>
  <c r="Y94" i="1"/>
  <c r="Z94" i="1" s="1"/>
  <c r="Y95" i="1"/>
  <c r="Z95" i="1" s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  <c r="Y102" i="1"/>
  <c r="Z102" i="1" s="1"/>
  <c r="Y103" i="1"/>
  <c r="Z103" i="1" s="1"/>
  <c r="Y104" i="1"/>
  <c r="Y105" i="1"/>
  <c r="Z105" i="1" s="1"/>
  <c r="Y106" i="1"/>
  <c r="Z106" i="1" s="1"/>
  <c r="Y107" i="1"/>
  <c r="Z107" i="1" s="1"/>
  <c r="Y108" i="1"/>
  <c r="Z108" i="1" s="1"/>
  <c r="Y109" i="1"/>
  <c r="Y110" i="1"/>
  <c r="Z110" i="1" s="1"/>
  <c r="Y111" i="1"/>
  <c r="Z111" i="1" s="1"/>
  <c r="Y112" i="1"/>
  <c r="Z112" i="1" s="1"/>
  <c r="Y113" i="1"/>
  <c r="Z113" i="1" s="1"/>
  <c r="Y114" i="1"/>
  <c r="Z114" i="1" s="1"/>
  <c r="Y115" i="1"/>
  <c r="Z115" i="1" s="1"/>
  <c r="Y116" i="1"/>
  <c r="Z116" i="1" s="1"/>
  <c r="Y117" i="1"/>
  <c r="Z117" i="1" s="1"/>
  <c r="Y118" i="1"/>
  <c r="Z118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26" i="1"/>
  <c r="Z126" i="1" s="1"/>
  <c r="Y127" i="1"/>
  <c r="Z127" i="1" s="1"/>
  <c r="Y128" i="1"/>
  <c r="Y129" i="1"/>
  <c r="Z129" i="1" s="1"/>
  <c r="Y130" i="1"/>
  <c r="Z130" i="1" s="1"/>
  <c r="Y131" i="1"/>
  <c r="Z131" i="1" s="1"/>
  <c r="Y132" i="1"/>
  <c r="Z132" i="1" s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Y144" i="1"/>
  <c r="Z144" i="1" s="1"/>
  <c r="Y145" i="1"/>
  <c r="Z145" i="1" s="1"/>
  <c r="Y146" i="1"/>
  <c r="Z146" i="1" s="1"/>
  <c r="Y147" i="1"/>
  <c r="Z147" i="1" s="1"/>
  <c r="Y148" i="1"/>
  <c r="Z148" i="1" s="1"/>
  <c r="Y149" i="1"/>
  <c r="Z149" i="1" s="1"/>
  <c r="Y150" i="1"/>
  <c r="Z150" i="1" s="1"/>
  <c r="Y151" i="1"/>
  <c r="Z151" i="1" s="1"/>
  <c r="Y152" i="1"/>
  <c r="Z152" i="1" s="1"/>
  <c r="Y153" i="1"/>
  <c r="Z153" i="1" s="1"/>
  <c r="Y154" i="1"/>
  <c r="Z154" i="1" s="1"/>
  <c r="Y155" i="1"/>
  <c r="Z155" i="1" s="1"/>
  <c r="Y156" i="1"/>
  <c r="Z156" i="1" s="1"/>
  <c r="Y157" i="1"/>
  <c r="Z157" i="1" s="1"/>
  <c r="Y158" i="1"/>
  <c r="Z158" i="1" s="1"/>
  <c r="Y159" i="1"/>
  <c r="Z159" i="1" s="1"/>
  <c r="Y160" i="1"/>
  <c r="Z160" i="1" s="1"/>
  <c r="Y161" i="1"/>
  <c r="Z161" i="1" s="1"/>
  <c r="Y162" i="1"/>
  <c r="Z162" i="1" s="1"/>
  <c r="Y163" i="1"/>
  <c r="Z163" i="1" s="1"/>
  <c r="Y164" i="1"/>
  <c r="Z164" i="1" s="1"/>
  <c r="Y165" i="1"/>
  <c r="Z165" i="1" s="1"/>
  <c r="Y166" i="1"/>
  <c r="Z166" i="1" s="1"/>
  <c r="Y167" i="1"/>
  <c r="Z167" i="1" s="1"/>
  <c r="Y168" i="1"/>
  <c r="Y169" i="1"/>
  <c r="Z169" i="1" s="1"/>
  <c r="Y170" i="1"/>
  <c r="Z170" i="1" s="1"/>
  <c r="Y171" i="1"/>
  <c r="Z171" i="1" s="1"/>
  <c r="Y172" i="1"/>
  <c r="Z172" i="1" s="1"/>
  <c r="Y173" i="1"/>
  <c r="Z173" i="1" s="1"/>
  <c r="Y174" i="1"/>
  <c r="Z174" i="1" s="1"/>
  <c r="Y175" i="1"/>
  <c r="Z175" i="1" s="1"/>
  <c r="Y176" i="1"/>
  <c r="Z176" i="1" s="1"/>
  <c r="Y177" i="1"/>
  <c r="Z177" i="1" s="1"/>
  <c r="Y178" i="1"/>
  <c r="Z178" i="1" s="1"/>
  <c r="Y179" i="1"/>
  <c r="Z179" i="1" s="1"/>
  <c r="Y180" i="1"/>
  <c r="Z180" i="1" s="1"/>
  <c r="Y181" i="1"/>
  <c r="Z181" i="1" s="1"/>
  <c r="Y182" i="1"/>
  <c r="Z182" i="1" s="1"/>
  <c r="Y183" i="1"/>
  <c r="Z183" i="1" s="1"/>
  <c r="Y184" i="1"/>
  <c r="Z184" i="1" s="1"/>
  <c r="Y185" i="1"/>
  <c r="Z185" i="1" s="1"/>
  <c r="Y186" i="1"/>
  <c r="Z186" i="1" s="1"/>
  <c r="Y187" i="1"/>
  <c r="Z187" i="1" s="1"/>
  <c r="Y188" i="1"/>
  <c r="Y189" i="1"/>
  <c r="Z189" i="1" s="1"/>
  <c r="Y190" i="1"/>
  <c r="Z190" i="1" s="1"/>
  <c r="Y191" i="1"/>
  <c r="Z191" i="1" s="1"/>
  <c r="Y192" i="1"/>
  <c r="Z192" i="1" s="1"/>
  <c r="Y193" i="1"/>
  <c r="Z193" i="1" s="1"/>
  <c r="Y194" i="1"/>
  <c r="Z194" i="1" s="1"/>
  <c r="Y195" i="1"/>
  <c r="Z195" i="1" s="1"/>
  <c r="Y196" i="1"/>
  <c r="Z196" i="1" s="1"/>
  <c r="Y197" i="1"/>
  <c r="Z197" i="1" s="1"/>
  <c r="Y198" i="1"/>
  <c r="Y199" i="1"/>
  <c r="Z199" i="1" s="1"/>
  <c r="Y200" i="1"/>
  <c r="Y201" i="1"/>
  <c r="Z201" i="1" s="1"/>
  <c r="Y202" i="1"/>
  <c r="Z202" i="1" s="1"/>
  <c r="Y203" i="1"/>
  <c r="Z203" i="1" s="1"/>
  <c r="Y204" i="1"/>
  <c r="Z204" i="1" s="1"/>
  <c r="Y205" i="1"/>
  <c r="Z205" i="1" s="1"/>
  <c r="Y206" i="1"/>
  <c r="Z206" i="1" s="1"/>
  <c r="Y207" i="1"/>
  <c r="Z207" i="1" s="1"/>
  <c r="Y208" i="1"/>
  <c r="Z208" i="1" s="1"/>
  <c r="Y209" i="1"/>
  <c r="Z209" i="1" s="1"/>
  <c r="Y210" i="1"/>
  <c r="Z210" i="1" s="1"/>
  <c r="Y211" i="1"/>
  <c r="Z211" i="1" s="1"/>
  <c r="Y212" i="1"/>
  <c r="Z212" i="1" s="1"/>
  <c r="Y213" i="1"/>
  <c r="Z213" i="1" s="1"/>
  <c r="Y214" i="1"/>
  <c r="Z214" i="1" s="1"/>
  <c r="Y215" i="1"/>
  <c r="Z215" i="1" s="1"/>
  <c r="Y216" i="1"/>
  <c r="Z216" i="1" s="1"/>
  <c r="Y217" i="1"/>
  <c r="Z217" i="1" s="1"/>
  <c r="Y218" i="1"/>
  <c r="Z218" i="1" s="1"/>
  <c r="Y219" i="1"/>
  <c r="Z219" i="1" s="1"/>
  <c r="Y220" i="1"/>
  <c r="Z220" i="1" s="1"/>
  <c r="Y221" i="1"/>
  <c r="Z221" i="1" s="1"/>
  <c r="Y222" i="1"/>
  <c r="Z222" i="1" s="1"/>
  <c r="Y223" i="1"/>
  <c r="Z223" i="1" s="1"/>
  <c r="Y224" i="1"/>
  <c r="Z224" i="1" s="1"/>
  <c r="Y225" i="1"/>
  <c r="Z225" i="1" s="1"/>
  <c r="Y226" i="1"/>
  <c r="Z226" i="1" s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Y247" i="1"/>
  <c r="Z247" i="1" s="1"/>
  <c r="Y248" i="1"/>
  <c r="Z248" i="1" s="1"/>
  <c r="Y249" i="1"/>
  <c r="Z249" i="1" s="1"/>
  <c r="Y250" i="1"/>
  <c r="Z250" i="1" s="1"/>
  <c r="Y251" i="1"/>
  <c r="Z251" i="1" s="1"/>
  <c r="Y252" i="1"/>
  <c r="Z252" i="1" s="1"/>
  <c r="Y253" i="1"/>
  <c r="Z253" i="1" s="1"/>
  <c r="Y254" i="1"/>
  <c r="Z254" i="1" s="1"/>
  <c r="Y255" i="1"/>
  <c r="Z255" i="1" s="1"/>
  <c r="Y256" i="1"/>
  <c r="Z256" i="1" s="1"/>
  <c r="Y257" i="1"/>
  <c r="Z257" i="1" s="1"/>
  <c r="Y258" i="1"/>
  <c r="Z258" i="1" s="1"/>
  <c r="Y259" i="1"/>
  <c r="Z259" i="1" s="1"/>
  <c r="Y260" i="1"/>
  <c r="Z260" i="1" s="1"/>
  <c r="Y261" i="1"/>
  <c r="Z261" i="1" s="1"/>
  <c r="Y262" i="1"/>
  <c r="Z262" i="1" s="1"/>
  <c r="Y263" i="1"/>
  <c r="Y264" i="1"/>
  <c r="Z264" i="1" s="1"/>
  <c r="Y265" i="1"/>
  <c r="Z265" i="1" s="1"/>
  <c r="Y266" i="1"/>
  <c r="Z266" i="1" s="1"/>
  <c r="Y267" i="1"/>
  <c r="Z267" i="1" s="1"/>
  <c r="Y268" i="1"/>
  <c r="Z268" i="1" s="1"/>
  <c r="Y269" i="1"/>
  <c r="Z269" i="1" s="1"/>
  <c r="Y270" i="1"/>
  <c r="Z270" i="1" s="1"/>
  <c r="Y271" i="1"/>
  <c r="Z271" i="1" s="1"/>
  <c r="Y272" i="1"/>
  <c r="Z272" i="1" s="1"/>
  <c r="Y273" i="1"/>
  <c r="Z273" i="1" s="1"/>
  <c r="Y274" i="1"/>
  <c r="Z274" i="1" s="1"/>
  <c r="Y275" i="1"/>
  <c r="Z275" i="1" s="1"/>
  <c r="Y276" i="1"/>
  <c r="Z276" i="1" s="1"/>
  <c r="Y277" i="1"/>
  <c r="Z277" i="1" s="1"/>
  <c r="Y278" i="1"/>
  <c r="Z278" i="1" s="1"/>
  <c r="Y279" i="1"/>
  <c r="Z279" i="1" s="1"/>
  <c r="Y280" i="1"/>
  <c r="Z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Y287" i="1"/>
  <c r="Z287" i="1" s="1"/>
  <c r="Y288" i="1"/>
  <c r="Z288" i="1" s="1"/>
  <c r="Y289" i="1"/>
  <c r="Z289" i="1" s="1"/>
  <c r="Y290" i="1"/>
  <c r="Z290" i="1" s="1"/>
  <c r="Y291" i="1"/>
  <c r="Z291" i="1" s="1"/>
  <c r="Y292" i="1"/>
  <c r="Z292" i="1" s="1"/>
  <c r="Y293" i="1"/>
  <c r="Z293" i="1" s="1"/>
  <c r="Y294" i="1"/>
  <c r="Z294" i="1" s="1"/>
  <c r="Y295" i="1"/>
  <c r="Z295" i="1" s="1"/>
  <c r="Y296" i="1"/>
  <c r="Z296" i="1" s="1"/>
  <c r="Y297" i="1"/>
  <c r="Z297" i="1" s="1"/>
  <c r="Y298" i="1"/>
  <c r="Z298" i="1" s="1"/>
  <c r="Y299" i="1"/>
  <c r="Z299" i="1" s="1"/>
  <c r="Y300" i="1"/>
  <c r="Z300" i="1" s="1"/>
  <c r="Y301" i="1"/>
  <c r="Z301" i="1" s="1"/>
  <c r="Y302" i="1"/>
  <c r="Z302" i="1" s="1"/>
  <c r="Y303" i="1"/>
  <c r="Z303" i="1" s="1"/>
  <c r="Y304" i="1"/>
  <c r="Z304" i="1" s="1"/>
  <c r="Y305" i="1"/>
  <c r="Z305" i="1" s="1"/>
  <c r="Y306" i="1"/>
  <c r="Z306" i="1" s="1"/>
  <c r="Y307" i="1"/>
  <c r="Z307" i="1" s="1"/>
  <c r="Y308" i="1"/>
  <c r="Z308" i="1" s="1"/>
  <c r="Y309" i="1"/>
  <c r="Z309" i="1" s="1"/>
  <c r="Y310" i="1"/>
  <c r="Z310" i="1" s="1"/>
  <c r="Y311" i="1"/>
  <c r="Z311" i="1" s="1"/>
  <c r="Y312" i="1"/>
  <c r="Y313" i="1"/>
  <c r="Z313" i="1" s="1"/>
  <c r="Y314" i="1"/>
  <c r="Z314" i="1" s="1"/>
  <c r="Y315" i="1"/>
  <c r="Z315" i="1" s="1"/>
  <c r="Y316" i="1"/>
  <c r="Z316" i="1" s="1"/>
  <c r="Y317" i="1"/>
  <c r="Z317" i="1" s="1"/>
  <c r="Y318" i="1"/>
  <c r="Y319" i="1"/>
  <c r="Z319" i="1" s="1"/>
  <c r="Y320" i="1"/>
  <c r="Z320" i="1" s="1"/>
  <c r="Y321" i="1"/>
  <c r="Z321" i="1" s="1"/>
  <c r="Y322" i="1"/>
  <c r="Z322" i="1" s="1"/>
  <c r="Y323" i="1"/>
  <c r="Z323" i="1" s="1"/>
  <c r="Y324" i="1"/>
  <c r="Z324" i="1" s="1"/>
  <c r="Y325" i="1"/>
  <c r="Z325" i="1" s="1"/>
  <c r="Y326" i="1"/>
  <c r="Y327" i="1"/>
  <c r="Z327" i="1" s="1"/>
  <c r="Y328" i="1"/>
  <c r="Z328" i="1" s="1"/>
  <c r="Y329" i="1"/>
  <c r="Z329" i="1" s="1"/>
  <c r="Y330" i="1"/>
  <c r="Z330" i="1" s="1"/>
  <c r="Y331" i="1"/>
  <c r="Y332" i="1"/>
  <c r="Z332" i="1" s="1"/>
  <c r="Y333" i="1"/>
  <c r="Z333" i="1" s="1"/>
  <c r="Y334" i="1"/>
  <c r="Z334" i="1" s="1"/>
  <c r="Y335" i="1"/>
  <c r="Z335" i="1" s="1"/>
  <c r="Y336" i="1"/>
  <c r="Z336" i="1" s="1"/>
  <c r="Y337" i="1"/>
  <c r="Z337" i="1" s="1"/>
  <c r="Y338" i="1"/>
  <c r="Z338" i="1" s="1"/>
  <c r="Y339" i="1"/>
  <c r="Z339" i="1" s="1"/>
  <c r="Y340" i="1"/>
  <c r="Z340" i="1" s="1"/>
  <c r="Y341" i="1"/>
  <c r="Z341" i="1" s="1"/>
  <c r="Y342" i="1"/>
  <c r="Z342" i="1" s="1"/>
  <c r="Y343" i="1"/>
  <c r="Z343" i="1" s="1"/>
  <c r="Y344" i="1"/>
  <c r="Z344" i="1" s="1"/>
  <c r="Y345" i="1"/>
  <c r="Z345" i="1" s="1"/>
  <c r="Y346" i="1"/>
  <c r="Z346" i="1" s="1"/>
  <c r="Y347" i="1"/>
  <c r="Z347" i="1" s="1"/>
  <c r="Y348" i="1"/>
  <c r="Z348" i="1" s="1"/>
  <c r="Y349" i="1"/>
  <c r="Z349" i="1" s="1"/>
  <c r="Y350" i="1"/>
  <c r="Z350" i="1" s="1"/>
  <c r="Y351" i="1"/>
  <c r="Z351" i="1" s="1"/>
  <c r="Y352" i="1"/>
  <c r="Z352" i="1" s="1"/>
  <c r="Y353" i="1"/>
  <c r="Z353" i="1" s="1"/>
  <c r="Y354" i="1"/>
  <c r="Z354" i="1" s="1"/>
  <c r="Y355" i="1"/>
  <c r="Z355" i="1" s="1"/>
  <c r="Y356" i="1"/>
  <c r="Z356" i="1" s="1"/>
  <c r="Y357" i="1"/>
  <c r="Z357" i="1" s="1"/>
  <c r="Y358" i="1"/>
  <c r="Z358" i="1" s="1"/>
  <c r="Y359" i="1"/>
  <c r="Z359" i="1" s="1"/>
  <c r="Y360" i="1"/>
  <c r="Z360" i="1" s="1"/>
  <c r="Y361" i="1"/>
  <c r="Z361" i="1" s="1"/>
  <c r="Y362" i="1"/>
  <c r="Z362" i="1" s="1"/>
  <c r="Y363" i="1"/>
  <c r="Z363" i="1" s="1"/>
  <c r="Y364" i="1"/>
  <c r="Z364" i="1" s="1"/>
  <c r="Y365" i="1"/>
  <c r="Z365" i="1" s="1"/>
  <c r="Y366" i="1"/>
  <c r="Z366" i="1" s="1"/>
  <c r="Y367" i="1"/>
  <c r="Z367" i="1" s="1"/>
  <c r="Y368" i="1"/>
  <c r="Z368" i="1" s="1"/>
  <c r="Y369" i="1"/>
  <c r="Z369" i="1" s="1"/>
  <c r="Y370" i="1"/>
  <c r="Z370" i="1" s="1"/>
  <c r="Y371" i="1"/>
  <c r="Z371" i="1" s="1"/>
  <c r="Y372" i="1"/>
  <c r="Z372" i="1" s="1"/>
  <c r="Y373" i="1"/>
  <c r="Z373" i="1" s="1"/>
  <c r="Y374" i="1"/>
  <c r="Z374" i="1" s="1"/>
  <c r="Y375" i="1"/>
  <c r="Z375" i="1" s="1"/>
  <c r="Y376" i="1"/>
  <c r="Y377" i="1"/>
  <c r="Z377" i="1" s="1"/>
  <c r="Y378" i="1"/>
  <c r="Z378" i="1" s="1"/>
  <c r="Y379" i="1"/>
  <c r="Z379" i="1" s="1"/>
  <c r="Y380" i="1"/>
  <c r="Z380" i="1" s="1"/>
  <c r="Y381" i="1"/>
  <c r="Z381" i="1" s="1"/>
  <c r="Y382" i="1"/>
  <c r="Z382" i="1" s="1"/>
  <c r="Y383" i="1"/>
  <c r="Z383" i="1" s="1"/>
  <c r="Y384" i="1"/>
  <c r="Z384" i="1" s="1"/>
  <c r="Y385" i="1"/>
  <c r="Z385" i="1" s="1"/>
  <c r="Y386" i="1"/>
  <c r="Z386" i="1" s="1"/>
  <c r="Y387" i="1"/>
  <c r="Z387" i="1" s="1"/>
  <c r="Y388" i="1"/>
  <c r="Z388" i="1" s="1"/>
  <c r="Y389" i="1"/>
  <c r="Z389" i="1" s="1"/>
  <c r="Y390" i="1"/>
  <c r="Z390" i="1" s="1"/>
  <c r="Y391" i="1"/>
  <c r="Z391" i="1" s="1"/>
  <c r="Y392" i="1"/>
  <c r="Z392" i="1" s="1"/>
  <c r="Y393" i="1"/>
  <c r="Z393" i="1" s="1"/>
  <c r="Y394" i="1"/>
  <c r="Z394" i="1" s="1"/>
  <c r="Y395" i="1"/>
  <c r="Z395" i="1" s="1"/>
  <c r="Y396" i="1"/>
  <c r="Z396" i="1" s="1"/>
  <c r="Y397" i="1"/>
  <c r="Z397" i="1" s="1"/>
  <c r="Y398" i="1"/>
  <c r="Z398" i="1" s="1"/>
  <c r="Y399" i="1"/>
  <c r="Z399" i="1" s="1"/>
  <c r="Y400" i="1"/>
  <c r="Z400" i="1" s="1"/>
  <c r="Y401" i="1"/>
  <c r="Z401" i="1" s="1"/>
  <c r="Y402" i="1"/>
  <c r="Z402" i="1" s="1"/>
  <c r="Y403" i="1"/>
  <c r="Z403" i="1" s="1"/>
  <c r="Y404" i="1"/>
  <c r="Z404" i="1" s="1"/>
  <c r="Y405" i="1"/>
  <c r="Z405" i="1" s="1"/>
  <c r="Y406" i="1"/>
  <c r="Z406" i="1" s="1"/>
  <c r="Y407" i="1"/>
  <c r="Z407" i="1" s="1"/>
  <c r="Y408" i="1"/>
  <c r="Y409" i="1"/>
  <c r="Z409" i="1" s="1"/>
  <c r="Y410" i="1"/>
  <c r="Z410" i="1" s="1"/>
  <c r="Y411" i="1"/>
  <c r="Z411" i="1" s="1"/>
  <c r="Y412" i="1"/>
  <c r="Z412" i="1" s="1"/>
  <c r="Y413" i="1"/>
  <c r="Z413" i="1" s="1"/>
  <c r="Y414" i="1"/>
  <c r="Z414" i="1" s="1"/>
  <c r="Y415" i="1"/>
  <c r="Z415" i="1" s="1"/>
  <c r="Y416" i="1"/>
  <c r="Y417" i="1"/>
  <c r="Z417" i="1" s="1"/>
  <c r="Y418" i="1"/>
  <c r="Z418" i="1" s="1"/>
  <c r="Y419" i="1"/>
  <c r="Z419" i="1" s="1"/>
  <c r="Y420" i="1"/>
  <c r="Z420" i="1" s="1"/>
  <c r="Y421" i="1"/>
  <c r="Z421" i="1" s="1"/>
  <c r="Y422" i="1"/>
  <c r="Z422" i="1" s="1"/>
  <c r="Y423" i="1"/>
  <c r="Z423" i="1" s="1"/>
  <c r="Y424" i="1"/>
  <c r="Z424" i="1" s="1"/>
  <c r="Y425" i="1"/>
  <c r="Z425" i="1" s="1"/>
  <c r="Y426" i="1"/>
  <c r="Z426" i="1" s="1"/>
  <c r="Y427" i="1"/>
  <c r="Z427" i="1" s="1"/>
  <c r="Y428" i="1"/>
  <c r="Z428" i="1" s="1"/>
  <c r="Y429" i="1"/>
  <c r="Z429" i="1" s="1"/>
  <c r="Y430" i="1"/>
  <c r="Z430" i="1" s="1"/>
  <c r="Y431" i="1"/>
  <c r="Z431" i="1" s="1"/>
  <c r="Y432" i="1"/>
  <c r="Z432" i="1" s="1"/>
  <c r="Y433" i="1"/>
  <c r="Z433" i="1" s="1"/>
  <c r="Y434" i="1"/>
  <c r="Z434" i="1" s="1"/>
  <c r="Y435" i="1"/>
  <c r="Z435" i="1" s="1"/>
  <c r="Y436" i="1"/>
  <c r="Z436" i="1" s="1"/>
  <c r="Y437" i="1"/>
  <c r="Z437" i="1" s="1"/>
  <c r="Y438" i="1"/>
  <c r="Z438" i="1" s="1"/>
  <c r="Y439" i="1"/>
  <c r="Z439" i="1" s="1"/>
  <c r="Y440" i="1"/>
  <c r="Z440" i="1" s="1"/>
  <c r="Y441" i="1"/>
  <c r="Z441" i="1" s="1"/>
  <c r="Y442" i="1"/>
  <c r="Z442" i="1" s="1"/>
  <c r="Y443" i="1"/>
  <c r="Z443" i="1" s="1"/>
  <c r="Y444" i="1"/>
  <c r="Z444" i="1" s="1"/>
  <c r="Y445" i="1"/>
  <c r="Z445" i="1" s="1"/>
  <c r="Y446" i="1"/>
  <c r="Z446" i="1" s="1"/>
  <c r="Y447" i="1"/>
  <c r="Z447" i="1" s="1"/>
  <c r="Y448" i="1"/>
  <c r="Y449" i="1"/>
  <c r="Z449" i="1" s="1"/>
  <c r="Y450" i="1"/>
  <c r="Z450" i="1" s="1"/>
  <c r="Y451" i="1"/>
  <c r="Z451" i="1" s="1"/>
  <c r="Y452" i="1"/>
  <c r="Z452" i="1" s="1"/>
  <c r="Y453" i="1"/>
  <c r="Z453" i="1" s="1"/>
  <c r="Y454" i="1"/>
  <c r="Z454" i="1" s="1"/>
  <c r="Y455" i="1"/>
  <c r="Z455" i="1" s="1"/>
  <c r="Y456" i="1"/>
  <c r="Z456" i="1" s="1"/>
  <c r="Y457" i="1"/>
  <c r="Z457" i="1" s="1"/>
  <c r="Y458" i="1"/>
  <c r="Z458" i="1" s="1"/>
  <c r="Y459" i="1"/>
  <c r="Z459" i="1" s="1"/>
  <c r="Y460" i="1"/>
  <c r="Z460" i="1" s="1"/>
  <c r="Y461" i="1"/>
  <c r="Z461" i="1" s="1"/>
  <c r="Y462" i="1"/>
  <c r="Z462" i="1" s="1"/>
  <c r="Y463" i="1"/>
  <c r="Z463" i="1" s="1"/>
  <c r="Y464" i="1"/>
  <c r="Z464" i="1" s="1"/>
  <c r="Y465" i="1"/>
  <c r="Z465" i="1" s="1"/>
  <c r="Y466" i="1"/>
  <c r="Z466" i="1" s="1"/>
  <c r="Y467" i="1"/>
  <c r="Z467" i="1" s="1"/>
  <c r="Y468" i="1"/>
  <c r="Z468" i="1" s="1"/>
  <c r="Y469" i="1"/>
  <c r="Y470" i="1"/>
  <c r="Z470" i="1" s="1"/>
  <c r="Y471" i="1"/>
  <c r="Z471" i="1" s="1"/>
  <c r="Y472" i="1"/>
  <c r="Y473" i="1"/>
  <c r="Z473" i="1" s="1"/>
  <c r="Y474" i="1"/>
  <c r="Z474" i="1" s="1"/>
  <c r="Y475" i="1"/>
  <c r="Z475" i="1" s="1"/>
  <c r="Y476" i="1"/>
  <c r="Z476" i="1" s="1"/>
  <c r="Y477" i="1"/>
  <c r="Z477" i="1" s="1"/>
  <c r="Y478" i="1"/>
  <c r="Z478" i="1" s="1"/>
  <c r="Y479" i="1"/>
  <c r="Z479" i="1" s="1"/>
  <c r="Y480" i="1"/>
  <c r="Z480" i="1" s="1"/>
  <c r="Y481" i="1"/>
  <c r="Z481" i="1" s="1"/>
  <c r="Y482" i="1"/>
  <c r="Z482" i="1" s="1"/>
  <c r="Y483" i="1"/>
  <c r="Z483" i="1" s="1"/>
  <c r="Y484" i="1"/>
  <c r="Z484" i="1" s="1"/>
  <c r="Y485" i="1"/>
  <c r="Z485" i="1" s="1"/>
  <c r="Y486" i="1"/>
  <c r="Z486" i="1" s="1"/>
  <c r="Y487" i="1"/>
  <c r="Y488" i="1"/>
  <c r="Y489" i="1"/>
  <c r="Z489" i="1" s="1"/>
  <c r="Y490" i="1"/>
  <c r="Z490" i="1" s="1"/>
  <c r="Y491" i="1"/>
  <c r="Z491" i="1" s="1"/>
  <c r="Y492" i="1"/>
  <c r="Z492" i="1" s="1"/>
  <c r="Y493" i="1"/>
  <c r="Z493" i="1" s="1"/>
  <c r="Y494" i="1"/>
  <c r="Z494" i="1" s="1"/>
  <c r="Y495" i="1"/>
  <c r="Z495" i="1" s="1"/>
  <c r="Y496" i="1"/>
  <c r="Z496" i="1" s="1"/>
  <c r="Y497" i="1"/>
  <c r="Z497" i="1" s="1"/>
  <c r="Y498" i="1"/>
  <c r="Z498" i="1" s="1"/>
  <c r="Y499" i="1"/>
  <c r="Z499" i="1" s="1"/>
  <c r="Y500" i="1"/>
  <c r="Z500" i="1" s="1"/>
  <c r="Y501" i="1"/>
  <c r="Z501" i="1" s="1"/>
  <c r="Y502" i="1"/>
  <c r="Z502" i="1" s="1"/>
  <c r="Y503" i="1"/>
  <c r="Z503" i="1" s="1"/>
  <c r="Y504" i="1"/>
  <c r="Z504" i="1" s="1"/>
  <c r="Y505" i="1"/>
  <c r="Z505" i="1" s="1"/>
  <c r="Y506" i="1"/>
  <c r="Z506" i="1" s="1"/>
  <c r="Y507" i="1"/>
  <c r="Z507" i="1" s="1"/>
  <c r="Y508" i="1"/>
  <c r="Z508" i="1" s="1"/>
  <c r="Y509" i="1"/>
  <c r="Z509" i="1" s="1"/>
  <c r="Y510" i="1"/>
  <c r="Z510" i="1" s="1"/>
  <c r="Y511" i="1"/>
  <c r="Z511" i="1" s="1"/>
  <c r="Y512" i="1"/>
  <c r="Z512" i="1" s="1"/>
  <c r="Y513" i="1"/>
  <c r="Z513" i="1" s="1"/>
  <c r="Y514" i="1"/>
  <c r="Z514" i="1" s="1"/>
  <c r="Y515" i="1"/>
  <c r="Z515" i="1" s="1"/>
  <c r="Y516" i="1"/>
  <c r="Z516" i="1" s="1"/>
  <c r="Y517" i="1"/>
  <c r="Z517" i="1" s="1"/>
  <c r="Y518" i="1"/>
  <c r="Z518" i="1" s="1"/>
  <c r="Y519" i="1"/>
  <c r="Z519" i="1" s="1"/>
  <c r="Y520" i="1"/>
  <c r="Z520" i="1" s="1"/>
  <c r="Y521" i="1"/>
  <c r="Z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Y529" i="1"/>
  <c r="Z529" i="1" s="1"/>
  <c r="Y530" i="1"/>
  <c r="Z530" i="1" s="1"/>
  <c r="Y531" i="1"/>
  <c r="Z531" i="1" s="1"/>
  <c r="Y532" i="1"/>
  <c r="Z532" i="1" s="1"/>
  <c r="Y533" i="1"/>
  <c r="Z533" i="1" s="1"/>
  <c r="Y534" i="1"/>
  <c r="Z534" i="1" s="1"/>
  <c r="Y535" i="1"/>
  <c r="Z535" i="1" s="1"/>
  <c r="Y536" i="1"/>
  <c r="Z536" i="1" s="1"/>
  <c r="Y537" i="1"/>
  <c r="Z537" i="1" s="1"/>
  <c r="Y538" i="1"/>
  <c r="Z538" i="1" s="1"/>
  <c r="Y539" i="1"/>
  <c r="Z539" i="1" s="1"/>
  <c r="Y540" i="1"/>
  <c r="Z540" i="1" s="1"/>
  <c r="Y541" i="1"/>
  <c r="Z541" i="1" s="1"/>
  <c r="Y542" i="1"/>
  <c r="Z542" i="1" s="1"/>
  <c r="Y543" i="1"/>
  <c r="Z543" i="1" s="1"/>
  <c r="Y544" i="1"/>
  <c r="Z544" i="1" s="1"/>
  <c r="Y545" i="1"/>
  <c r="Z545" i="1" s="1"/>
  <c r="Y546" i="1"/>
  <c r="Z546" i="1" s="1"/>
  <c r="Y547" i="1"/>
  <c r="Z547" i="1" s="1"/>
  <c r="Y548" i="1"/>
  <c r="Z548" i="1" s="1"/>
  <c r="Y549" i="1"/>
  <c r="Z549" i="1" s="1"/>
  <c r="Y550" i="1"/>
  <c r="Z550" i="1" s="1"/>
  <c r="Y551" i="1"/>
  <c r="Z551" i="1" s="1"/>
  <c r="Y552" i="1"/>
  <c r="Z552" i="1" s="1"/>
  <c r="Y553" i="1"/>
  <c r="Z553" i="1" s="1"/>
  <c r="Y554" i="1"/>
  <c r="Z554" i="1" s="1"/>
  <c r="Y555" i="1"/>
  <c r="Z555" i="1" s="1"/>
  <c r="Y556" i="1"/>
  <c r="Z556" i="1" s="1"/>
  <c r="Y557" i="1"/>
  <c r="Z557" i="1" s="1"/>
  <c r="Y558" i="1"/>
  <c r="Y559" i="1"/>
  <c r="Z559" i="1" s="1"/>
  <c r="Y560" i="1"/>
  <c r="Z560" i="1" s="1"/>
  <c r="Y561" i="1"/>
  <c r="Z561" i="1" s="1"/>
  <c r="Y562" i="1"/>
  <c r="Z562" i="1" s="1"/>
  <c r="Y563" i="1"/>
  <c r="Z563" i="1" s="1"/>
  <c r="Y564" i="1"/>
  <c r="Z564" i="1" s="1"/>
  <c r="Y565" i="1"/>
  <c r="Z565" i="1" s="1"/>
  <c r="Y566" i="1"/>
  <c r="Z566" i="1" s="1"/>
  <c r="Y567" i="1"/>
  <c r="Z567" i="1" s="1"/>
  <c r="Y568" i="1"/>
  <c r="Z568" i="1" s="1"/>
  <c r="Y569" i="1"/>
  <c r="Z569" i="1" s="1"/>
  <c r="Y570" i="1"/>
  <c r="Z570" i="1" s="1"/>
  <c r="Y571" i="1"/>
  <c r="Z571" i="1" s="1"/>
  <c r="Y572" i="1"/>
  <c r="Z572" i="1" s="1"/>
  <c r="Y573" i="1"/>
  <c r="Z573" i="1" s="1"/>
  <c r="Y574" i="1"/>
  <c r="Z574" i="1" s="1"/>
  <c r="Y575" i="1"/>
  <c r="Z575" i="1" s="1"/>
  <c r="Y576" i="1"/>
  <c r="Z576" i="1" s="1"/>
  <c r="Y577" i="1"/>
  <c r="Z577" i="1" s="1"/>
  <c r="Y578" i="1"/>
  <c r="Z578" i="1" s="1"/>
  <c r="Y579" i="1"/>
  <c r="Z579" i="1" s="1"/>
  <c r="Y580" i="1"/>
  <c r="Z580" i="1" s="1"/>
  <c r="Y581" i="1"/>
  <c r="Z581" i="1" s="1"/>
  <c r="Y582" i="1"/>
  <c r="Z582" i="1" s="1"/>
  <c r="Y583" i="1"/>
  <c r="Z583" i="1" s="1"/>
  <c r="Y584" i="1"/>
  <c r="Z584" i="1" s="1"/>
  <c r="Y585" i="1"/>
  <c r="Z585" i="1" s="1"/>
  <c r="Y586" i="1"/>
  <c r="Z586" i="1" s="1"/>
  <c r="Y587" i="1"/>
  <c r="Z587" i="1" s="1"/>
  <c r="Y588" i="1"/>
  <c r="Z588" i="1" s="1"/>
  <c r="Y589" i="1"/>
  <c r="Z589" i="1" s="1"/>
  <c r="Y590" i="1"/>
  <c r="Z590" i="1" s="1"/>
  <c r="Y591" i="1"/>
  <c r="Z591" i="1" s="1"/>
  <c r="Y592" i="1"/>
  <c r="Z592" i="1" s="1"/>
  <c r="Y593" i="1"/>
  <c r="Z593" i="1" s="1"/>
  <c r="Y594" i="1"/>
  <c r="Z594" i="1" s="1"/>
  <c r="Y595" i="1"/>
  <c r="Z595" i="1" s="1"/>
  <c r="Y596" i="1"/>
  <c r="Z596" i="1" s="1"/>
  <c r="Y597" i="1"/>
  <c r="Z597" i="1" s="1"/>
  <c r="Y598" i="1"/>
  <c r="Z598" i="1" s="1"/>
  <c r="Y599" i="1"/>
  <c r="Z599" i="1" s="1"/>
  <c r="Y600" i="1"/>
  <c r="Z600" i="1" s="1"/>
  <c r="Y601" i="1"/>
  <c r="Z601" i="1" s="1"/>
  <c r="Y602" i="1"/>
  <c r="Z602" i="1" s="1"/>
  <c r="Y603" i="1"/>
  <c r="Z603" i="1" s="1"/>
  <c r="Y604" i="1"/>
  <c r="Z604" i="1" s="1"/>
  <c r="Y605" i="1"/>
  <c r="Z605" i="1" s="1"/>
  <c r="Y606" i="1"/>
  <c r="Z606" i="1" s="1"/>
  <c r="Y607" i="1"/>
  <c r="Z607" i="1" s="1"/>
  <c r="Y608" i="1"/>
  <c r="Z608" i="1" s="1"/>
  <c r="Y609" i="1"/>
  <c r="Z609" i="1" s="1"/>
  <c r="Y610" i="1"/>
  <c r="Z610" i="1" s="1"/>
  <c r="Y611" i="1"/>
  <c r="Z611" i="1" s="1"/>
  <c r="Y612" i="1"/>
  <c r="Z612" i="1" s="1"/>
  <c r="Y613" i="1"/>
  <c r="Z613" i="1" s="1"/>
  <c r="Y614" i="1"/>
  <c r="Z614" i="1" s="1"/>
  <c r="Y615" i="1"/>
  <c r="Z615" i="1" s="1"/>
  <c r="Y616" i="1"/>
  <c r="Z616" i="1" s="1"/>
  <c r="Y617" i="1"/>
  <c r="Z617" i="1" s="1"/>
  <c r="Y618" i="1"/>
  <c r="Z618" i="1" s="1"/>
  <c r="Y619" i="1"/>
  <c r="Z619" i="1" s="1"/>
  <c r="Y620" i="1"/>
  <c r="Z620" i="1" s="1"/>
  <c r="Y621" i="1"/>
  <c r="Z621" i="1" s="1"/>
  <c r="Y622" i="1"/>
  <c r="Z622" i="1" s="1"/>
  <c r="Y623" i="1"/>
  <c r="Z623" i="1" s="1"/>
  <c r="Y624" i="1"/>
  <c r="Z624" i="1" s="1"/>
  <c r="Y625" i="1"/>
  <c r="Z625" i="1" s="1"/>
  <c r="Y626" i="1"/>
  <c r="Z626" i="1" s="1"/>
  <c r="Y627" i="1"/>
  <c r="Z627" i="1" s="1"/>
  <c r="Y628" i="1"/>
  <c r="Z628" i="1" s="1"/>
  <c r="Y629" i="1"/>
  <c r="Z629" i="1" s="1"/>
  <c r="Y630" i="1"/>
  <c r="Z630" i="1" s="1"/>
  <c r="Y631" i="1"/>
  <c r="Z631" i="1" s="1"/>
  <c r="Y632" i="1"/>
  <c r="Z632" i="1" s="1"/>
  <c r="Y633" i="1"/>
  <c r="Z633" i="1" s="1"/>
  <c r="Y634" i="1"/>
  <c r="Z634" i="1" s="1"/>
  <c r="Y635" i="1"/>
  <c r="Z635" i="1" s="1"/>
  <c r="Y636" i="1"/>
  <c r="Z636" i="1" s="1"/>
  <c r="Y637" i="1"/>
  <c r="Z637" i="1" s="1"/>
  <c r="Y638" i="1"/>
  <c r="Z638" i="1" s="1"/>
  <c r="Y639" i="1"/>
  <c r="Z639" i="1" s="1"/>
  <c r="Y640" i="1"/>
  <c r="Z640" i="1" s="1"/>
  <c r="Y641" i="1"/>
  <c r="Z641" i="1" s="1"/>
  <c r="Y642" i="1"/>
  <c r="Z642" i="1" s="1"/>
  <c r="Y643" i="1"/>
  <c r="Z643" i="1" s="1"/>
  <c r="Y644" i="1"/>
  <c r="Z644" i="1" s="1"/>
  <c r="Y645" i="1"/>
  <c r="Z645" i="1" s="1"/>
  <c r="Y646" i="1"/>
  <c r="Z646" i="1" s="1"/>
  <c r="Y647" i="1"/>
  <c r="Y648" i="1"/>
  <c r="Z648" i="1" s="1"/>
  <c r="Y649" i="1"/>
  <c r="Z649" i="1" s="1"/>
  <c r="Y650" i="1"/>
  <c r="Z650" i="1" s="1"/>
  <c r="Y651" i="1"/>
  <c r="Z651" i="1" s="1"/>
  <c r="Y652" i="1"/>
  <c r="Z652" i="1" s="1"/>
  <c r="Y653" i="1"/>
  <c r="Z653" i="1" s="1"/>
  <c r="Y654" i="1"/>
  <c r="Y655" i="1"/>
  <c r="Z655" i="1" s="1"/>
  <c r="Y656" i="1"/>
  <c r="Z656" i="1" s="1"/>
  <c r="Y657" i="1"/>
  <c r="Z657" i="1" s="1"/>
  <c r="Y658" i="1"/>
  <c r="Z658" i="1" s="1"/>
  <c r="Y659" i="1"/>
  <c r="Z659" i="1" s="1"/>
  <c r="Y660" i="1"/>
  <c r="Z660" i="1" s="1"/>
  <c r="Y661" i="1"/>
  <c r="Z661" i="1" s="1"/>
  <c r="Y662" i="1"/>
  <c r="Z662" i="1" s="1"/>
  <c r="Y663" i="1"/>
  <c r="Z663" i="1" s="1"/>
  <c r="Y664" i="1"/>
  <c r="Z664" i="1" s="1"/>
  <c r="Y665" i="1"/>
  <c r="Z665" i="1" s="1"/>
  <c r="Y666" i="1"/>
  <c r="Z666" i="1" s="1"/>
  <c r="Y667" i="1"/>
  <c r="Z667" i="1" s="1"/>
  <c r="Y668" i="1"/>
  <c r="Z668" i="1" s="1"/>
  <c r="Y669" i="1"/>
  <c r="Z669" i="1" s="1"/>
  <c r="Y670" i="1"/>
  <c r="Z670" i="1" s="1"/>
  <c r="Y671" i="1"/>
  <c r="Z671" i="1" s="1"/>
  <c r="Y672" i="1"/>
  <c r="Z672" i="1" s="1"/>
  <c r="Y673" i="1"/>
  <c r="Z673" i="1" s="1"/>
  <c r="Y674" i="1"/>
  <c r="Z674" i="1" s="1"/>
  <c r="Y675" i="1"/>
  <c r="Z675" i="1" s="1"/>
  <c r="Y676" i="1"/>
  <c r="Z676" i="1" s="1"/>
  <c r="Y677" i="1"/>
  <c r="Z677" i="1" s="1"/>
  <c r="Y678" i="1"/>
  <c r="Z678" i="1" s="1"/>
  <c r="Y679" i="1"/>
  <c r="Z679" i="1" s="1"/>
  <c r="Y680" i="1"/>
  <c r="Z680" i="1" s="1"/>
  <c r="Y681" i="1"/>
  <c r="Z681" i="1" s="1"/>
  <c r="Y682" i="1"/>
  <c r="Z682" i="1" s="1"/>
  <c r="Y683" i="1"/>
  <c r="Z683" i="1" s="1"/>
  <c r="Y684" i="1"/>
  <c r="Z684" i="1" s="1"/>
  <c r="Y685" i="1"/>
  <c r="Z685" i="1" s="1"/>
  <c r="Y686" i="1"/>
  <c r="Z686" i="1" s="1"/>
  <c r="Y687" i="1"/>
  <c r="Z687" i="1" s="1"/>
  <c r="Y688" i="1"/>
  <c r="Z688" i="1" s="1"/>
  <c r="Y689" i="1"/>
  <c r="Z689" i="1" s="1"/>
  <c r="Y690" i="1"/>
  <c r="Z690" i="1" s="1"/>
  <c r="Y691" i="1"/>
  <c r="Z691" i="1" s="1"/>
  <c r="Y692" i="1"/>
  <c r="Z692" i="1" s="1"/>
  <c r="Y693" i="1"/>
  <c r="Z693" i="1" s="1"/>
  <c r="Y694" i="1"/>
  <c r="Z694" i="1" s="1"/>
  <c r="Y695" i="1"/>
  <c r="Z695" i="1" s="1"/>
  <c r="Y696" i="1"/>
  <c r="Z696" i="1" s="1"/>
  <c r="Y697" i="1"/>
  <c r="Z697" i="1" s="1"/>
  <c r="Y698" i="1"/>
  <c r="Z698" i="1" s="1"/>
  <c r="Y699" i="1"/>
  <c r="Z699" i="1" s="1"/>
  <c r="Y700" i="1"/>
  <c r="Z700" i="1" s="1"/>
  <c r="Y701" i="1"/>
  <c r="Z701" i="1" s="1"/>
  <c r="Y702" i="1"/>
  <c r="Z702" i="1" s="1"/>
  <c r="Y703" i="1"/>
  <c r="Z703" i="1" s="1"/>
  <c r="Y704" i="1"/>
  <c r="Z704" i="1" s="1"/>
  <c r="Y705" i="1"/>
  <c r="Z705" i="1" s="1"/>
  <c r="Y706" i="1"/>
  <c r="Z706" i="1" s="1"/>
  <c r="Y707" i="1"/>
  <c r="Z707" i="1" s="1"/>
  <c r="Y708" i="1"/>
  <c r="Z708" i="1" s="1"/>
  <c r="Y709" i="1"/>
  <c r="Z709" i="1" s="1"/>
  <c r="Y710" i="1"/>
  <c r="Z710" i="1" s="1"/>
  <c r="Y711" i="1"/>
  <c r="Z711" i="1" s="1"/>
  <c r="Y712" i="1"/>
  <c r="Z712" i="1" s="1"/>
  <c r="Y713" i="1"/>
  <c r="Z713" i="1" s="1"/>
  <c r="Y714" i="1"/>
  <c r="Z714" i="1" s="1"/>
  <c r="Y715" i="1"/>
  <c r="Z715" i="1" s="1"/>
  <c r="Y716" i="1"/>
  <c r="Z716" i="1" s="1"/>
  <c r="Y717" i="1"/>
  <c r="Z717" i="1" s="1"/>
  <c r="Y718" i="1"/>
  <c r="Z718" i="1" s="1"/>
  <c r="Y719" i="1"/>
  <c r="Z719" i="1" s="1"/>
  <c r="Y720" i="1"/>
  <c r="Z720" i="1" s="1"/>
  <c r="Y721" i="1"/>
  <c r="Z721" i="1" s="1"/>
  <c r="Y722" i="1"/>
  <c r="Z722" i="1" s="1"/>
  <c r="Y723" i="1"/>
  <c r="Z723" i="1" s="1"/>
  <c r="Y724" i="1"/>
  <c r="Z724" i="1" s="1"/>
  <c r="Y725" i="1"/>
  <c r="Z725" i="1" s="1"/>
  <c r="Y726" i="1"/>
  <c r="Z726" i="1" s="1"/>
  <c r="Y727" i="1"/>
  <c r="Z727" i="1" s="1"/>
  <c r="Y728" i="1"/>
  <c r="Y729" i="1"/>
  <c r="Z729" i="1" s="1"/>
  <c r="Y730" i="1"/>
  <c r="Z730" i="1" s="1"/>
  <c r="Y731" i="1"/>
  <c r="Z731" i="1" s="1"/>
  <c r="Y732" i="1"/>
  <c r="Z732" i="1" s="1"/>
  <c r="Y733" i="1"/>
  <c r="Z733" i="1" s="1"/>
  <c r="Y734" i="1"/>
  <c r="Z734" i="1" s="1"/>
  <c r="Y735" i="1"/>
  <c r="Z735" i="1" s="1"/>
  <c r="Y736" i="1"/>
  <c r="Z736" i="1" s="1"/>
  <c r="Y737" i="1"/>
  <c r="Z737" i="1" s="1"/>
  <c r="Y738" i="1"/>
  <c r="Z738" i="1" s="1"/>
  <c r="Y739" i="1"/>
  <c r="Z739" i="1" s="1"/>
  <c r="Y740" i="1"/>
  <c r="Z740" i="1" s="1"/>
  <c r="Y741" i="1"/>
  <c r="Z741" i="1" s="1"/>
  <c r="Y742" i="1"/>
  <c r="Z742" i="1" s="1"/>
  <c r="Y743" i="1"/>
  <c r="Z743" i="1" s="1"/>
  <c r="Y744" i="1"/>
  <c r="Z744" i="1" s="1"/>
  <c r="Y745" i="1"/>
  <c r="Z745" i="1" s="1"/>
  <c r="Y746" i="1"/>
  <c r="Z746" i="1" s="1"/>
  <c r="Y747" i="1"/>
  <c r="Z747" i="1" s="1"/>
  <c r="Y748" i="1"/>
  <c r="Z748" i="1" s="1"/>
  <c r="Y749" i="1"/>
  <c r="Z749" i="1" s="1"/>
  <c r="Y750" i="1"/>
  <c r="Z750" i="1" s="1"/>
  <c r="Y751" i="1"/>
  <c r="Z751" i="1" s="1"/>
  <c r="Y752" i="1"/>
  <c r="Z752" i="1" s="1"/>
  <c r="Y753" i="1"/>
  <c r="Z753" i="1" s="1"/>
  <c r="Y754" i="1"/>
  <c r="Z754" i="1" s="1"/>
  <c r="Y755" i="1"/>
  <c r="Z755" i="1" s="1"/>
  <c r="Y756" i="1"/>
  <c r="Z756" i="1" s="1"/>
  <c r="Y757" i="1"/>
  <c r="Z757" i="1" s="1"/>
  <c r="Y758" i="1"/>
  <c r="Z758" i="1" s="1"/>
  <c r="Y759" i="1"/>
  <c r="Z759" i="1" s="1"/>
  <c r="Y760" i="1"/>
  <c r="Y761" i="1"/>
  <c r="Z761" i="1" s="1"/>
  <c r="Y762" i="1"/>
  <c r="Z762" i="1" s="1"/>
  <c r="Y763" i="1"/>
  <c r="Z763" i="1" s="1"/>
  <c r="Y764" i="1"/>
  <c r="Z764" i="1" s="1"/>
  <c r="Y765" i="1"/>
  <c r="Z765" i="1" s="1"/>
  <c r="Y766" i="1"/>
  <c r="Y767" i="1"/>
  <c r="Z767" i="1" s="1"/>
  <c r="Y768" i="1"/>
  <c r="Z768" i="1" s="1"/>
  <c r="Y769" i="1"/>
  <c r="Z769" i="1" s="1"/>
  <c r="Y770" i="1"/>
  <c r="Z770" i="1" s="1"/>
  <c r="Y771" i="1"/>
  <c r="Z771" i="1" s="1"/>
  <c r="Y772" i="1"/>
  <c r="Z772" i="1" s="1"/>
  <c r="Y773" i="1"/>
  <c r="Z773" i="1" s="1"/>
  <c r="Y774" i="1"/>
  <c r="Z774" i="1" s="1"/>
  <c r="Y775" i="1"/>
  <c r="Z775" i="1" s="1"/>
  <c r="Y776" i="1"/>
  <c r="Z776" i="1" s="1"/>
  <c r="Y777" i="1"/>
  <c r="Z777" i="1" s="1"/>
  <c r="Y778" i="1"/>
  <c r="Z778" i="1" s="1"/>
  <c r="Y779" i="1"/>
  <c r="Z779" i="1" s="1"/>
  <c r="Y780" i="1"/>
  <c r="Z780" i="1" s="1"/>
  <c r="Y781" i="1"/>
  <c r="Z781" i="1" s="1"/>
  <c r="Y782" i="1"/>
  <c r="Z782" i="1" s="1"/>
  <c r="Y783" i="1"/>
  <c r="Z783" i="1" s="1"/>
  <c r="Y784" i="1"/>
  <c r="Z784" i="1" s="1"/>
  <c r="Y785" i="1"/>
  <c r="Z785" i="1" s="1"/>
  <c r="Y786" i="1"/>
  <c r="Z786" i="1" s="1"/>
  <c r="Y787" i="1"/>
  <c r="Z787" i="1" s="1"/>
  <c r="Y788" i="1"/>
  <c r="Z788" i="1" s="1"/>
  <c r="Y789" i="1"/>
  <c r="Z789" i="1" s="1"/>
  <c r="Y790" i="1"/>
  <c r="Z790" i="1" s="1"/>
  <c r="Y791" i="1"/>
  <c r="Z791" i="1" s="1"/>
  <c r="Y792" i="1"/>
  <c r="Z792" i="1" s="1"/>
  <c r="Y793" i="1"/>
  <c r="Z793" i="1" s="1"/>
  <c r="Y794" i="1"/>
  <c r="Z794" i="1" s="1"/>
  <c r="Y795" i="1"/>
  <c r="Z795" i="1" s="1"/>
  <c r="Y796" i="1"/>
  <c r="Z796" i="1" s="1"/>
  <c r="Y797" i="1"/>
  <c r="Z797" i="1" s="1"/>
  <c r="Y798" i="1"/>
  <c r="Z798" i="1" s="1"/>
  <c r="Y799" i="1"/>
  <c r="Z799" i="1" s="1"/>
  <c r="Y800" i="1"/>
  <c r="Y801" i="1"/>
  <c r="Z801" i="1" s="1"/>
  <c r="Y802" i="1"/>
  <c r="Z802" i="1" s="1"/>
  <c r="Y803" i="1"/>
  <c r="Z803" i="1" s="1"/>
  <c r="Y804" i="1"/>
  <c r="Z804" i="1" s="1"/>
  <c r="Y805" i="1"/>
  <c r="Z805" i="1" s="1"/>
  <c r="Y806" i="1"/>
  <c r="Z806" i="1" s="1"/>
  <c r="Y807" i="1"/>
  <c r="Z807" i="1" s="1"/>
  <c r="Y808" i="1"/>
  <c r="Z808" i="1" s="1"/>
  <c r="Y809" i="1"/>
  <c r="Z809" i="1" s="1"/>
  <c r="Y810" i="1"/>
  <c r="Z810" i="1" s="1"/>
  <c r="Y811" i="1"/>
  <c r="Z811" i="1" s="1"/>
  <c r="Y812" i="1"/>
  <c r="Z812" i="1" s="1"/>
  <c r="Y813" i="1"/>
  <c r="Z813" i="1" s="1"/>
  <c r="Y814" i="1"/>
  <c r="Y815" i="1"/>
  <c r="Y816" i="1"/>
  <c r="Z816" i="1" s="1"/>
  <c r="Y817" i="1"/>
  <c r="Z817" i="1" s="1"/>
  <c r="Y818" i="1"/>
  <c r="Z818" i="1" s="1"/>
  <c r="Y819" i="1"/>
  <c r="Z819" i="1" s="1"/>
  <c r="Y820" i="1"/>
  <c r="Z820" i="1" s="1"/>
  <c r="Y821" i="1"/>
  <c r="Z821" i="1" s="1"/>
  <c r="Y822" i="1"/>
  <c r="Z822" i="1" s="1"/>
  <c r="Y823" i="1"/>
  <c r="Z823" i="1" s="1"/>
  <c r="Y824" i="1"/>
  <c r="Z824" i="1" s="1"/>
  <c r="Y825" i="1"/>
  <c r="Z825" i="1" s="1"/>
  <c r="Y826" i="1"/>
  <c r="Z826" i="1" s="1"/>
  <c r="Y827" i="1"/>
  <c r="Z827" i="1" s="1"/>
  <c r="Y828" i="1"/>
  <c r="Z828" i="1" s="1"/>
  <c r="Y829" i="1"/>
  <c r="Z829" i="1" s="1"/>
  <c r="Y830" i="1"/>
  <c r="Z830" i="1" s="1"/>
  <c r="Y831" i="1"/>
  <c r="Z831" i="1" s="1"/>
  <c r="Y832" i="1"/>
  <c r="Z832" i="1" s="1"/>
  <c r="Y833" i="1"/>
  <c r="Z833" i="1" s="1"/>
  <c r="Y834" i="1"/>
  <c r="Y835" i="1"/>
  <c r="Z835" i="1" s="1"/>
  <c r="Y836" i="1"/>
  <c r="Z836" i="1" s="1"/>
  <c r="Y837" i="1"/>
  <c r="Z837" i="1" s="1"/>
  <c r="Y838" i="1"/>
  <c r="Z838" i="1" s="1"/>
  <c r="Y839" i="1"/>
  <c r="Y840" i="1"/>
  <c r="Z840" i="1" s="1"/>
  <c r="Y841" i="1"/>
  <c r="Z841" i="1" s="1"/>
  <c r="Y842" i="1"/>
  <c r="Z842" i="1" s="1"/>
  <c r="Y843" i="1"/>
  <c r="Z843" i="1" s="1"/>
  <c r="Y844" i="1"/>
  <c r="Z844" i="1" s="1"/>
  <c r="Y845" i="1"/>
  <c r="Z845" i="1" s="1"/>
  <c r="Y846" i="1"/>
  <c r="Z846" i="1" s="1"/>
  <c r="Y847" i="1"/>
  <c r="Z847" i="1" s="1"/>
  <c r="Y848" i="1"/>
  <c r="Z848" i="1" s="1"/>
  <c r="Y849" i="1"/>
  <c r="Z849" i="1" s="1"/>
  <c r="Y850" i="1"/>
  <c r="Z850" i="1" s="1"/>
  <c r="Y851" i="1"/>
  <c r="Z851" i="1" s="1"/>
  <c r="Y852" i="1"/>
  <c r="Z852" i="1" s="1"/>
  <c r="Y853" i="1"/>
  <c r="Z853" i="1" s="1"/>
  <c r="Y854" i="1"/>
  <c r="Z854" i="1" s="1"/>
  <c r="Y855" i="1"/>
  <c r="Z855" i="1" s="1"/>
  <c r="Y856" i="1"/>
  <c r="Y857" i="1"/>
  <c r="Z857" i="1" s="1"/>
  <c r="Y858" i="1"/>
  <c r="Z858" i="1" s="1"/>
  <c r="Y859" i="1"/>
  <c r="Z859" i="1" s="1"/>
  <c r="Y860" i="1"/>
  <c r="Z860" i="1" s="1"/>
  <c r="Y861" i="1"/>
  <c r="Z861" i="1" s="1"/>
  <c r="Y862" i="1"/>
  <c r="Z862" i="1" s="1"/>
  <c r="Y863" i="1"/>
  <c r="Z863" i="1" s="1"/>
  <c r="Y864" i="1"/>
  <c r="Z864" i="1" s="1"/>
  <c r="Y865" i="1"/>
  <c r="Z865" i="1" s="1"/>
  <c r="Y866" i="1"/>
  <c r="Z866" i="1" s="1"/>
  <c r="Y867" i="1"/>
  <c r="Z867" i="1" s="1"/>
  <c r="Y868" i="1"/>
  <c r="Z868" i="1" s="1"/>
  <c r="Y869" i="1"/>
  <c r="Z869" i="1" s="1"/>
  <c r="Y870" i="1"/>
  <c r="Z870" i="1" s="1"/>
  <c r="Y871" i="1"/>
  <c r="Z871" i="1" s="1"/>
  <c r="Y872" i="1"/>
  <c r="Z872" i="1" s="1"/>
  <c r="Y873" i="1"/>
  <c r="Z873" i="1" s="1"/>
  <c r="Y874" i="1"/>
  <c r="Z874" i="1" s="1"/>
  <c r="Y875" i="1"/>
  <c r="Z875" i="1" s="1"/>
  <c r="Y876" i="1"/>
  <c r="Z876" i="1" s="1"/>
  <c r="Y877" i="1"/>
  <c r="Z877" i="1" s="1"/>
  <c r="Y878" i="1"/>
  <c r="Z878" i="1" s="1"/>
  <c r="Y879" i="1"/>
  <c r="Z879" i="1" s="1"/>
  <c r="Y880" i="1"/>
  <c r="Y881" i="1"/>
  <c r="Z881" i="1" s="1"/>
  <c r="Y882" i="1"/>
  <c r="Z882" i="1" s="1"/>
  <c r="Y883" i="1"/>
  <c r="Z883" i="1" s="1"/>
  <c r="Y884" i="1"/>
  <c r="Z884" i="1" s="1"/>
  <c r="Y885" i="1"/>
  <c r="Z885" i="1" s="1"/>
  <c r="Y886" i="1"/>
  <c r="Z886" i="1" s="1"/>
  <c r="Y887" i="1"/>
  <c r="Z887" i="1" s="1"/>
  <c r="Y888" i="1"/>
  <c r="Z888" i="1" s="1"/>
  <c r="Y889" i="1"/>
  <c r="Z889" i="1" s="1"/>
  <c r="Y890" i="1"/>
  <c r="Z890" i="1" s="1"/>
  <c r="Y891" i="1"/>
  <c r="Z891" i="1" s="1"/>
  <c r="Y892" i="1"/>
  <c r="Z892" i="1" s="1"/>
  <c r="Y893" i="1"/>
  <c r="Z893" i="1" s="1"/>
  <c r="Y894" i="1"/>
  <c r="Z894" i="1" s="1"/>
  <c r="Y895" i="1"/>
  <c r="Z895" i="1" s="1"/>
  <c r="Y896" i="1"/>
  <c r="Z896" i="1" s="1"/>
  <c r="Y897" i="1"/>
  <c r="Z897" i="1" s="1"/>
  <c r="Y898" i="1"/>
  <c r="Z898" i="1" s="1"/>
  <c r="Y899" i="1"/>
  <c r="Z899" i="1" s="1"/>
  <c r="Y900" i="1"/>
  <c r="Z900" i="1" s="1"/>
  <c r="Y901" i="1"/>
  <c r="Z901" i="1" s="1"/>
  <c r="Y902" i="1"/>
  <c r="Z902" i="1" s="1"/>
  <c r="Y903" i="1"/>
  <c r="Z903" i="1" s="1"/>
  <c r="Y904" i="1"/>
  <c r="Z904" i="1" s="1"/>
  <c r="Y905" i="1"/>
  <c r="Z905" i="1" s="1"/>
  <c r="Y906" i="1"/>
  <c r="Z906" i="1" s="1"/>
  <c r="Y907" i="1"/>
  <c r="Z907" i="1" s="1"/>
  <c r="Y908" i="1"/>
  <c r="Z908" i="1" s="1"/>
  <c r="Y909" i="1"/>
  <c r="Z909" i="1" s="1"/>
  <c r="Y910" i="1"/>
  <c r="Z910" i="1" s="1"/>
  <c r="Y911" i="1"/>
  <c r="Z911" i="1" s="1"/>
  <c r="Y912" i="1"/>
  <c r="Z912" i="1" s="1"/>
  <c r="Y913" i="1"/>
  <c r="Z913" i="1" s="1"/>
  <c r="Y914" i="1"/>
  <c r="Z914" i="1" s="1"/>
  <c r="Y915" i="1"/>
  <c r="Z915" i="1" s="1"/>
  <c r="Y916" i="1"/>
  <c r="Z916" i="1" s="1"/>
  <c r="Y917" i="1"/>
  <c r="Z917" i="1" s="1"/>
  <c r="Y918" i="1"/>
  <c r="Z918" i="1" s="1"/>
  <c r="Y919" i="1"/>
  <c r="Z919" i="1" s="1"/>
  <c r="Y920" i="1"/>
  <c r="Z920" i="1" s="1"/>
  <c r="Y921" i="1"/>
  <c r="Z921" i="1" s="1"/>
  <c r="Y922" i="1"/>
  <c r="Z922" i="1" s="1"/>
  <c r="Y923" i="1"/>
  <c r="Z923" i="1" s="1"/>
  <c r="Y924" i="1"/>
  <c r="Z924" i="1" s="1"/>
  <c r="Y925" i="1"/>
  <c r="Z925" i="1" s="1"/>
  <c r="Y926" i="1"/>
  <c r="Z926" i="1" s="1"/>
  <c r="Y927" i="1"/>
  <c r="Z927" i="1" s="1"/>
  <c r="Y928" i="1"/>
  <c r="Z928" i="1" s="1"/>
  <c r="Y929" i="1"/>
  <c r="Z929" i="1" s="1"/>
  <c r="Y930" i="1"/>
  <c r="Z930" i="1" s="1"/>
  <c r="Y931" i="1"/>
  <c r="Z931" i="1" s="1"/>
  <c r="Y932" i="1"/>
  <c r="Z932" i="1" s="1"/>
  <c r="Y933" i="1"/>
  <c r="Z933" i="1" s="1"/>
  <c r="Y934" i="1"/>
  <c r="Z934" i="1" s="1"/>
  <c r="Y935" i="1"/>
  <c r="Z935" i="1" s="1"/>
  <c r="Y936" i="1"/>
  <c r="Y937" i="1"/>
  <c r="Z937" i="1" s="1"/>
  <c r="Y938" i="1"/>
  <c r="Z938" i="1" s="1"/>
  <c r="Y939" i="1"/>
  <c r="Z939" i="1" s="1"/>
  <c r="Y940" i="1"/>
  <c r="Z940" i="1" s="1"/>
  <c r="Y941" i="1"/>
  <c r="Z941" i="1" s="1"/>
  <c r="Y942" i="1"/>
  <c r="Z942" i="1" s="1"/>
  <c r="Y943" i="1"/>
  <c r="Z943" i="1" s="1"/>
  <c r="Y944" i="1"/>
  <c r="Z944" i="1" s="1"/>
  <c r="Y945" i="1"/>
  <c r="Z945" i="1" s="1"/>
  <c r="Y946" i="1"/>
  <c r="Z946" i="1" s="1"/>
  <c r="Y947" i="1"/>
  <c r="Z947" i="1" s="1"/>
  <c r="Y948" i="1"/>
  <c r="Z948" i="1" s="1"/>
  <c r="Y949" i="1"/>
  <c r="Z949" i="1" s="1"/>
  <c r="Y950" i="1"/>
  <c r="Z950" i="1" s="1"/>
  <c r="Y951" i="1"/>
  <c r="Z951" i="1" s="1"/>
  <c r="Y952" i="1"/>
  <c r="Z952" i="1" s="1"/>
  <c r="Y953" i="1"/>
  <c r="Z953" i="1" s="1"/>
  <c r="Y954" i="1"/>
  <c r="Z954" i="1" s="1"/>
  <c r="Y955" i="1"/>
  <c r="Z955" i="1" s="1"/>
  <c r="Y956" i="1"/>
  <c r="Z956" i="1" s="1"/>
  <c r="Y957" i="1"/>
  <c r="Z957" i="1" s="1"/>
  <c r="Y958" i="1"/>
  <c r="Z958" i="1" s="1"/>
  <c r="Y959" i="1"/>
  <c r="Z959" i="1" s="1"/>
  <c r="Y960" i="1"/>
  <c r="Z960" i="1" s="1"/>
  <c r="Y961" i="1"/>
  <c r="Z961" i="1" s="1"/>
  <c r="Y962" i="1"/>
  <c r="Z962" i="1" s="1"/>
  <c r="Y963" i="1"/>
  <c r="Z963" i="1" s="1"/>
  <c r="Y964" i="1"/>
  <c r="Z964" i="1" s="1"/>
  <c r="Y965" i="1"/>
  <c r="Z965" i="1" s="1"/>
  <c r="Y966" i="1"/>
  <c r="Z966" i="1" s="1"/>
  <c r="Y967" i="1"/>
  <c r="Y968" i="1"/>
  <c r="Z968" i="1" s="1"/>
  <c r="Y969" i="1"/>
  <c r="Z969" i="1" s="1"/>
  <c r="Y970" i="1"/>
  <c r="Z970" i="1" s="1"/>
  <c r="Y971" i="1"/>
  <c r="Z971" i="1" s="1"/>
  <c r="Y972" i="1"/>
  <c r="Z972" i="1" s="1"/>
  <c r="Y973" i="1"/>
  <c r="Z973" i="1" s="1"/>
  <c r="Y974" i="1"/>
  <c r="Z974" i="1" s="1"/>
  <c r="Y975" i="1"/>
  <c r="Z975" i="1" s="1"/>
  <c r="Y976" i="1"/>
  <c r="Z976" i="1" s="1"/>
  <c r="Y977" i="1"/>
  <c r="Z977" i="1" s="1"/>
  <c r="Y978" i="1"/>
  <c r="Z978" i="1" s="1"/>
  <c r="Y979" i="1"/>
  <c r="Z979" i="1" s="1"/>
  <c r="Y980" i="1"/>
  <c r="Z980" i="1" s="1"/>
  <c r="Y981" i="1"/>
  <c r="Z981" i="1" s="1"/>
  <c r="Y982" i="1"/>
  <c r="Z982" i="1" s="1"/>
  <c r="Y983" i="1"/>
  <c r="Z983" i="1" s="1"/>
  <c r="Y984" i="1"/>
  <c r="Y985" i="1"/>
  <c r="Z985" i="1" s="1"/>
  <c r="Y986" i="1"/>
  <c r="Z986" i="1" s="1"/>
  <c r="Y987" i="1"/>
  <c r="Y988" i="1"/>
  <c r="Z988" i="1" s="1"/>
  <c r="Y989" i="1"/>
  <c r="Z989" i="1" s="1"/>
  <c r="Y990" i="1"/>
  <c r="Z990" i="1" s="1"/>
  <c r="Y991" i="1"/>
  <c r="Z991" i="1" s="1"/>
  <c r="Y992" i="1"/>
  <c r="Z992" i="1" s="1"/>
  <c r="Y993" i="1"/>
  <c r="Z993" i="1" s="1"/>
  <c r="Y994" i="1"/>
  <c r="Z994" i="1" s="1"/>
  <c r="Y995" i="1"/>
  <c r="Z995" i="1" s="1"/>
  <c r="Y996" i="1"/>
  <c r="Z996" i="1" s="1"/>
  <c r="Y997" i="1"/>
  <c r="Z997" i="1" s="1"/>
  <c r="Y998" i="1"/>
  <c r="Z998" i="1" s="1"/>
  <c r="Y999" i="1"/>
  <c r="Z999" i="1" s="1"/>
  <c r="Y1000" i="1"/>
  <c r="Z1000" i="1" s="1"/>
  <c r="Y1001" i="1"/>
  <c r="Z1001" i="1" s="1"/>
  <c r="Y1002" i="1"/>
  <c r="Z1002" i="1" s="1"/>
  <c r="Y1003" i="1"/>
  <c r="Z1003" i="1" s="1"/>
  <c r="Y1004" i="1"/>
  <c r="Z1004" i="1" s="1"/>
  <c r="Y1005" i="1"/>
  <c r="Z1005" i="1" s="1"/>
  <c r="Y1006" i="1"/>
  <c r="Z1006" i="1" s="1"/>
  <c r="Y1007" i="1"/>
  <c r="Z1007" i="1" s="1"/>
  <c r="Y1008" i="1"/>
  <c r="Z1008" i="1" s="1"/>
  <c r="Y1009" i="1"/>
  <c r="Z1009" i="1" s="1"/>
  <c r="Y1010" i="1"/>
  <c r="Z1010" i="1" s="1"/>
  <c r="Y1011" i="1"/>
  <c r="Z1011" i="1" s="1"/>
  <c r="Y1012" i="1"/>
  <c r="Z1012" i="1" s="1"/>
  <c r="Y1013" i="1"/>
  <c r="Z1013" i="1" s="1"/>
  <c r="Y1014" i="1"/>
  <c r="Z1014" i="1" s="1"/>
  <c r="Y1015" i="1"/>
  <c r="Z1015" i="1" s="1"/>
  <c r="Y1016" i="1"/>
  <c r="Z1016" i="1" s="1"/>
  <c r="Y1017" i="1"/>
  <c r="Z1017" i="1" s="1"/>
  <c r="Y1018" i="1"/>
  <c r="Z1018" i="1" s="1"/>
  <c r="Y1019" i="1"/>
  <c r="Z1019" i="1" s="1"/>
  <c r="Y1020" i="1"/>
  <c r="Z1020" i="1" s="1"/>
  <c r="Y1021" i="1"/>
  <c r="Z1021" i="1" s="1"/>
  <c r="Y1022" i="1"/>
  <c r="Z1022" i="1" s="1"/>
  <c r="Y1023" i="1"/>
  <c r="Z1023" i="1" s="1"/>
  <c r="Y1024" i="1"/>
  <c r="Y1025" i="1"/>
  <c r="Z1025" i="1" s="1"/>
  <c r="Y1026" i="1"/>
  <c r="Z1026" i="1" s="1"/>
  <c r="Y1027" i="1"/>
  <c r="Z1027" i="1" s="1"/>
  <c r="Y1028" i="1"/>
  <c r="Z1028" i="1" s="1"/>
  <c r="Y1029" i="1"/>
  <c r="Z1029" i="1" s="1"/>
  <c r="Y1030" i="1"/>
  <c r="Z1030" i="1" s="1"/>
  <c r="Y1031" i="1"/>
  <c r="Z1031" i="1" s="1"/>
  <c r="Y1032" i="1"/>
  <c r="Z1032" i="1" s="1"/>
  <c r="Y1033" i="1"/>
  <c r="Z1033" i="1" s="1"/>
  <c r="Y1034" i="1"/>
  <c r="Z1034" i="1" s="1"/>
  <c r="Y1035" i="1"/>
  <c r="Z1035" i="1" s="1"/>
  <c r="Y1036" i="1"/>
  <c r="Z1036" i="1" s="1"/>
  <c r="Y1037" i="1"/>
  <c r="Z1037" i="1" s="1"/>
  <c r="Y1038" i="1"/>
  <c r="Z1038" i="1" s="1"/>
  <c r="Y1039" i="1"/>
  <c r="Z1039" i="1" s="1"/>
  <c r="Y1040" i="1"/>
  <c r="Z1040" i="1" s="1"/>
  <c r="Y1041" i="1"/>
  <c r="Z1041" i="1" s="1"/>
  <c r="Y1042" i="1"/>
  <c r="Z1042" i="1" s="1"/>
  <c r="Y1043" i="1"/>
  <c r="Z1043" i="1" s="1"/>
  <c r="Y1044" i="1"/>
  <c r="Z1044" i="1" s="1"/>
  <c r="Y1045" i="1"/>
  <c r="Z1045" i="1" s="1"/>
  <c r="Y1046" i="1"/>
  <c r="Z1046" i="1" s="1"/>
  <c r="Y1047" i="1"/>
  <c r="Z1047" i="1" s="1"/>
  <c r="Y1048" i="1"/>
  <c r="Z1048" i="1" s="1"/>
  <c r="Y1049" i="1"/>
  <c r="Z1049" i="1" s="1"/>
  <c r="Y1050" i="1"/>
  <c r="Z1050" i="1" s="1"/>
  <c r="Y1051" i="1"/>
  <c r="Z1051" i="1" s="1"/>
  <c r="Y1052" i="1"/>
  <c r="Z1052" i="1" s="1"/>
  <c r="Y1053" i="1"/>
  <c r="Z1053" i="1" s="1"/>
  <c r="Y1054" i="1"/>
  <c r="Z1054" i="1" s="1"/>
  <c r="Y1055" i="1"/>
  <c r="Z1055" i="1" s="1"/>
  <c r="Y1056" i="1"/>
  <c r="Z1056" i="1" s="1"/>
  <c r="Y1057" i="1"/>
  <c r="Z1057" i="1" s="1"/>
  <c r="Y1058" i="1"/>
  <c r="Z1058" i="1" s="1"/>
  <c r="Y1059" i="1"/>
  <c r="Z1059" i="1" s="1"/>
  <c r="Y1060" i="1"/>
  <c r="Z1060" i="1" s="1"/>
  <c r="Y1061" i="1"/>
  <c r="Z1061" i="1" s="1"/>
  <c r="Y1062" i="1"/>
  <c r="Z1062" i="1" s="1"/>
  <c r="Y1063" i="1"/>
  <c r="Z1063" i="1" s="1"/>
  <c r="Y1064" i="1"/>
  <c r="Z1064" i="1" s="1"/>
  <c r="Y1065" i="1"/>
  <c r="Z1065" i="1" s="1"/>
  <c r="Y1066" i="1"/>
  <c r="Z1066" i="1" s="1"/>
  <c r="Y1067" i="1"/>
  <c r="Z1067" i="1" s="1"/>
  <c r="Y1068" i="1"/>
  <c r="Z1068" i="1" s="1"/>
  <c r="Y1069" i="1"/>
  <c r="Z1069" i="1" s="1"/>
  <c r="Y1070" i="1"/>
  <c r="Z1070" i="1" s="1"/>
  <c r="Y1071" i="1"/>
  <c r="Z1071" i="1" s="1"/>
  <c r="Y1072" i="1"/>
  <c r="Z1072" i="1" s="1"/>
  <c r="Y1073" i="1"/>
  <c r="Z1073" i="1" s="1"/>
  <c r="Y1074" i="1"/>
  <c r="Z1074" i="1" s="1"/>
  <c r="Y1075" i="1"/>
  <c r="Z1075" i="1" s="1"/>
  <c r="Y1076" i="1"/>
  <c r="Z1076" i="1" s="1"/>
  <c r="Y1077" i="1"/>
  <c r="Z1077" i="1" s="1"/>
  <c r="Y1078" i="1"/>
  <c r="Z1078" i="1" s="1"/>
  <c r="Y1079" i="1"/>
  <c r="Z1079" i="1" s="1"/>
  <c r="Y1080" i="1"/>
  <c r="Z1080" i="1" s="1"/>
  <c r="Y1081" i="1"/>
  <c r="Z1081" i="1" s="1"/>
  <c r="Y1082" i="1"/>
  <c r="Z1082" i="1" s="1"/>
  <c r="Y1083" i="1"/>
  <c r="Z1083" i="1" s="1"/>
  <c r="Y1084" i="1"/>
  <c r="Z1084" i="1" s="1"/>
  <c r="Y1085" i="1"/>
  <c r="Z1085" i="1" s="1"/>
  <c r="Y1086" i="1"/>
  <c r="Z1086" i="1" s="1"/>
  <c r="Y1087" i="1"/>
  <c r="Z1087" i="1" s="1"/>
  <c r="Y1088" i="1"/>
  <c r="Z1088" i="1" s="1"/>
  <c r="Y1089" i="1"/>
  <c r="Z1089" i="1" s="1"/>
  <c r="Y1090" i="1"/>
  <c r="Z1090" i="1" s="1"/>
  <c r="Y1091" i="1"/>
  <c r="Z1091" i="1" s="1"/>
  <c r="Y1092" i="1"/>
  <c r="Z1092" i="1" s="1"/>
  <c r="Y1093" i="1"/>
  <c r="Z1093" i="1" s="1"/>
  <c r="Y1094" i="1"/>
  <c r="Z1094" i="1" s="1"/>
  <c r="Y1095" i="1"/>
  <c r="Z1095" i="1" s="1"/>
  <c r="Y1096" i="1"/>
  <c r="Z1096" i="1" s="1"/>
  <c r="Y1097" i="1"/>
  <c r="Z1097" i="1" s="1"/>
  <c r="Y1098" i="1"/>
  <c r="Z1098" i="1" s="1"/>
  <c r="Y1099" i="1"/>
  <c r="Z1099" i="1" s="1"/>
  <c r="Y1100" i="1"/>
  <c r="Z1100" i="1" s="1"/>
  <c r="Y1101" i="1"/>
  <c r="Z1101" i="1" s="1"/>
  <c r="Y1102" i="1"/>
  <c r="Z1102" i="1" s="1"/>
  <c r="Y1103" i="1"/>
  <c r="Z1103" i="1" s="1"/>
  <c r="Y1104" i="1"/>
  <c r="Z1104" i="1" s="1"/>
  <c r="Y1105" i="1"/>
  <c r="Z1105" i="1" s="1"/>
  <c r="Y1106" i="1"/>
  <c r="Z1106" i="1" s="1"/>
  <c r="Y1107" i="1"/>
  <c r="Z1107" i="1" s="1"/>
  <c r="Y1108" i="1"/>
  <c r="Z1108" i="1" s="1"/>
  <c r="Y1109" i="1"/>
  <c r="Z1109" i="1" s="1"/>
  <c r="Y1110" i="1"/>
  <c r="Z1110" i="1" s="1"/>
  <c r="Y1111" i="1"/>
  <c r="Z1111" i="1" s="1"/>
  <c r="Y1112" i="1"/>
  <c r="Y1113" i="1"/>
  <c r="Z1113" i="1" s="1"/>
  <c r="Y1114" i="1"/>
  <c r="Z1114" i="1" s="1"/>
  <c r="Y1115" i="1"/>
  <c r="Z1115" i="1" s="1"/>
  <c r="Y1116" i="1"/>
  <c r="Z1116" i="1" s="1"/>
  <c r="Y1117" i="1"/>
  <c r="Z1117" i="1" s="1"/>
  <c r="Y1118" i="1"/>
  <c r="Z1118" i="1" s="1"/>
  <c r="Y1119" i="1"/>
  <c r="Z1119" i="1" s="1"/>
  <c r="Y1120" i="1"/>
  <c r="Z1120" i="1" s="1"/>
  <c r="Y1121" i="1"/>
  <c r="Z1121" i="1" s="1"/>
  <c r="Y1122" i="1"/>
  <c r="Z1122" i="1" s="1"/>
  <c r="Y1123" i="1"/>
  <c r="Z1123" i="1" s="1"/>
  <c r="Y1124" i="1"/>
  <c r="Z1124" i="1" s="1"/>
  <c r="Y1125" i="1"/>
  <c r="Z1125" i="1" s="1"/>
  <c r="Y1126" i="1"/>
  <c r="Z1126" i="1" s="1"/>
  <c r="Y1127" i="1"/>
  <c r="Z1127" i="1" s="1"/>
  <c r="Y1128" i="1"/>
  <c r="Z1128" i="1" s="1"/>
  <c r="Y1129" i="1"/>
  <c r="Z1129" i="1" s="1"/>
  <c r="Y1130" i="1"/>
  <c r="Z1130" i="1" s="1"/>
  <c r="Y1131" i="1"/>
  <c r="Z1131" i="1" s="1"/>
  <c r="Y1132" i="1"/>
  <c r="Z1132" i="1" s="1"/>
  <c r="Y1133" i="1"/>
  <c r="Z1133" i="1" s="1"/>
  <c r="Y1134" i="1"/>
  <c r="Z1134" i="1" s="1"/>
  <c r="Y1135" i="1"/>
  <c r="Z1135" i="1" s="1"/>
  <c r="Y1136" i="1"/>
  <c r="Z1136" i="1" s="1"/>
  <c r="Y1137" i="1"/>
  <c r="Z1137" i="1" s="1"/>
  <c r="Y1138" i="1"/>
  <c r="Z1138" i="1" s="1"/>
  <c r="Y1139" i="1"/>
  <c r="Z1139" i="1" s="1"/>
  <c r="Y1140" i="1"/>
  <c r="Z1140" i="1" s="1"/>
  <c r="Y1141" i="1"/>
  <c r="Z1141" i="1" s="1"/>
  <c r="Y1142" i="1"/>
  <c r="Z1142" i="1" s="1"/>
  <c r="Y1143" i="1"/>
  <c r="Z1143" i="1" s="1"/>
  <c r="Y1144" i="1"/>
  <c r="Z1144" i="1" s="1"/>
  <c r="Y1145" i="1"/>
  <c r="Z1145" i="1" s="1"/>
  <c r="Y1146" i="1"/>
  <c r="Z1146" i="1" s="1"/>
  <c r="Y1147" i="1"/>
  <c r="Z1147" i="1" s="1"/>
  <c r="Y1148" i="1"/>
  <c r="Z1148" i="1" s="1"/>
  <c r="Y1149" i="1"/>
  <c r="Z1149" i="1" s="1"/>
  <c r="Y1150" i="1"/>
  <c r="Z1150" i="1" s="1"/>
  <c r="Y1151" i="1"/>
  <c r="Z1151" i="1" s="1"/>
  <c r="Y1152" i="1"/>
  <c r="Z1152" i="1" s="1"/>
  <c r="Y1153" i="1"/>
  <c r="Z1153" i="1" s="1"/>
  <c r="Y1154" i="1"/>
  <c r="Z1154" i="1" s="1"/>
  <c r="Y1155" i="1"/>
  <c r="Z1155" i="1" s="1"/>
  <c r="Y1156" i="1"/>
  <c r="Z1156" i="1" s="1"/>
  <c r="Y1157" i="1"/>
  <c r="Z1157" i="1" s="1"/>
  <c r="Y1158" i="1"/>
  <c r="Z1158" i="1" s="1"/>
  <c r="Y1159" i="1"/>
  <c r="Z1159" i="1" s="1"/>
  <c r="Y1160" i="1"/>
  <c r="Y1161" i="1"/>
  <c r="Z1161" i="1" s="1"/>
  <c r="Y1162" i="1"/>
  <c r="Z1162" i="1" s="1"/>
  <c r="Y1163" i="1"/>
  <c r="Z1163" i="1" s="1"/>
  <c r="Y1164" i="1"/>
  <c r="Z1164" i="1" s="1"/>
  <c r="Y1165" i="1"/>
  <c r="Z1165" i="1" s="1"/>
  <c r="Y1166" i="1"/>
  <c r="Y1167" i="1"/>
  <c r="Z1167" i="1" s="1"/>
  <c r="Y1168" i="1"/>
  <c r="Z1168" i="1" s="1"/>
  <c r="Y1169" i="1"/>
  <c r="Z1169" i="1" s="1"/>
  <c r="Y1170" i="1"/>
  <c r="Z1170" i="1" s="1"/>
  <c r="Y1171" i="1"/>
  <c r="Z1171" i="1" s="1"/>
  <c r="Y1172" i="1"/>
  <c r="Z1172" i="1" s="1"/>
  <c r="Y1173" i="1"/>
  <c r="Z1173" i="1" s="1"/>
  <c r="Y1174" i="1"/>
  <c r="Z1174" i="1" s="1"/>
  <c r="Y1175" i="1"/>
  <c r="Z1175" i="1" s="1"/>
  <c r="Y1176" i="1"/>
  <c r="Y1177" i="1"/>
  <c r="Z1177" i="1" s="1"/>
  <c r="Y1178" i="1"/>
  <c r="Z1178" i="1" s="1"/>
  <c r="Y1179" i="1"/>
  <c r="Z1179" i="1" s="1"/>
  <c r="Y1180" i="1"/>
  <c r="Z1180" i="1" s="1"/>
  <c r="Y1181" i="1"/>
  <c r="Z1181" i="1" s="1"/>
  <c r="Y1182" i="1"/>
  <c r="Z1182" i="1" s="1"/>
  <c r="Y1183" i="1"/>
  <c r="Z1183" i="1" s="1"/>
  <c r="Y1184" i="1"/>
  <c r="Z1184" i="1" s="1"/>
  <c r="Y1185" i="1"/>
  <c r="Z1185" i="1" s="1"/>
  <c r="Y1186" i="1"/>
  <c r="Z1186" i="1" s="1"/>
  <c r="Y1187" i="1"/>
  <c r="Z1187" i="1" s="1"/>
  <c r="Y1188" i="1"/>
  <c r="Z1188" i="1" s="1"/>
  <c r="Y1189" i="1"/>
  <c r="Z1189" i="1" s="1"/>
  <c r="Y1190" i="1"/>
  <c r="Z1190" i="1" s="1"/>
  <c r="Y1191" i="1"/>
  <c r="Z1191" i="1" s="1"/>
  <c r="Y1192" i="1"/>
  <c r="Z1192" i="1" s="1"/>
  <c r="Y1193" i="1"/>
  <c r="Z1193" i="1" s="1"/>
  <c r="Y1194" i="1"/>
  <c r="Z1194" i="1" s="1"/>
  <c r="Y1195" i="1"/>
  <c r="Z1195" i="1" s="1"/>
  <c r="Y1196" i="1"/>
  <c r="Z1196" i="1" s="1"/>
  <c r="Y1197" i="1"/>
  <c r="Z1197" i="1" s="1"/>
  <c r="Y1198" i="1"/>
  <c r="Z1198" i="1" s="1"/>
  <c r="Y1199" i="1"/>
  <c r="Z1199" i="1" s="1"/>
  <c r="Y1200" i="1"/>
  <c r="Z1200" i="1" s="1"/>
  <c r="Y1201" i="1"/>
  <c r="Z1201" i="1" s="1"/>
  <c r="Y1202" i="1"/>
  <c r="Z1202" i="1" s="1"/>
  <c r="Y1203" i="1"/>
  <c r="Z1203" i="1" s="1"/>
  <c r="Y1204" i="1"/>
  <c r="Z1204" i="1" s="1"/>
  <c r="Y1205" i="1"/>
  <c r="Z1205" i="1" s="1"/>
  <c r="Y1206" i="1"/>
  <c r="Z1206" i="1" s="1"/>
  <c r="Y1207" i="1"/>
  <c r="Z1207" i="1" s="1"/>
  <c r="Y1208" i="1"/>
  <c r="Z1208" i="1" s="1"/>
  <c r="Y1209" i="1"/>
  <c r="Z1209" i="1" s="1"/>
  <c r="Y1210" i="1"/>
  <c r="Z1210" i="1" s="1"/>
  <c r="Y1211" i="1"/>
  <c r="Z1211" i="1" s="1"/>
  <c r="Y1212" i="1"/>
  <c r="Z1212" i="1" s="1"/>
  <c r="Y1213" i="1"/>
  <c r="Z1213" i="1" s="1"/>
  <c r="Y1214" i="1"/>
  <c r="Z1214" i="1" s="1"/>
  <c r="Y1215" i="1"/>
  <c r="Z1215" i="1" s="1"/>
  <c r="Y1216" i="1"/>
  <c r="Z1216" i="1" s="1"/>
  <c r="Y1217" i="1"/>
  <c r="Z1217" i="1" s="1"/>
  <c r="Y1218" i="1"/>
  <c r="Z1218" i="1" s="1"/>
  <c r="Y1219" i="1"/>
  <c r="Z1219" i="1" s="1"/>
  <c r="Y1220" i="1"/>
  <c r="Z1220" i="1" s="1"/>
  <c r="Y1221" i="1"/>
  <c r="Z1221" i="1" s="1"/>
  <c r="Y1222" i="1"/>
  <c r="Z1222" i="1" s="1"/>
  <c r="Y1223" i="1"/>
  <c r="Z1223" i="1" s="1"/>
  <c r="Y1224" i="1"/>
  <c r="Z1224" i="1" s="1"/>
  <c r="Y1225" i="1"/>
  <c r="Z1225" i="1" s="1"/>
  <c r="Y1226" i="1"/>
  <c r="Z1226" i="1" s="1"/>
  <c r="Y1227" i="1"/>
  <c r="Z1227" i="1" s="1"/>
  <c r="Y1228" i="1"/>
  <c r="Z1228" i="1" s="1"/>
  <c r="Y1229" i="1"/>
  <c r="Z1229" i="1" s="1"/>
  <c r="Y1230" i="1"/>
  <c r="Z1230" i="1" s="1"/>
  <c r="Y1231" i="1"/>
  <c r="Z1231" i="1" s="1"/>
  <c r="Y1232" i="1"/>
  <c r="Z1232" i="1" s="1"/>
  <c r="Y1233" i="1"/>
  <c r="Z1233" i="1" s="1"/>
  <c r="Y1234" i="1"/>
  <c r="Z1234" i="1" s="1"/>
  <c r="Y1235" i="1"/>
  <c r="Z1235" i="1" s="1"/>
  <c r="Y1236" i="1"/>
  <c r="Z1236" i="1" s="1"/>
  <c r="Y1237" i="1"/>
  <c r="Z1237" i="1" s="1"/>
  <c r="Y1238" i="1"/>
  <c r="Z1238" i="1" s="1"/>
  <c r="Y1239" i="1"/>
  <c r="Z1239" i="1" s="1"/>
  <c r="Y1240" i="1"/>
  <c r="Y1241" i="1"/>
  <c r="Z1241" i="1" s="1"/>
  <c r="Y1242" i="1"/>
  <c r="Z1242" i="1" s="1"/>
  <c r="Y1243" i="1"/>
  <c r="Z1243" i="1" s="1"/>
  <c r="Y1244" i="1"/>
  <c r="Z1244" i="1" s="1"/>
  <c r="Y1245" i="1"/>
  <c r="Z1245" i="1" s="1"/>
  <c r="Y1246" i="1"/>
  <c r="Z1246" i="1" s="1"/>
  <c r="Y1247" i="1"/>
  <c r="Z1247" i="1" s="1"/>
  <c r="Y1248" i="1"/>
  <c r="Z1248" i="1" s="1"/>
  <c r="Y1249" i="1"/>
  <c r="Z1249" i="1" s="1"/>
  <c r="Y1250" i="1"/>
  <c r="Z1250" i="1" s="1"/>
  <c r="Y1251" i="1"/>
  <c r="Z1251" i="1" s="1"/>
  <c r="Y1252" i="1"/>
  <c r="Z1252" i="1" s="1"/>
  <c r="Y1253" i="1"/>
  <c r="Z1253" i="1" s="1"/>
  <c r="Y1254" i="1"/>
  <c r="Z1254" i="1" s="1"/>
  <c r="Y1255" i="1"/>
  <c r="Z1255" i="1" s="1"/>
  <c r="Y1256" i="1"/>
  <c r="Z1256" i="1" s="1"/>
  <c r="Y1257" i="1"/>
  <c r="Z1257" i="1" s="1"/>
  <c r="Y1258" i="1"/>
  <c r="Z1258" i="1" s="1"/>
  <c r="Y1259" i="1"/>
  <c r="Z1259" i="1" s="1"/>
  <c r="Y1260" i="1"/>
  <c r="Z1260" i="1" s="1"/>
  <c r="Y1261" i="1"/>
  <c r="Z1261" i="1" s="1"/>
  <c r="Y1262" i="1"/>
  <c r="Z1262" i="1" s="1"/>
  <c r="Y1263" i="1"/>
  <c r="Z1263" i="1" s="1"/>
  <c r="Y1264" i="1"/>
  <c r="Z1264" i="1" s="1"/>
  <c r="Y1265" i="1"/>
  <c r="Z1265" i="1" s="1"/>
  <c r="Y1266" i="1"/>
  <c r="Z1266" i="1" s="1"/>
  <c r="Y1267" i="1"/>
  <c r="Z1267" i="1" s="1"/>
  <c r="Y1268" i="1"/>
  <c r="Z1268" i="1" s="1"/>
  <c r="Y1269" i="1"/>
  <c r="Z1269" i="1" s="1"/>
  <c r="Y1270" i="1"/>
  <c r="Z1270" i="1" s="1"/>
  <c r="Y1271" i="1"/>
  <c r="Z1271" i="1" s="1"/>
  <c r="Y1272" i="1"/>
  <c r="Z1272" i="1" s="1"/>
  <c r="Y1273" i="1"/>
  <c r="Z1273" i="1" s="1"/>
  <c r="Y1274" i="1"/>
  <c r="Z1274" i="1" s="1"/>
  <c r="Y1275" i="1"/>
  <c r="Z1275" i="1" s="1"/>
  <c r="Y1276" i="1"/>
  <c r="Z1276" i="1" s="1"/>
  <c r="Y1277" i="1"/>
  <c r="Z1277" i="1" s="1"/>
  <c r="Y1278" i="1"/>
  <c r="Z1278" i="1" s="1"/>
  <c r="Y1279" i="1"/>
  <c r="Y1280" i="1"/>
  <c r="Z1280" i="1" s="1"/>
  <c r="Y1281" i="1"/>
  <c r="Z1281" i="1" s="1"/>
  <c r="Y1282" i="1"/>
  <c r="Z1282" i="1" s="1"/>
  <c r="Y1283" i="1"/>
  <c r="Z1283" i="1" s="1"/>
  <c r="Y1284" i="1"/>
  <c r="Z1284" i="1" s="1"/>
  <c r="Y1285" i="1"/>
  <c r="Z1285" i="1" s="1"/>
  <c r="Y1286" i="1"/>
  <c r="Z1286" i="1" s="1"/>
  <c r="Y1287" i="1"/>
  <c r="Z1287" i="1" s="1"/>
  <c r="Y1288" i="1"/>
  <c r="Y1289" i="1"/>
  <c r="Z1289" i="1" s="1"/>
  <c r="Y1290" i="1"/>
  <c r="Z1290" i="1" s="1"/>
  <c r="Y1291" i="1"/>
  <c r="Z1291" i="1" s="1"/>
  <c r="Y1292" i="1"/>
  <c r="Z1292" i="1" s="1"/>
  <c r="Y1293" i="1"/>
  <c r="Z1293" i="1" s="1"/>
  <c r="Y1294" i="1"/>
  <c r="Z1294" i="1" s="1"/>
  <c r="Y1295" i="1"/>
  <c r="Z1295" i="1" s="1"/>
  <c r="Y1296" i="1"/>
  <c r="Z1296" i="1" s="1"/>
  <c r="Y1297" i="1"/>
  <c r="Z1297" i="1" s="1"/>
  <c r="Y1298" i="1"/>
  <c r="Z1298" i="1" s="1"/>
  <c r="Y1299" i="1"/>
  <c r="Z1299" i="1" s="1"/>
  <c r="Y1300" i="1"/>
  <c r="Z1300" i="1" s="1"/>
  <c r="Y1301" i="1"/>
  <c r="Z1301" i="1" s="1"/>
  <c r="Y1302" i="1"/>
  <c r="Z1302" i="1" s="1"/>
  <c r="Y1303" i="1"/>
  <c r="Z1303" i="1" s="1"/>
  <c r="Y1304" i="1"/>
  <c r="Z1304" i="1" s="1"/>
  <c r="Y1305" i="1"/>
  <c r="Z1305" i="1" s="1"/>
  <c r="Y1306" i="1"/>
  <c r="Z1306" i="1" s="1"/>
  <c r="Y1307" i="1"/>
  <c r="Z1307" i="1" s="1"/>
  <c r="Y1308" i="1"/>
  <c r="Z1308" i="1" s="1"/>
  <c r="Y1309" i="1"/>
  <c r="Z1309" i="1" s="1"/>
  <c r="Y1310" i="1"/>
  <c r="Z1310" i="1" s="1"/>
  <c r="Y1311" i="1"/>
  <c r="Z1311" i="1" s="1"/>
  <c r="Y1312" i="1"/>
  <c r="Z1312" i="1" s="1"/>
  <c r="Y1313" i="1"/>
  <c r="Z1313" i="1" s="1"/>
  <c r="Y1314" i="1"/>
  <c r="Z1314" i="1" s="1"/>
  <c r="Y1315" i="1"/>
  <c r="Z1315" i="1" s="1"/>
  <c r="Y1316" i="1"/>
  <c r="Z1316" i="1" s="1"/>
  <c r="Y1317" i="1"/>
  <c r="Z1317" i="1" s="1"/>
  <c r="Y1318" i="1"/>
  <c r="Z1318" i="1" s="1"/>
  <c r="Y1319" i="1"/>
  <c r="Z1319" i="1" s="1"/>
  <c r="Y1320" i="1"/>
  <c r="Z1320" i="1" s="1"/>
  <c r="Y1321" i="1"/>
  <c r="Z1321" i="1" s="1"/>
  <c r="Y1322" i="1"/>
  <c r="Z1322" i="1" s="1"/>
  <c r="Y1323" i="1"/>
  <c r="Z1323" i="1" s="1"/>
  <c r="Y1324" i="1"/>
  <c r="Z1324" i="1" s="1"/>
  <c r="Y1325" i="1"/>
  <c r="Z1325" i="1" s="1"/>
  <c r="Y1326" i="1"/>
  <c r="Z1326" i="1" s="1"/>
  <c r="Y1327" i="1"/>
  <c r="Z1327" i="1" s="1"/>
  <c r="Y1328" i="1"/>
  <c r="Z1328" i="1" s="1"/>
  <c r="Y1329" i="1"/>
  <c r="Z1329" i="1" s="1"/>
  <c r="Y1330" i="1"/>
  <c r="Z1330" i="1" s="1"/>
  <c r="Y1331" i="1"/>
  <c r="Z1331" i="1" s="1"/>
  <c r="Y1332" i="1"/>
  <c r="Z1332" i="1" s="1"/>
  <c r="Y1333" i="1"/>
  <c r="Z1333" i="1" s="1"/>
  <c r="Y1334" i="1"/>
  <c r="Z1334" i="1" s="1"/>
  <c r="Y1335" i="1"/>
  <c r="Z1335" i="1" s="1"/>
  <c r="Y1336" i="1"/>
  <c r="Z1336" i="1" s="1"/>
  <c r="Y1337" i="1"/>
  <c r="Z1337" i="1" s="1"/>
  <c r="Y1338" i="1"/>
  <c r="Z1338" i="1" s="1"/>
  <c r="Y1339" i="1"/>
  <c r="Z1339" i="1" s="1"/>
  <c r="Y1340" i="1"/>
  <c r="Z1340" i="1" s="1"/>
  <c r="Y1341" i="1"/>
  <c r="Z1341" i="1" s="1"/>
  <c r="Y1342" i="1"/>
  <c r="Z1342" i="1" s="1"/>
  <c r="Y1343" i="1"/>
  <c r="Z1343" i="1" s="1"/>
  <c r="Y1344" i="1"/>
  <c r="Z1344" i="1" s="1"/>
  <c r="Y1345" i="1"/>
  <c r="Z1345" i="1" s="1"/>
  <c r="Y1346" i="1"/>
  <c r="Z1346" i="1" s="1"/>
  <c r="Y1347" i="1"/>
  <c r="Z1347" i="1" s="1"/>
  <c r="Y1348" i="1"/>
  <c r="Z1348" i="1" s="1"/>
  <c r="Y1349" i="1"/>
  <c r="Z1349" i="1" s="1"/>
  <c r="Y1350" i="1"/>
  <c r="Z1350" i="1" s="1"/>
  <c r="Y1351" i="1"/>
  <c r="Z1351" i="1" s="1"/>
  <c r="Y1352" i="1"/>
  <c r="Y1353" i="1"/>
  <c r="Z1353" i="1" s="1"/>
  <c r="Y1354" i="1"/>
  <c r="Z1354" i="1" s="1"/>
  <c r="Y1355" i="1"/>
  <c r="Z1355" i="1" s="1"/>
  <c r="Y1356" i="1"/>
  <c r="Z1356" i="1" s="1"/>
  <c r="Y1357" i="1"/>
  <c r="Z1357" i="1" s="1"/>
  <c r="Y1358" i="1"/>
  <c r="Z1358" i="1" s="1"/>
  <c r="Y1359" i="1"/>
  <c r="Z1359" i="1" s="1"/>
  <c r="Y1360" i="1"/>
  <c r="Z1360" i="1" s="1"/>
  <c r="Y1361" i="1"/>
  <c r="Z1361" i="1" s="1"/>
  <c r="Y1362" i="1"/>
  <c r="Z1362" i="1" s="1"/>
  <c r="Y1363" i="1"/>
  <c r="Z1363" i="1" s="1"/>
  <c r="Y1364" i="1"/>
  <c r="Z1364" i="1" s="1"/>
  <c r="Y1365" i="1"/>
  <c r="Z1365" i="1" s="1"/>
  <c r="Y1366" i="1"/>
  <c r="Z1366" i="1" s="1"/>
  <c r="Y1367" i="1"/>
  <c r="Z1367" i="1" s="1"/>
  <c r="Y1368" i="1"/>
  <c r="Y1369" i="1"/>
  <c r="Z1369" i="1" s="1"/>
  <c r="Y1370" i="1"/>
  <c r="Z1370" i="1" s="1"/>
  <c r="Y1371" i="1"/>
  <c r="Z1371" i="1" s="1"/>
  <c r="Y1372" i="1"/>
  <c r="Z1372" i="1" s="1"/>
  <c r="Y1373" i="1"/>
  <c r="Z1373" i="1" s="1"/>
  <c r="Y1374" i="1"/>
  <c r="Z1374" i="1" s="1"/>
  <c r="Y1375" i="1"/>
  <c r="Z1375" i="1" s="1"/>
  <c r="Y1376" i="1"/>
  <c r="Z1376" i="1" s="1"/>
  <c r="Y1377" i="1"/>
  <c r="Z1377" i="1" s="1"/>
  <c r="Y1378" i="1"/>
  <c r="Z1378" i="1" s="1"/>
  <c r="Y1379" i="1"/>
  <c r="Z1379" i="1" s="1"/>
  <c r="Y1380" i="1"/>
  <c r="Z1380" i="1" s="1"/>
  <c r="Y1381" i="1"/>
  <c r="Z1381" i="1" s="1"/>
  <c r="Y1382" i="1"/>
  <c r="Z1382" i="1" s="1"/>
  <c r="Y1383" i="1"/>
  <c r="Z1383" i="1" s="1"/>
  <c r="Y1384" i="1"/>
  <c r="Y1385" i="1"/>
  <c r="Z1385" i="1" s="1"/>
  <c r="Y1386" i="1"/>
  <c r="Z1386" i="1" s="1"/>
  <c r="Y1387" i="1"/>
  <c r="Z1387" i="1" s="1"/>
  <c r="Y1388" i="1"/>
  <c r="Z1388" i="1" s="1"/>
  <c r="Y1389" i="1"/>
  <c r="Z1389" i="1" s="1"/>
  <c r="Y1390" i="1"/>
  <c r="Z1390" i="1" s="1"/>
  <c r="Y1391" i="1"/>
  <c r="Z1391" i="1" s="1"/>
  <c r="Y1392" i="1"/>
  <c r="Z1392" i="1" s="1"/>
  <c r="Y1393" i="1"/>
  <c r="Z1393" i="1" s="1"/>
  <c r="Y1394" i="1"/>
  <c r="Z1394" i="1" s="1"/>
  <c r="Y1395" i="1"/>
  <c r="Z1395" i="1" s="1"/>
  <c r="Y1396" i="1"/>
  <c r="Z1396" i="1" s="1"/>
  <c r="Y1397" i="1"/>
  <c r="Z1397" i="1" s="1"/>
  <c r="Y1398" i="1"/>
  <c r="Z1398" i="1" s="1"/>
  <c r="Y1399" i="1"/>
  <c r="Z1399" i="1" s="1"/>
  <c r="Y1400" i="1"/>
  <c r="Z1400" i="1" s="1"/>
  <c r="Y1401" i="1"/>
  <c r="Z1401" i="1" s="1"/>
  <c r="Y1402" i="1"/>
  <c r="Z1402" i="1" s="1"/>
  <c r="Y1403" i="1"/>
  <c r="Z1403" i="1" s="1"/>
  <c r="Y1404" i="1"/>
  <c r="Z1404" i="1" s="1"/>
  <c r="Y1405" i="1"/>
  <c r="Z1405" i="1" s="1"/>
  <c r="Y1406" i="1"/>
  <c r="Z1406" i="1" s="1"/>
  <c r="Y1407" i="1"/>
  <c r="Z1407" i="1" s="1"/>
  <c r="Y1408" i="1"/>
  <c r="Z1408" i="1" s="1"/>
  <c r="Y1409" i="1"/>
  <c r="Z1409" i="1" s="1"/>
  <c r="Y1410" i="1"/>
  <c r="Z1410" i="1" s="1"/>
  <c r="Y1411" i="1"/>
  <c r="Z1411" i="1" s="1"/>
  <c r="Y1412" i="1"/>
  <c r="Z1412" i="1" s="1"/>
  <c r="Y1413" i="1"/>
  <c r="Z1413" i="1" s="1"/>
  <c r="Y1414" i="1"/>
  <c r="Z1414" i="1" s="1"/>
  <c r="Y1415" i="1"/>
  <c r="Z1415" i="1" s="1"/>
  <c r="Y1416" i="1"/>
  <c r="Y1417" i="1"/>
  <c r="Z1417" i="1" s="1"/>
  <c r="Y1418" i="1"/>
  <c r="Z1418" i="1" s="1"/>
  <c r="Y1419" i="1"/>
  <c r="Z1419" i="1" s="1"/>
  <c r="Y1420" i="1"/>
  <c r="Z1420" i="1" s="1"/>
  <c r="Y1421" i="1"/>
  <c r="Z1421" i="1" s="1"/>
  <c r="Y1422" i="1"/>
  <c r="Z1422" i="1" s="1"/>
  <c r="Y1423" i="1"/>
  <c r="Z1423" i="1" s="1"/>
  <c r="Y1424" i="1"/>
  <c r="Z1424" i="1" s="1"/>
  <c r="Y1425" i="1"/>
  <c r="Z1425" i="1" s="1"/>
  <c r="Y1426" i="1"/>
  <c r="Z1426" i="1" s="1"/>
  <c r="Y1427" i="1"/>
  <c r="Z1427" i="1" s="1"/>
  <c r="Y1428" i="1"/>
  <c r="Z1428" i="1" s="1"/>
  <c r="Y1429" i="1"/>
  <c r="Z1429" i="1" s="1"/>
  <c r="Y1430" i="1"/>
  <c r="Z1430" i="1" s="1"/>
  <c r="Y1431" i="1"/>
  <c r="Z1431" i="1" s="1"/>
  <c r="Y1432" i="1"/>
  <c r="Y1433" i="1"/>
  <c r="Z1433" i="1" s="1"/>
  <c r="Y1434" i="1"/>
  <c r="Z1434" i="1" s="1"/>
  <c r="Y1435" i="1"/>
  <c r="Z1435" i="1" s="1"/>
  <c r="Y1436" i="1"/>
  <c r="Z1436" i="1" s="1"/>
  <c r="Y1437" i="1"/>
  <c r="Z1437" i="1" s="1"/>
  <c r="Y1438" i="1"/>
  <c r="Z1438" i="1" s="1"/>
  <c r="Y1439" i="1"/>
  <c r="Z1439" i="1" s="1"/>
  <c r="Y1440" i="1"/>
  <c r="Z1440" i="1" s="1"/>
  <c r="Y1441" i="1"/>
  <c r="Z1441" i="1" s="1"/>
  <c r="Y1442" i="1"/>
  <c r="Z1442" i="1" s="1"/>
  <c r="Y1443" i="1"/>
  <c r="Z1443" i="1" s="1"/>
  <c r="Y1444" i="1"/>
  <c r="Z1444" i="1" s="1"/>
  <c r="Y1445" i="1"/>
  <c r="Z1445" i="1" s="1"/>
  <c r="Y1446" i="1"/>
  <c r="Z1446" i="1" s="1"/>
  <c r="Y1447" i="1"/>
  <c r="Z1447" i="1" s="1"/>
  <c r="Y1448" i="1"/>
  <c r="Z1448" i="1" s="1"/>
  <c r="Y1449" i="1"/>
  <c r="Z1449" i="1" s="1"/>
  <c r="Y1450" i="1"/>
  <c r="Z1450" i="1" s="1"/>
  <c r="Y1451" i="1"/>
  <c r="Z1451" i="1" s="1"/>
  <c r="Y1452" i="1"/>
  <c r="Z1452" i="1" s="1"/>
  <c r="Y1453" i="1"/>
  <c r="Z1453" i="1" s="1"/>
  <c r="Y1454" i="1"/>
  <c r="Z1454" i="1" s="1"/>
  <c r="Y1455" i="1"/>
  <c r="Z1455" i="1" s="1"/>
  <c r="Y1456" i="1"/>
  <c r="Z1456" i="1" s="1"/>
  <c r="Y1457" i="1"/>
  <c r="Z1457" i="1" s="1"/>
  <c r="Y1458" i="1"/>
  <c r="Z1458" i="1" s="1"/>
  <c r="Y1459" i="1"/>
  <c r="Z1459" i="1" s="1"/>
  <c r="Y1460" i="1"/>
  <c r="Z1460" i="1" s="1"/>
  <c r="Y1461" i="1"/>
  <c r="Z1461" i="1" s="1"/>
  <c r="Y1462" i="1"/>
  <c r="Z1462" i="1" s="1"/>
  <c r="Y1463" i="1"/>
  <c r="Z1463" i="1" s="1"/>
  <c r="Y1464" i="1"/>
  <c r="Z1464" i="1" s="1"/>
  <c r="Y1465" i="1"/>
  <c r="Z1465" i="1" s="1"/>
  <c r="Y1466" i="1"/>
  <c r="Z1466" i="1" s="1"/>
  <c r="Y1467" i="1"/>
  <c r="Z1467" i="1" s="1"/>
  <c r="Y1468" i="1"/>
  <c r="Z1468" i="1" s="1"/>
  <c r="Y1469" i="1"/>
  <c r="Z1469" i="1" s="1"/>
  <c r="Y1470" i="1"/>
  <c r="Z1470" i="1" s="1"/>
  <c r="Y1471" i="1"/>
  <c r="Z1471" i="1" s="1"/>
  <c r="Y1472" i="1"/>
  <c r="Y1473" i="1"/>
  <c r="Z1473" i="1" s="1"/>
  <c r="Y1474" i="1"/>
  <c r="Z1474" i="1" s="1"/>
  <c r="Y1475" i="1"/>
  <c r="Z1475" i="1" s="1"/>
  <c r="Y1476" i="1"/>
  <c r="Z1476" i="1" s="1"/>
  <c r="Y1477" i="1"/>
  <c r="Z1477" i="1" s="1"/>
  <c r="Y1478" i="1"/>
  <c r="Z1478" i="1" s="1"/>
  <c r="Y1479" i="1"/>
  <c r="Z1479" i="1" s="1"/>
  <c r="Y1480" i="1"/>
  <c r="Z1480" i="1" s="1"/>
  <c r="Y1481" i="1"/>
  <c r="Z1481" i="1" s="1"/>
  <c r="Y1482" i="1"/>
  <c r="Z1482" i="1" s="1"/>
  <c r="Y1483" i="1"/>
  <c r="Z1483" i="1" s="1"/>
  <c r="Y1484" i="1"/>
  <c r="Z1484" i="1" s="1"/>
  <c r="Y1485" i="1"/>
  <c r="Z1485" i="1" s="1"/>
  <c r="Y1486" i="1"/>
  <c r="Y1487" i="1"/>
  <c r="Z1487" i="1" s="1"/>
  <c r="Y1488" i="1"/>
  <c r="Z1488" i="1" s="1"/>
  <c r="Y1489" i="1"/>
  <c r="Z1489" i="1" s="1"/>
  <c r="Y1490" i="1"/>
  <c r="Z1490" i="1" s="1"/>
  <c r="Y1491" i="1"/>
  <c r="Z1491" i="1" s="1"/>
  <c r="Y1492" i="1"/>
  <c r="Z1492" i="1" s="1"/>
  <c r="Y1493" i="1"/>
  <c r="Z1493" i="1" s="1"/>
  <c r="Y1494" i="1"/>
  <c r="Z1494" i="1" s="1"/>
  <c r="Y1495" i="1"/>
  <c r="Z1495" i="1" s="1"/>
  <c r="Y1496" i="1"/>
  <c r="Z1496" i="1" s="1"/>
  <c r="Y1497" i="1"/>
  <c r="Z1497" i="1" s="1"/>
  <c r="Y1498" i="1"/>
  <c r="Z1498" i="1" s="1"/>
  <c r="Y1499" i="1"/>
  <c r="Z1499" i="1" s="1"/>
  <c r="Y1500" i="1"/>
  <c r="Z1500" i="1" s="1"/>
  <c r="Y1501" i="1"/>
  <c r="Z1501" i="1" s="1"/>
  <c r="Y1502" i="1"/>
  <c r="Z1502" i="1" s="1"/>
  <c r="Y1503" i="1"/>
  <c r="Z1503" i="1" s="1"/>
  <c r="Y1504" i="1"/>
  <c r="Y1505" i="1"/>
  <c r="Z1505" i="1" s="1"/>
  <c r="Y1506" i="1"/>
  <c r="Z1506" i="1" s="1"/>
  <c r="Y1507" i="1"/>
  <c r="Z1507" i="1" s="1"/>
  <c r="Y1508" i="1"/>
  <c r="Z1508" i="1" s="1"/>
  <c r="Y1509" i="1"/>
  <c r="Z1509" i="1" s="1"/>
  <c r="Y1510" i="1"/>
  <c r="Z1510" i="1" s="1"/>
  <c r="Y1511" i="1"/>
  <c r="Z1511" i="1" s="1"/>
  <c r="Y1512" i="1"/>
  <c r="Z1512" i="1" s="1"/>
  <c r="Y1513" i="1"/>
  <c r="Z1513" i="1" s="1"/>
  <c r="Y1514" i="1"/>
  <c r="Z1514" i="1" s="1"/>
  <c r="Y1515" i="1"/>
  <c r="Z1515" i="1" s="1"/>
  <c r="Y1516" i="1"/>
  <c r="Z1516" i="1" s="1"/>
  <c r="Y1517" i="1"/>
  <c r="Z1517" i="1" s="1"/>
  <c r="Y1518" i="1"/>
  <c r="Z1518" i="1" s="1"/>
  <c r="Y1519" i="1"/>
  <c r="Z1519" i="1" s="1"/>
  <c r="Y1520" i="1"/>
  <c r="Z1520" i="1" s="1"/>
  <c r="Y1521" i="1"/>
  <c r="Z1521" i="1" s="1"/>
  <c r="Y1522" i="1"/>
  <c r="Z1522" i="1" s="1"/>
  <c r="Y1523" i="1"/>
  <c r="Z1523" i="1" s="1"/>
  <c r="Y1524" i="1"/>
  <c r="Z1524" i="1" s="1"/>
  <c r="Y1525" i="1"/>
  <c r="Z1525" i="1" s="1"/>
  <c r="Y1526" i="1"/>
  <c r="Z1526" i="1" s="1"/>
  <c r="Y1527" i="1"/>
  <c r="Z1527" i="1" s="1"/>
  <c r="Y1528" i="1"/>
  <c r="Z1528" i="1" s="1"/>
  <c r="Y1529" i="1"/>
  <c r="Z1529" i="1" s="1"/>
  <c r="Y1530" i="1"/>
  <c r="Z1530" i="1" s="1"/>
  <c r="Y1531" i="1"/>
  <c r="Z1531" i="1" s="1"/>
  <c r="Y1532" i="1"/>
  <c r="Z1532" i="1" s="1"/>
  <c r="Y1533" i="1"/>
  <c r="Z1533" i="1" s="1"/>
  <c r="Y1534" i="1"/>
  <c r="Z1534" i="1" s="1"/>
  <c r="Y1535" i="1"/>
  <c r="Z1535" i="1" s="1"/>
  <c r="Y1536" i="1"/>
  <c r="Y1537" i="1"/>
  <c r="Z1537" i="1" s="1"/>
  <c r="Y1538" i="1"/>
  <c r="Z1538" i="1" s="1"/>
  <c r="Y1539" i="1"/>
  <c r="Z1539" i="1" s="1"/>
  <c r="Y1540" i="1"/>
  <c r="Z1540" i="1" s="1"/>
  <c r="Y1541" i="1"/>
  <c r="Z1541" i="1" s="1"/>
  <c r="Y1542" i="1"/>
  <c r="Z1542" i="1" s="1"/>
  <c r="Y1543" i="1"/>
  <c r="Z1543" i="1" s="1"/>
  <c r="Y1544" i="1"/>
  <c r="Y1545" i="1"/>
  <c r="Z1545" i="1" s="1"/>
  <c r="Y1546" i="1"/>
  <c r="Z1546" i="1" s="1"/>
  <c r="Y1547" i="1"/>
  <c r="Z1547" i="1" s="1"/>
  <c r="Y1548" i="1"/>
  <c r="Z1548" i="1" s="1"/>
  <c r="Y1549" i="1"/>
  <c r="Z1549" i="1" s="1"/>
  <c r="Y1550" i="1"/>
  <c r="Y1551" i="1"/>
  <c r="Z1551" i="1" s="1"/>
  <c r="Y1552" i="1"/>
  <c r="Z1552" i="1" s="1"/>
  <c r="Y1553" i="1"/>
  <c r="Z1553" i="1" s="1"/>
  <c r="Y1554" i="1"/>
  <c r="Z1554" i="1" s="1"/>
  <c r="Y1555" i="1"/>
  <c r="Z1555" i="1" s="1"/>
  <c r="Y1556" i="1"/>
  <c r="Z1556" i="1" s="1"/>
  <c r="Y1557" i="1"/>
  <c r="Z1557" i="1" s="1"/>
  <c r="Y1558" i="1"/>
  <c r="Z1558" i="1" s="1"/>
  <c r="Y1559" i="1"/>
  <c r="Z1559" i="1" s="1"/>
  <c r="Y1560" i="1"/>
  <c r="Z1560" i="1" s="1"/>
  <c r="Y1561" i="1"/>
  <c r="Z1561" i="1" s="1"/>
  <c r="Y1562" i="1"/>
  <c r="Z1562" i="1" s="1"/>
  <c r="Y1563" i="1"/>
  <c r="Z1563" i="1" s="1"/>
  <c r="Y1564" i="1"/>
  <c r="Z1564" i="1" s="1"/>
  <c r="Y1565" i="1"/>
  <c r="Z1565" i="1" s="1"/>
  <c r="Y1566" i="1"/>
  <c r="Z1566" i="1" s="1"/>
  <c r="Y1567" i="1"/>
  <c r="Z1567" i="1" s="1"/>
  <c r="Y1568" i="1"/>
  <c r="Z1568" i="1" s="1"/>
  <c r="Y1569" i="1"/>
  <c r="Z1569" i="1" s="1"/>
  <c r="Y1570" i="1"/>
  <c r="Z1570" i="1" s="1"/>
  <c r="Y1571" i="1"/>
  <c r="Z1571" i="1" s="1"/>
  <c r="Y1572" i="1"/>
  <c r="Z1572" i="1" s="1"/>
  <c r="Y1573" i="1"/>
  <c r="Z1573" i="1" s="1"/>
  <c r="Y1574" i="1"/>
  <c r="Z1574" i="1" s="1"/>
  <c r="Y1575" i="1"/>
  <c r="Z1575" i="1" s="1"/>
  <c r="Y1576" i="1"/>
  <c r="Y1577" i="1"/>
  <c r="Z1577" i="1" s="1"/>
  <c r="Y1578" i="1"/>
  <c r="Z1578" i="1" s="1"/>
  <c r="Y1579" i="1"/>
  <c r="Z1579" i="1" s="1"/>
  <c r="Y1580" i="1"/>
  <c r="Z1580" i="1" s="1"/>
  <c r="Y1581" i="1"/>
  <c r="Z1581" i="1" s="1"/>
  <c r="Y1582" i="1"/>
  <c r="Z1582" i="1" s="1"/>
  <c r="Y1583" i="1"/>
  <c r="Z1583" i="1" s="1"/>
  <c r="Y1584" i="1"/>
  <c r="Z1584" i="1" s="1"/>
  <c r="Y1585" i="1"/>
  <c r="Z1585" i="1" s="1"/>
  <c r="Y1586" i="1"/>
  <c r="Z1586" i="1" s="1"/>
  <c r="Y1587" i="1"/>
  <c r="Z1587" i="1" s="1"/>
  <c r="Y1588" i="1"/>
  <c r="Z1588" i="1" s="1"/>
  <c r="Y1589" i="1"/>
  <c r="Z1589" i="1" s="1"/>
  <c r="Y1590" i="1"/>
  <c r="Z1590" i="1" s="1"/>
  <c r="Y1591" i="1"/>
  <c r="Z1591" i="1" s="1"/>
  <c r="Y1592" i="1"/>
  <c r="Z1592" i="1" s="1"/>
  <c r="Y1593" i="1"/>
  <c r="Z1593" i="1" s="1"/>
  <c r="Y1594" i="1"/>
  <c r="Z1594" i="1" s="1"/>
  <c r="Y1595" i="1"/>
  <c r="Z1595" i="1" s="1"/>
  <c r="Y1596" i="1"/>
  <c r="Z1596" i="1" s="1"/>
  <c r="Y1597" i="1"/>
  <c r="Z1597" i="1" s="1"/>
  <c r="Y1598" i="1"/>
  <c r="Z1598" i="1" s="1"/>
  <c r="Y1599" i="1"/>
  <c r="Z1599" i="1" s="1"/>
  <c r="Y1600" i="1"/>
  <c r="Z1600" i="1" s="1"/>
  <c r="Y1601" i="1"/>
  <c r="Z1601" i="1" s="1"/>
  <c r="Y1602" i="1"/>
  <c r="Z1602" i="1" s="1"/>
  <c r="Y1603" i="1"/>
  <c r="Z1603" i="1" s="1"/>
  <c r="Y1604" i="1"/>
  <c r="Z1604" i="1" s="1"/>
  <c r="Y1605" i="1"/>
  <c r="Z1605" i="1" s="1"/>
  <c r="Y1606" i="1"/>
  <c r="Z1606" i="1" s="1"/>
  <c r="Y1607" i="1"/>
  <c r="Z1607" i="1" s="1"/>
  <c r="Y1608" i="1"/>
  <c r="Z1608" i="1" s="1"/>
  <c r="Y1609" i="1"/>
  <c r="Z1609" i="1" s="1"/>
  <c r="Y1610" i="1"/>
  <c r="Z1610" i="1" s="1"/>
  <c r="Y1611" i="1"/>
  <c r="Z1611" i="1" s="1"/>
  <c r="Y1612" i="1"/>
  <c r="Z1612" i="1" s="1"/>
  <c r="Y1613" i="1"/>
  <c r="Z1613" i="1" s="1"/>
  <c r="Y1614" i="1"/>
  <c r="Z1614" i="1" s="1"/>
  <c r="Y1615" i="1"/>
  <c r="Z1615" i="1" s="1"/>
  <c r="Y1616" i="1"/>
  <c r="Z1616" i="1" s="1"/>
  <c r="Y1617" i="1"/>
  <c r="Z1617" i="1" s="1"/>
  <c r="Y1618" i="1"/>
  <c r="Z1618" i="1" s="1"/>
  <c r="Y1619" i="1"/>
  <c r="Z1619" i="1" s="1"/>
  <c r="Y1620" i="1"/>
  <c r="Z1620" i="1" s="1"/>
  <c r="Y1621" i="1"/>
  <c r="Y1622" i="1"/>
  <c r="Y1623" i="1"/>
  <c r="Z1623" i="1" s="1"/>
  <c r="Y1624" i="1"/>
  <c r="Z1624" i="1" s="1"/>
  <c r="Y1625" i="1"/>
  <c r="Z1625" i="1" s="1"/>
  <c r="Y1626" i="1"/>
  <c r="Z1626" i="1" s="1"/>
  <c r="Y1627" i="1"/>
  <c r="Z1627" i="1" s="1"/>
  <c r="Y1628" i="1"/>
  <c r="Z1628" i="1" s="1"/>
  <c r="Y1629" i="1"/>
  <c r="Z1629" i="1" s="1"/>
  <c r="Y1630" i="1"/>
  <c r="Z1630" i="1" s="1"/>
  <c r="Y1631" i="1"/>
  <c r="Z1631" i="1" s="1"/>
  <c r="Y1632" i="1"/>
  <c r="Z1632" i="1" s="1"/>
  <c r="Y1633" i="1"/>
  <c r="Z1633" i="1" s="1"/>
  <c r="Y1634" i="1"/>
  <c r="Z1634" i="1" s="1"/>
  <c r="Y1635" i="1"/>
  <c r="Z1635" i="1" s="1"/>
  <c r="Y1636" i="1"/>
  <c r="Z1636" i="1" s="1"/>
  <c r="Y1637" i="1"/>
  <c r="Z1637" i="1" s="1"/>
  <c r="Y1638" i="1"/>
  <c r="Z1638" i="1" s="1"/>
  <c r="Y1639" i="1"/>
  <c r="Z1639" i="1" s="1"/>
  <c r="Y1640" i="1"/>
  <c r="Z1640" i="1" s="1"/>
  <c r="Y1641" i="1"/>
  <c r="Z1641" i="1" s="1"/>
  <c r="Y1642" i="1"/>
  <c r="Z1642" i="1" s="1"/>
  <c r="Y1643" i="1"/>
  <c r="Z1643" i="1" s="1"/>
  <c r="Y1644" i="1"/>
  <c r="Z1644" i="1" s="1"/>
  <c r="Y1645" i="1"/>
  <c r="Z1645" i="1" s="1"/>
  <c r="Y1646" i="1"/>
  <c r="Z1646" i="1" s="1"/>
  <c r="Y1647" i="1"/>
  <c r="Z1647" i="1" s="1"/>
  <c r="Y1648" i="1"/>
  <c r="Z1648" i="1" s="1"/>
  <c r="Y1649" i="1"/>
  <c r="Z1649" i="1" s="1"/>
  <c r="Y1650" i="1"/>
  <c r="Z1650" i="1" s="1"/>
  <c r="Y1651" i="1"/>
  <c r="Z1651" i="1" s="1"/>
  <c r="Y1652" i="1"/>
  <c r="Z1652" i="1" s="1"/>
  <c r="Y1653" i="1"/>
  <c r="Z1653" i="1" s="1"/>
  <c r="Y1654" i="1"/>
  <c r="Z1654" i="1" s="1"/>
  <c r="Y1655" i="1"/>
  <c r="Y1656" i="1"/>
  <c r="Z1656" i="1" s="1"/>
  <c r="Y1657" i="1"/>
  <c r="Z1657" i="1" s="1"/>
  <c r="Y1658" i="1"/>
  <c r="Z1658" i="1" s="1"/>
  <c r="Y1659" i="1"/>
  <c r="Z1659" i="1" s="1"/>
  <c r="Y1660" i="1"/>
  <c r="Z1660" i="1" s="1"/>
  <c r="Y1661" i="1"/>
  <c r="Z1661" i="1" s="1"/>
  <c r="Y1662" i="1"/>
  <c r="Z1662" i="1" s="1"/>
  <c r="Y1663" i="1"/>
  <c r="Z1663" i="1" s="1"/>
  <c r="Y1664" i="1"/>
  <c r="Z1664" i="1" s="1"/>
  <c r="Y1665" i="1"/>
  <c r="Z1665" i="1" s="1"/>
  <c r="Y1666" i="1"/>
  <c r="Z1666" i="1" s="1"/>
  <c r="Y1667" i="1"/>
  <c r="Z1667" i="1" s="1"/>
  <c r="Y1668" i="1"/>
  <c r="Z1668" i="1" s="1"/>
  <c r="Y1669" i="1"/>
  <c r="Z1669" i="1" s="1"/>
  <c r="Y1670" i="1"/>
  <c r="Z1670" i="1" s="1"/>
  <c r="Y1671" i="1"/>
  <c r="Z1671" i="1" s="1"/>
  <c r="Y1672" i="1"/>
  <c r="Z1672" i="1" s="1"/>
  <c r="Y1673" i="1"/>
  <c r="Z1673" i="1" s="1"/>
  <c r="Y1674" i="1"/>
  <c r="Z1674" i="1" s="1"/>
  <c r="Y1675" i="1"/>
  <c r="Z1675" i="1" s="1"/>
  <c r="Y1676" i="1"/>
  <c r="Z1676" i="1" s="1"/>
  <c r="Y1677" i="1"/>
  <c r="Z1677" i="1" s="1"/>
  <c r="Y1678" i="1"/>
  <c r="Z1678" i="1" s="1"/>
  <c r="Y1679" i="1"/>
  <c r="Z1679" i="1" s="1"/>
  <c r="Y1680" i="1"/>
  <c r="Z1680" i="1" s="1"/>
  <c r="Y1681" i="1"/>
  <c r="Z1681" i="1" s="1"/>
  <c r="Y1682" i="1"/>
  <c r="Z1682" i="1" s="1"/>
  <c r="Y1683" i="1"/>
  <c r="Z1683" i="1" s="1"/>
  <c r="Y1684" i="1"/>
  <c r="Z1684" i="1" s="1"/>
  <c r="Y1685" i="1"/>
  <c r="Z1685" i="1" s="1"/>
  <c r="Y1686" i="1"/>
  <c r="Z1686" i="1" s="1"/>
  <c r="Y1687" i="1"/>
  <c r="Z1687" i="1" s="1"/>
  <c r="Y1688" i="1"/>
  <c r="Z1688" i="1" s="1"/>
  <c r="Y1689" i="1"/>
  <c r="Z1689" i="1" s="1"/>
  <c r="Y1690" i="1"/>
  <c r="Z1690" i="1" s="1"/>
  <c r="Y1691" i="1"/>
  <c r="Z1691" i="1" s="1"/>
  <c r="Y1692" i="1"/>
  <c r="Z1692" i="1" s="1"/>
  <c r="Y1693" i="1"/>
  <c r="Z1693" i="1" s="1"/>
  <c r="Y1694" i="1"/>
  <c r="Z1694" i="1" s="1"/>
  <c r="Y1695" i="1"/>
  <c r="Y1696" i="1"/>
  <c r="Z1696" i="1" s="1"/>
  <c r="Y1697" i="1"/>
  <c r="Z1697" i="1" s="1"/>
  <c r="Y1698" i="1"/>
  <c r="Z1698" i="1" s="1"/>
  <c r="Y1699" i="1"/>
  <c r="Z1699" i="1" s="1"/>
  <c r="Y1700" i="1"/>
  <c r="Z1700" i="1" s="1"/>
  <c r="Y1701" i="1"/>
  <c r="Z1701" i="1" s="1"/>
  <c r="Y1702" i="1"/>
  <c r="Z1702" i="1" s="1"/>
  <c r="Y1703" i="1"/>
  <c r="Z1703" i="1" s="1"/>
  <c r="Y1704" i="1"/>
  <c r="Z1704" i="1" s="1"/>
  <c r="Y1705" i="1"/>
  <c r="Z1705" i="1" s="1"/>
  <c r="Y1706" i="1"/>
  <c r="Z1706" i="1" s="1"/>
  <c r="Y1707" i="1"/>
  <c r="Z1707" i="1" s="1"/>
  <c r="Y1708" i="1"/>
  <c r="Z1708" i="1" s="1"/>
  <c r="Y1709" i="1"/>
  <c r="Z1709" i="1" s="1"/>
  <c r="Y1710" i="1"/>
  <c r="Z1710" i="1" s="1"/>
  <c r="Y1711" i="1"/>
  <c r="Z1711" i="1" s="1"/>
  <c r="Y1712" i="1"/>
  <c r="Z1712" i="1" s="1"/>
  <c r="Y1713" i="1"/>
  <c r="Z1713" i="1" s="1"/>
  <c r="Y1714" i="1"/>
  <c r="Z1714" i="1" s="1"/>
  <c r="Y1715" i="1"/>
  <c r="Z1715" i="1" s="1"/>
  <c r="Y1716" i="1"/>
  <c r="Z1716" i="1" s="1"/>
  <c r="Y1717" i="1"/>
  <c r="Z1717" i="1" s="1"/>
  <c r="Y1718" i="1"/>
  <c r="Z1718" i="1" s="1"/>
  <c r="Y1719" i="1"/>
  <c r="Z1719" i="1" s="1"/>
  <c r="Y1720" i="1"/>
  <c r="Y1721" i="1"/>
  <c r="Z1721" i="1" s="1"/>
  <c r="Y1722" i="1"/>
  <c r="Z1722" i="1" s="1"/>
  <c r="Y1723" i="1"/>
  <c r="Z1723" i="1" s="1"/>
  <c r="Y1724" i="1"/>
  <c r="Z1724" i="1" s="1"/>
  <c r="Y1725" i="1"/>
  <c r="Z1725" i="1" s="1"/>
  <c r="Y1726" i="1"/>
  <c r="Z1726" i="1" s="1"/>
  <c r="Y1727" i="1"/>
  <c r="Z1727" i="1" s="1"/>
  <c r="Y1728" i="1"/>
  <c r="Z1728" i="1" s="1"/>
  <c r="Y1729" i="1"/>
  <c r="Z1729" i="1" s="1"/>
  <c r="Y1730" i="1"/>
  <c r="Z1730" i="1" s="1"/>
  <c r="Y1731" i="1"/>
  <c r="Z1731" i="1" s="1"/>
  <c r="Y1732" i="1"/>
  <c r="Z1732" i="1" s="1"/>
  <c r="Y1733" i="1"/>
  <c r="Z1733" i="1" s="1"/>
  <c r="Y1734" i="1"/>
  <c r="Z1734" i="1" s="1"/>
  <c r="Y1735" i="1"/>
  <c r="Z1735" i="1" s="1"/>
  <c r="Y1736" i="1"/>
  <c r="Z1736" i="1" s="1"/>
  <c r="Y1737" i="1"/>
  <c r="Z1737" i="1" s="1"/>
  <c r="Y1738" i="1"/>
  <c r="Z1738" i="1" s="1"/>
  <c r="Y1739" i="1"/>
  <c r="Z1739" i="1" s="1"/>
  <c r="Y1740" i="1"/>
  <c r="Z1740" i="1" s="1"/>
  <c r="Y1741" i="1"/>
  <c r="Z1741" i="1" s="1"/>
  <c r="Y1742" i="1"/>
  <c r="Z1742" i="1" s="1"/>
  <c r="Y1743" i="1"/>
  <c r="Z1743" i="1" s="1"/>
  <c r="Y1744" i="1"/>
  <c r="Z1744" i="1" s="1"/>
  <c r="Y1745" i="1"/>
  <c r="Z1745" i="1" s="1"/>
  <c r="Y1746" i="1"/>
  <c r="Z1746" i="1" s="1"/>
  <c r="Y1747" i="1"/>
  <c r="Z1747" i="1" s="1"/>
  <c r="Y1748" i="1"/>
  <c r="Z1748" i="1" s="1"/>
  <c r="Y1749" i="1"/>
  <c r="Z1749" i="1" s="1"/>
  <c r="Y1750" i="1"/>
  <c r="Z1750" i="1" s="1"/>
  <c r="Y1751" i="1"/>
  <c r="Z1751" i="1" s="1"/>
  <c r="Y1752" i="1"/>
  <c r="Z1752" i="1" s="1"/>
  <c r="Y1753" i="1"/>
  <c r="Z1753" i="1" s="1"/>
  <c r="Y1754" i="1"/>
  <c r="Z1754" i="1" s="1"/>
  <c r="Y1755" i="1"/>
  <c r="Y1756" i="1"/>
  <c r="Z1756" i="1" s="1"/>
  <c r="Y1757" i="1"/>
  <c r="Z1757" i="1" s="1"/>
  <c r="Y1758" i="1"/>
  <c r="Z1758" i="1" s="1"/>
  <c r="Y1759" i="1"/>
  <c r="Z1759" i="1" s="1"/>
  <c r="Y1760" i="1"/>
  <c r="Z1760" i="1" s="1"/>
  <c r="Y1761" i="1"/>
  <c r="Z1761" i="1" s="1"/>
  <c r="Y1762" i="1"/>
  <c r="Z1762" i="1" s="1"/>
  <c r="Y1763" i="1"/>
  <c r="Z1763" i="1" s="1"/>
  <c r="Y1764" i="1"/>
  <c r="Z1764" i="1" s="1"/>
  <c r="Y1765" i="1"/>
  <c r="Z1765" i="1" s="1"/>
  <c r="Y1766" i="1"/>
  <c r="Z1766" i="1" s="1"/>
  <c r="Y1767" i="1"/>
  <c r="Z1767" i="1" s="1"/>
  <c r="Y1768" i="1"/>
  <c r="Z1768" i="1" s="1"/>
  <c r="Y1769" i="1"/>
  <c r="Z1769" i="1" s="1"/>
  <c r="Y1770" i="1"/>
  <c r="Z1770" i="1" s="1"/>
  <c r="Y1771" i="1"/>
  <c r="Z1771" i="1" s="1"/>
  <c r="Y1772" i="1"/>
  <c r="Z1772" i="1" s="1"/>
  <c r="Y1773" i="1"/>
  <c r="Z1773" i="1" s="1"/>
  <c r="Y1774" i="1"/>
  <c r="Z1774" i="1" s="1"/>
  <c r="Y1775" i="1"/>
  <c r="Z1775" i="1" s="1"/>
  <c r="Y1776" i="1"/>
  <c r="Z1776" i="1" s="1"/>
  <c r="Y1777" i="1"/>
  <c r="Z1777" i="1" s="1"/>
  <c r="Y1778" i="1"/>
  <c r="Z1778" i="1" s="1"/>
  <c r="Y1779" i="1"/>
  <c r="Z1779" i="1" s="1"/>
  <c r="Y1780" i="1"/>
  <c r="Z1780" i="1" s="1"/>
  <c r="Y1781" i="1"/>
  <c r="Z1781" i="1" s="1"/>
  <c r="Y1782" i="1"/>
  <c r="Z1782" i="1" s="1"/>
  <c r="Y1783" i="1"/>
  <c r="Z1783" i="1" s="1"/>
  <c r="Y1784" i="1"/>
  <c r="Z1784" i="1" s="1"/>
  <c r="Y1785" i="1"/>
  <c r="Z1785" i="1" s="1"/>
  <c r="Y1786" i="1"/>
  <c r="Z1786" i="1" s="1"/>
  <c r="Y1787" i="1"/>
  <c r="Z1787" i="1" s="1"/>
  <c r="Y1788" i="1"/>
  <c r="Z1788" i="1" s="1"/>
  <c r="Y1789" i="1"/>
  <c r="Z1789" i="1" s="1"/>
  <c r="Y1790" i="1"/>
  <c r="Z1790" i="1" s="1"/>
  <c r="Y1791" i="1"/>
  <c r="Z1791" i="1" s="1"/>
  <c r="Y1792" i="1"/>
  <c r="Z1792" i="1" s="1"/>
  <c r="Y1793" i="1"/>
  <c r="Z1793" i="1" s="1"/>
  <c r="Y1794" i="1"/>
  <c r="Z1794" i="1" s="1"/>
  <c r="Y1795" i="1"/>
  <c r="Z1795" i="1" s="1"/>
  <c r="Y1796" i="1"/>
  <c r="Z1796" i="1" s="1"/>
  <c r="Y1797" i="1"/>
  <c r="Z1797" i="1" s="1"/>
  <c r="Y1798" i="1"/>
  <c r="Z1798" i="1" s="1"/>
  <c r="Y1799" i="1"/>
  <c r="Z1799" i="1" s="1"/>
  <c r="Y1800" i="1"/>
  <c r="Z1800" i="1" s="1"/>
  <c r="Y1801" i="1"/>
  <c r="Z1801" i="1" s="1"/>
  <c r="Y1802" i="1"/>
  <c r="Z1802" i="1" s="1"/>
  <c r="Y1803" i="1"/>
  <c r="Z1803" i="1" s="1"/>
  <c r="Y1804" i="1"/>
  <c r="Z1804" i="1" s="1"/>
  <c r="Y1805" i="1"/>
  <c r="Z1805" i="1" s="1"/>
  <c r="Y1806" i="1"/>
  <c r="Z1806" i="1" s="1"/>
  <c r="Y1807" i="1"/>
  <c r="Z1807" i="1" s="1"/>
  <c r="Y1808" i="1"/>
  <c r="Z1808" i="1" s="1"/>
  <c r="Y1809" i="1"/>
  <c r="Z1809" i="1" s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809" i="1"/>
  <c r="G1529" i="1"/>
  <c r="P1529" i="1"/>
  <c r="Q1529" i="1"/>
  <c r="S1529" i="1"/>
  <c r="T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809" i="1"/>
  <c r="D26" i="6"/>
  <c r="Z2" i="1" l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80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80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80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809" i="1"/>
</calcChain>
</file>

<file path=xl/sharedStrings.xml><?xml version="1.0" encoding="utf-8"?>
<sst xmlns="http://schemas.openxmlformats.org/spreadsheetml/2006/main" count="14687" uniqueCount="729">
  <si>
    <t>TripID</t>
  </si>
  <si>
    <t>ShipperID</t>
  </si>
  <si>
    <t>CategoryID</t>
  </si>
  <si>
    <t>Customer</t>
  </si>
  <si>
    <t>ShipDate</t>
  </si>
  <si>
    <t>OriginCity</t>
  </si>
  <si>
    <t>OriginState</t>
  </si>
  <si>
    <t>ShipDays</t>
  </si>
  <si>
    <t>DestinationCity</t>
  </si>
  <si>
    <t>DestinationState</t>
  </si>
  <si>
    <t>DeliveryDate</t>
  </si>
  <si>
    <t>TotalMiles</t>
  </si>
  <si>
    <t>LoadedMiles</t>
  </si>
  <si>
    <t>ShippingCost</t>
  </si>
  <si>
    <t>Revenue</t>
  </si>
  <si>
    <t>Capacity</t>
  </si>
  <si>
    <t>TripType</t>
  </si>
  <si>
    <t>CheckPoints</t>
  </si>
  <si>
    <t>Reddoit</t>
  </si>
  <si>
    <t>08-07-2016</t>
  </si>
  <si>
    <t>Grand Rapids</t>
  </si>
  <si>
    <t>MI</t>
  </si>
  <si>
    <t>Toledo</t>
  </si>
  <si>
    <t>OH</t>
  </si>
  <si>
    <t>09-07-2016</t>
  </si>
  <si>
    <t>Domestic</t>
  </si>
  <si>
    <t>Plustax</t>
  </si>
  <si>
    <t>21-05-2016</t>
  </si>
  <si>
    <t>Milwaukee</t>
  </si>
  <si>
    <t>WI</t>
  </si>
  <si>
    <t>Springfield</t>
  </si>
  <si>
    <t>IL</t>
  </si>
  <si>
    <t>23-05-2016</t>
  </si>
  <si>
    <t>bamity</t>
  </si>
  <si>
    <t>29-08-2016</t>
  </si>
  <si>
    <t>Skokie</t>
  </si>
  <si>
    <t>30-08-2016</t>
  </si>
  <si>
    <t>Quotelane</t>
  </si>
  <si>
    <t>25-08-2016</t>
  </si>
  <si>
    <t>Chicago</t>
  </si>
  <si>
    <t>Rockford</t>
  </si>
  <si>
    <t>Viatom</t>
  </si>
  <si>
    <t>20-05-2016</t>
  </si>
  <si>
    <t>Indianapolis</t>
  </si>
  <si>
    <t>IN</t>
  </si>
  <si>
    <t>Northbrook</t>
  </si>
  <si>
    <t>Silverfase</t>
  </si>
  <si>
    <t>25-04-2016</t>
  </si>
  <si>
    <t>Naperville</t>
  </si>
  <si>
    <t>28-04-2016</t>
  </si>
  <si>
    <t>O-job</t>
  </si>
  <si>
    <t>03-04-2016</t>
  </si>
  <si>
    <t>Detriot</t>
  </si>
  <si>
    <t>Monon</t>
  </si>
  <si>
    <t>07-04-2016</t>
  </si>
  <si>
    <t>Howtaxon</t>
  </si>
  <si>
    <t>14-05-2016</t>
  </si>
  <si>
    <t>Gary</t>
  </si>
  <si>
    <t>18-05-2016</t>
  </si>
  <si>
    <t>xx-way</t>
  </si>
  <si>
    <t>24-07-2016</t>
  </si>
  <si>
    <t>Joliet</t>
  </si>
  <si>
    <t>Madison</t>
  </si>
  <si>
    <t>26-07-2016</t>
  </si>
  <si>
    <t>san-plex</t>
  </si>
  <si>
    <t>08-04-2016</t>
  </si>
  <si>
    <t>Lansing</t>
  </si>
  <si>
    <t>18-04-2016</t>
  </si>
  <si>
    <t>International</t>
  </si>
  <si>
    <t>Dentocity</t>
  </si>
  <si>
    <t>10-01-2016</t>
  </si>
  <si>
    <t>Kalamazoo</t>
  </si>
  <si>
    <t>15-01-2016</t>
  </si>
  <si>
    <t>Indi-dox</t>
  </si>
  <si>
    <t>02-03-2016</t>
  </si>
  <si>
    <t>Green Bay</t>
  </si>
  <si>
    <t>08-03-2016</t>
  </si>
  <si>
    <t>Damdexon</t>
  </si>
  <si>
    <t>11-06-2016</t>
  </si>
  <si>
    <t>20-06-2016</t>
  </si>
  <si>
    <t>Subdrill</t>
  </si>
  <si>
    <t>17-03-2016</t>
  </si>
  <si>
    <t>21-03-2016</t>
  </si>
  <si>
    <t>Conzumzap</t>
  </si>
  <si>
    <t>19-05-2016</t>
  </si>
  <si>
    <t>Appleton</t>
  </si>
  <si>
    <t>Intercom</t>
  </si>
  <si>
    <t>ontotam</t>
  </si>
  <si>
    <t>22-02-2016</t>
  </si>
  <si>
    <t>Cincinnati</t>
  </si>
  <si>
    <t>23-02-2016</t>
  </si>
  <si>
    <t>Trio-dax</t>
  </si>
  <si>
    <t>01-02-2016</t>
  </si>
  <si>
    <t>Dayton</t>
  </si>
  <si>
    <t>Elgin</t>
  </si>
  <si>
    <t>05-02-2016</t>
  </si>
  <si>
    <t>Ventocore</t>
  </si>
  <si>
    <t>22-04-2016</t>
  </si>
  <si>
    <t>24-04-2016</t>
  </si>
  <si>
    <t>tampquote</t>
  </si>
  <si>
    <t>19-04-2016</t>
  </si>
  <si>
    <t>26-04-2016</t>
  </si>
  <si>
    <t>Recode</t>
  </si>
  <si>
    <t>26-08-2016</t>
  </si>
  <si>
    <t>Bangor</t>
  </si>
  <si>
    <t>Davenport</t>
  </si>
  <si>
    <t>IA</t>
  </si>
  <si>
    <t>Ganjazone</t>
  </si>
  <si>
    <t>24-05-2016</t>
  </si>
  <si>
    <t>25-05-2016</t>
  </si>
  <si>
    <t>hottaxon</t>
  </si>
  <si>
    <t>03-01-2016</t>
  </si>
  <si>
    <t>05-01-2016</t>
  </si>
  <si>
    <t>Keyzunbase</t>
  </si>
  <si>
    <t>27-04-2016</t>
  </si>
  <si>
    <t>K-is</t>
  </si>
  <si>
    <t>07-07-2016</t>
  </si>
  <si>
    <t>Villacom</t>
  </si>
  <si>
    <t>22-08-2016</t>
  </si>
  <si>
    <t>24-08-2016</t>
  </si>
  <si>
    <t>zotit</t>
  </si>
  <si>
    <t>04-04-2016</t>
  </si>
  <si>
    <t>06-04-2016</t>
  </si>
  <si>
    <t>scotquote</t>
  </si>
  <si>
    <t>12-03-2016</t>
  </si>
  <si>
    <t>14-03-2016</t>
  </si>
  <si>
    <t>Stimmedia</t>
  </si>
  <si>
    <t>07-01-2016</t>
  </si>
  <si>
    <t>Lazap</t>
  </si>
  <si>
    <t>19-03-2016</t>
  </si>
  <si>
    <t>22-03-2016</t>
  </si>
  <si>
    <t>Baselux</t>
  </si>
  <si>
    <t>28-02-2016</t>
  </si>
  <si>
    <t>09-03-2016</t>
  </si>
  <si>
    <t>Dingity</t>
  </si>
  <si>
    <t>06-06-2016</t>
  </si>
  <si>
    <t>13-06-2016</t>
  </si>
  <si>
    <t>Fax-ex</t>
  </si>
  <si>
    <t>21-08-2016</t>
  </si>
  <si>
    <t>27-08-2016</t>
  </si>
  <si>
    <t>Duodax</t>
  </si>
  <si>
    <t>05-08-2016</t>
  </si>
  <si>
    <t>12-08-2016</t>
  </si>
  <si>
    <t>Planethouse</t>
  </si>
  <si>
    <t>23-07-2016</t>
  </si>
  <si>
    <t>Overtam</t>
  </si>
  <si>
    <t>07-06-2016</t>
  </si>
  <si>
    <t>08-06-2016</t>
  </si>
  <si>
    <t>Solholdings</t>
  </si>
  <si>
    <t>28-07-2016</t>
  </si>
  <si>
    <t>29-07-2016</t>
  </si>
  <si>
    <t>Cannamcon</t>
  </si>
  <si>
    <t>31-01-2016</t>
  </si>
  <si>
    <t>02-02-2016</t>
  </si>
  <si>
    <t>Zerfax</t>
  </si>
  <si>
    <t>17-07-2016</t>
  </si>
  <si>
    <t>19-07-2016</t>
  </si>
  <si>
    <t>Technoline</t>
  </si>
  <si>
    <t>13-04-2016</t>
  </si>
  <si>
    <t>applanet</t>
  </si>
  <si>
    <t>09-04-2016</t>
  </si>
  <si>
    <t>14-04-2016</t>
  </si>
  <si>
    <t>Zoncone</t>
  </si>
  <si>
    <t>06-02-2016</t>
  </si>
  <si>
    <t>07-02-2016</t>
  </si>
  <si>
    <t>Canemedkix</t>
  </si>
  <si>
    <t>29-01-2016</t>
  </si>
  <si>
    <t>Whitefan</t>
  </si>
  <si>
    <t>26-02-2016</t>
  </si>
  <si>
    <t>Strongdax</t>
  </si>
  <si>
    <t>20-04-2016</t>
  </si>
  <si>
    <t>23-04-2016</t>
  </si>
  <si>
    <t>Xx-dotone</t>
  </si>
  <si>
    <t>Tamcan</t>
  </si>
  <si>
    <t>06-01-2016</t>
  </si>
  <si>
    <t>Sanin</t>
  </si>
  <si>
    <t>23-06-2016</t>
  </si>
  <si>
    <t>25-06-2016</t>
  </si>
  <si>
    <t>Sonlex</t>
  </si>
  <si>
    <t>13-07-2016</t>
  </si>
  <si>
    <t>16-07-2016</t>
  </si>
  <si>
    <t>Groovestrip</t>
  </si>
  <si>
    <t>Matdex</t>
  </si>
  <si>
    <t>27-07-2016</t>
  </si>
  <si>
    <t>06-08-2016</t>
  </si>
  <si>
    <t>Saohow</t>
  </si>
  <si>
    <t>02-04-2016</t>
  </si>
  <si>
    <t>Yearlex</t>
  </si>
  <si>
    <t>05-09-2016</t>
  </si>
  <si>
    <t>Bamtechnology</t>
  </si>
  <si>
    <t>04-07-2016</t>
  </si>
  <si>
    <t>12-07-2016</t>
  </si>
  <si>
    <t>dripkix</t>
  </si>
  <si>
    <t>21-01-2016</t>
  </si>
  <si>
    <t>Instrip</t>
  </si>
  <si>
    <t>xx-bam</t>
  </si>
  <si>
    <t>02-05-2016</t>
  </si>
  <si>
    <t>06-05-2016</t>
  </si>
  <si>
    <t>Zaamhouse</t>
  </si>
  <si>
    <t>27-03-2016</t>
  </si>
  <si>
    <t>28-03-2016</t>
  </si>
  <si>
    <t>zoofan</t>
  </si>
  <si>
    <t>24-02-2016</t>
  </si>
  <si>
    <t>Zuntexon</t>
  </si>
  <si>
    <t>23-01-2016</t>
  </si>
  <si>
    <t>Howplanet</t>
  </si>
  <si>
    <t>29-02-2016</t>
  </si>
  <si>
    <t>06-03-2016</t>
  </si>
  <si>
    <t>Fasezim</t>
  </si>
  <si>
    <t>03-03-2016</t>
  </si>
  <si>
    <t>Sanlab</t>
  </si>
  <si>
    <t>11-08-2016</t>
  </si>
  <si>
    <t>14-08-2016</t>
  </si>
  <si>
    <t>Mathing</t>
  </si>
  <si>
    <t>16-08-2016</t>
  </si>
  <si>
    <t>Tamholding</t>
  </si>
  <si>
    <t>23-08-2016</t>
  </si>
  <si>
    <t>Greentech</t>
  </si>
  <si>
    <t>09-05-2016</t>
  </si>
  <si>
    <t>Goldenbam</t>
  </si>
  <si>
    <t>silfase</t>
  </si>
  <si>
    <t>11-04-2016</t>
  </si>
  <si>
    <t>15-04-2016</t>
  </si>
  <si>
    <t>Unoex</t>
  </si>
  <si>
    <t>10-05-2016</t>
  </si>
  <si>
    <t>Zoodrill</t>
  </si>
  <si>
    <t>07-05-2016</t>
  </si>
  <si>
    <t>08-05-2016</t>
  </si>
  <si>
    <t>Sunjob</t>
  </si>
  <si>
    <t>25-01-2016</t>
  </si>
  <si>
    <t>Anmedia</t>
  </si>
  <si>
    <t>16-05-2016</t>
  </si>
  <si>
    <t>Daltfax</t>
  </si>
  <si>
    <t>Physcone</t>
  </si>
  <si>
    <t>31-03-2016</t>
  </si>
  <si>
    <t>Kincorporation</t>
  </si>
  <si>
    <t>28-01-2016</t>
  </si>
  <si>
    <t>Vaiazozice</t>
  </si>
  <si>
    <t>11-03-2016</t>
  </si>
  <si>
    <t>Plusla</t>
  </si>
  <si>
    <t>31-08-2016</t>
  </si>
  <si>
    <t>04-09-2016</t>
  </si>
  <si>
    <t>nimlab</t>
  </si>
  <si>
    <t>01-09-2016</t>
  </si>
  <si>
    <t>tamplex</t>
  </si>
  <si>
    <t>18-01-2016</t>
  </si>
  <si>
    <t>22-01-2016</t>
  </si>
  <si>
    <t>Blueit</t>
  </si>
  <si>
    <t>13-05-2016</t>
  </si>
  <si>
    <t>roundphase</t>
  </si>
  <si>
    <t>Faseway</t>
  </si>
  <si>
    <t>Tripplekix</t>
  </si>
  <si>
    <t>30-03-2016</t>
  </si>
  <si>
    <t>01-04-2016</t>
  </si>
  <si>
    <t>Dontam</t>
  </si>
  <si>
    <t>27-02-2016</t>
  </si>
  <si>
    <t>Scotfase</t>
  </si>
  <si>
    <t>14-01-2016</t>
  </si>
  <si>
    <t>Newzap</t>
  </si>
  <si>
    <t>03-02-2016</t>
  </si>
  <si>
    <t>mathtouch</t>
  </si>
  <si>
    <t>11-05-2016</t>
  </si>
  <si>
    <t>Zimity</t>
  </si>
  <si>
    <t>12-01-2016</t>
  </si>
  <si>
    <t>16-01-2016</t>
  </si>
  <si>
    <t>Dongbiolex</t>
  </si>
  <si>
    <t>J-lax</t>
  </si>
  <si>
    <t>geofind</t>
  </si>
  <si>
    <t>11-02-2016</t>
  </si>
  <si>
    <t>Iceelectrics</t>
  </si>
  <si>
    <t>05-04-2016</t>
  </si>
  <si>
    <t>Vaiazoom</t>
  </si>
  <si>
    <t>25-03-2016</t>
  </si>
  <si>
    <t>Vaiataxon</t>
  </si>
  <si>
    <t>16-03-2016</t>
  </si>
  <si>
    <t>Pluslam</t>
  </si>
  <si>
    <t>Rancan</t>
  </si>
  <si>
    <t>Singleholdings</t>
  </si>
  <si>
    <t>17-06-2016</t>
  </si>
  <si>
    <t>21-06-2016</t>
  </si>
  <si>
    <t>Gravetech</t>
  </si>
  <si>
    <t>Strongcane</t>
  </si>
  <si>
    <t>01-06-2016</t>
  </si>
  <si>
    <t>02-06-2016</t>
  </si>
  <si>
    <t>Condintex</t>
  </si>
  <si>
    <t>01-05-2016</t>
  </si>
  <si>
    <t>04-05-2016</t>
  </si>
  <si>
    <t>Xx-canex</t>
  </si>
  <si>
    <t>Itdom</t>
  </si>
  <si>
    <t>Zamholdings</t>
  </si>
  <si>
    <t>10-02-2016</t>
  </si>
  <si>
    <t>13-02-2016</t>
  </si>
  <si>
    <t>Duo-fase</t>
  </si>
  <si>
    <t>22-06-2016</t>
  </si>
  <si>
    <t>Saozoomtex</t>
  </si>
  <si>
    <t>Funlax</t>
  </si>
  <si>
    <t>13-03-2016</t>
  </si>
  <si>
    <t>Beta-ron</t>
  </si>
  <si>
    <t>02-07-2016</t>
  </si>
  <si>
    <t>05-07-2016</t>
  </si>
  <si>
    <t>Zentrax</t>
  </si>
  <si>
    <t>17-08-2016</t>
  </si>
  <si>
    <t>19-08-2016</t>
  </si>
  <si>
    <t>bluecorporation</t>
  </si>
  <si>
    <t>02-01-2016</t>
  </si>
  <si>
    <t>Fin-cone</t>
  </si>
  <si>
    <t>Ranmedia</t>
  </si>
  <si>
    <t>15-08-2016</t>
  </si>
  <si>
    <t>Trueplus</t>
  </si>
  <si>
    <t>04-02-2016</t>
  </si>
  <si>
    <t>09-02-2016</t>
  </si>
  <si>
    <t>Templax</t>
  </si>
  <si>
    <t>15-05-2016</t>
  </si>
  <si>
    <t>Medialax</t>
  </si>
  <si>
    <t>Ronlamice</t>
  </si>
  <si>
    <t>09-06-2016</t>
  </si>
  <si>
    <t>10-06-2016</t>
  </si>
  <si>
    <t>Zummatexon</t>
  </si>
  <si>
    <t>27-06-2016</t>
  </si>
  <si>
    <t>29-06-2016</t>
  </si>
  <si>
    <t>Aptaxon</t>
  </si>
  <si>
    <t>Strongtechnology</t>
  </si>
  <si>
    <t>Plextechi</t>
  </si>
  <si>
    <t>Donplanet</t>
  </si>
  <si>
    <t>10-03-2016</t>
  </si>
  <si>
    <t>Whitekix</t>
  </si>
  <si>
    <t>Streetplus</t>
  </si>
  <si>
    <t>26-01-2016</t>
  </si>
  <si>
    <t>K-antex</t>
  </si>
  <si>
    <t>Constreet</t>
  </si>
  <si>
    <t>Quotefix</t>
  </si>
  <si>
    <t>Dripvivadex</t>
  </si>
  <si>
    <t>15-02-2016</t>
  </si>
  <si>
    <t>19-02-2016</t>
  </si>
  <si>
    <t>Trustcorporation</t>
  </si>
  <si>
    <t>Zimjiit</t>
  </si>
  <si>
    <t>Scotcan</t>
  </si>
  <si>
    <t>18-03-2016</t>
  </si>
  <si>
    <t>Duoflex</t>
  </si>
  <si>
    <t>02-09-2016</t>
  </si>
  <si>
    <t>Canetechnology</t>
  </si>
  <si>
    <t>18-08-2016</t>
  </si>
  <si>
    <t>Zotcare</t>
  </si>
  <si>
    <t>Solostreet</t>
  </si>
  <si>
    <t>31-05-2016</t>
  </si>
  <si>
    <t>Xx-planet</t>
  </si>
  <si>
    <t>apzone</t>
  </si>
  <si>
    <t>Donglax</t>
  </si>
  <si>
    <t>12-05-2016</t>
  </si>
  <si>
    <t>Jaylane</t>
  </si>
  <si>
    <t>17-05-2016</t>
  </si>
  <si>
    <t>Silverace</t>
  </si>
  <si>
    <t>05-03-2016</t>
  </si>
  <si>
    <t>07-03-2016</t>
  </si>
  <si>
    <t>Conelane</t>
  </si>
  <si>
    <t>26-03-2016</t>
  </si>
  <si>
    <t>Matsanice</t>
  </si>
  <si>
    <t>Ronplanet</t>
  </si>
  <si>
    <t>11-01-2016</t>
  </si>
  <si>
    <t>Lexiplus</t>
  </si>
  <si>
    <t>Plusity</t>
  </si>
  <si>
    <t>Laex</t>
  </si>
  <si>
    <t>14-02-2016</t>
  </si>
  <si>
    <t>18-02-2016</t>
  </si>
  <si>
    <t>Tantax</t>
  </si>
  <si>
    <t>03-06-2016</t>
  </si>
  <si>
    <t>Solohex</t>
  </si>
  <si>
    <t>22-05-2016</t>
  </si>
  <si>
    <t>26-05-2016</t>
  </si>
  <si>
    <t>Zapline</t>
  </si>
  <si>
    <t>Tamtexon</t>
  </si>
  <si>
    <t>D-zohex</t>
  </si>
  <si>
    <t>Joyancom</t>
  </si>
  <si>
    <t>29-05-2016</t>
  </si>
  <si>
    <t>Goodtechno</t>
  </si>
  <si>
    <t>Zunice</t>
  </si>
  <si>
    <t>07-09-2016</t>
  </si>
  <si>
    <t>Goodquoing</t>
  </si>
  <si>
    <t>Fasetech</t>
  </si>
  <si>
    <t>20-02-2016</t>
  </si>
  <si>
    <t>Flexplex</t>
  </si>
  <si>
    <t>29-03-2016</t>
  </si>
  <si>
    <t>Bluezoombam</t>
  </si>
  <si>
    <t>Cityis</t>
  </si>
  <si>
    <t>Kantone</t>
  </si>
  <si>
    <t>Treedrill</t>
  </si>
  <si>
    <t>31-07-2016</t>
  </si>
  <si>
    <t>09-08-2016</t>
  </si>
  <si>
    <t>stripzim</t>
  </si>
  <si>
    <t>Dingquokix</t>
  </si>
  <si>
    <t>Ronvivalam</t>
  </si>
  <si>
    <t>04-03-2016</t>
  </si>
  <si>
    <t>Y-flex</t>
  </si>
  <si>
    <t>Faxotfind</t>
  </si>
  <si>
    <t>27-01-2016</t>
  </si>
  <si>
    <t>Warelane</t>
  </si>
  <si>
    <t>30-01-2016</t>
  </si>
  <si>
    <t>Hexunobam</t>
  </si>
  <si>
    <t>Quadplanet</t>
  </si>
  <si>
    <t>01-07-2016</t>
  </si>
  <si>
    <t>Opehouse</t>
  </si>
  <si>
    <t>Carekix</t>
  </si>
  <si>
    <t>Ozeris</t>
  </si>
  <si>
    <t>Singlejob</t>
  </si>
  <si>
    <t>25-07-2016</t>
  </si>
  <si>
    <t>02-08-2016</t>
  </si>
  <si>
    <t>Y-zoom</t>
  </si>
  <si>
    <t>Faxron</t>
  </si>
  <si>
    <t>13-08-2016</t>
  </si>
  <si>
    <t>Faseron</t>
  </si>
  <si>
    <t>05-06-2016</t>
  </si>
  <si>
    <t>Lamlab</t>
  </si>
  <si>
    <t>Geoit</t>
  </si>
  <si>
    <t>21-04-2016</t>
  </si>
  <si>
    <t>planetron</t>
  </si>
  <si>
    <t>07-08-2016</t>
  </si>
  <si>
    <t>08-08-2016</t>
  </si>
  <si>
    <t>Stimcore</t>
  </si>
  <si>
    <t>16-04-2016</t>
  </si>
  <si>
    <t>Zuntone</t>
  </si>
  <si>
    <t>techmedia</t>
  </si>
  <si>
    <t>Labdox</t>
  </si>
  <si>
    <t>10-08-2016</t>
  </si>
  <si>
    <t>Lexidom</t>
  </si>
  <si>
    <t>13-01-2016</t>
  </si>
  <si>
    <t>zummatax</t>
  </si>
  <si>
    <t>20-07-2016</t>
  </si>
  <si>
    <t>Saokeycane</t>
  </si>
  <si>
    <t>Keystreet</t>
  </si>
  <si>
    <t>Inzone</t>
  </si>
  <si>
    <t>20-03-2016</t>
  </si>
  <si>
    <t>Zerlane</t>
  </si>
  <si>
    <t>Fixace</t>
  </si>
  <si>
    <t>tres-tone</t>
  </si>
  <si>
    <t>unaity</t>
  </si>
  <si>
    <t>16-02-2016</t>
  </si>
  <si>
    <t>Scotline</t>
  </si>
  <si>
    <t>30-05-2016</t>
  </si>
  <si>
    <t>Daltcare</t>
  </si>
  <si>
    <t>30-06-2016</t>
  </si>
  <si>
    <t>doubleis</t>
  </si>
  <si>
    <t>Ontohatron</t>
  </si>
  <si>
    <t>Indibase</t>
  </si>
  <si>
    <t>Dongtinlux</t>
  </si>
  <si>
    <t>04-06-2016</t>
  </si>
  <si>
    <t>geohigh</t>
  </si>
  <si>
    <t>Mediaware</t>
  </si>
  <si>
    <t>24-01-2016</t>
  </si>
  <si>
    <t>Goldenlex</t>
  </si>
  <si>
    <t>15-03-2016</t>
  </si>
  <si>
    <t>Canecare</t>
  </si>
  <si>
    <t>Zumcane</t>
  </si>
  <si>
    <t>Zerhouse</t>
  </si>
  <si>
    <t>23-03-2016</t>
  </si>
  <si>
    <t>24-03-2016</t>
  </si>
  <si>
    <t>Ganzsannix</t>
  </si>
  <si>
    <t>Yearcorporation</t>
  </si>
  <si>
    <t>Planetline</t>
  </si>
  <si>
    <t>Planetware</t>
  </si>
  <si>
    <t>Indigoice</t>
  </si>
  <si>
    <t>25-02-2016</t>
  </si>
  <si>
    <t>Zotfan</t>
  </si>
  <si>
    <t>01-03-2016</t>
  </si>
  <si>
    <t>Medcan</t>
  </si>
  <si>
    <t>Fixcan</t>
  </si>
  <si>
    <t>Dentoelectrics</t>
  </si>
  <si>
    <t>conestreet</t>
  </si>
  <si>
    <t>22-07-2016</t>
  </si>
  <si>
    <t>Toncode</t>
  </si>
  <si>
    <t>Rankphase</t>
  </si>
  <si>
    <t>04-08-2016</t>
  </si>
  <si>
    <t>Gravemedia</t>
  </si>
  <si>
    <t>Alphadax</t>
  </si>
  <si>
    <t>15-06-2016</t>
  </si>
  <si>
    <t>16-06-2016</t>
  </si>
  <si>
    <t>Citytone</t>
  </si>
  <si>
    <t>Alphafan</t>
  </si>
  <si>
    <t>D-quadlux</t>
  </si>
  <si>
    <t>Funlatlex</t>
  </si>
  <si>
    <t>wareholding</t>
  </si>
  <si>
    <t>29-04-2016</t>
  </si>
  <si>
    <t>Anzammedia</t>
  </si>
  <si>
    <t>Zoomhex</t>
  </si>
  <si>
    <t>Tripple-fax</t>
  </si>
  <si>
    <t>Qvofix</t>
  </si>
  <si>
    <t>Isdexon</t>
  </si>
  <si>
    <t>Faseelectronics</t>
  </si>
  <si>
    <t>Solozap</t>
  </si>
  <si>
    <t>Golddexon</t>
  </si>
  <si>
    <t>Zunhouse</t>
  </si>
  <si>
    <t>Inchholdings</t>
  </si>
  <si>
    <t>Runhigh</t>
  </si>
  <si>
    <t>30-07-2016</t>
  </si>
  <si>
    <t>white-high</t>
  </si>
  <si>
    <t>Fasezoomfix</t>
  </si>
  <si>
    <t>Dingcan</t>
  </si>
  <si>
    <t>Opebase</t>
  </si>
  <si>
    <t>hexzim</t>
  </si>
  <si>
    <t>03-07-2016</t>
  </si>
  <si>
    <t>06-07-2016</t>
  </si>
  <si>
    <t>Scotlex</t>
  </si>
  <si>
    <t>Good-find</t>
  </si>
  <si>
    <t>Plexlamway</t>
  </si>
  <si>
    <t>Latgotrax</t>
  </si>
  <si>
    <t>hotity</t>
  </si>
  <si>
    <t>Scothouse</t>
  </si>
  <si>
    <t>Striplane</t>
  </si>
  <si>
    <t>Technodax</t>
  </si>
  <si>
    <t>re-can</t>
  </si>
  <si>
    <t>28-05-2016</t>
  </si>
  <si>
    <t>Unatrax</t>
  </si>
  <si>
    <t>acequote</t>
  </si>
  <si>
    <t>ganz-is</t>
  </si>
  <si>
    <t>01-08-2016</t>
  </si>
  <si>
    <t>Sonbam</t>
  </si>
  <si>
    <t>Freebam</t>
  </si>
  <si>
    <t>Faxzumtrax</t>
  </si>
  <si>
    <t>Sonzamace</t>
  </si>
  <si>
    <t>Linezatlam</t>
  </si>
  <si>
    <t>O-ace</t>
  </si>
  <si>
    <t>Statway</t>
  </si>
  <si>
    <t>08-02-2016</t>
  </si>
  <si>
    <t>12-02-2016</t>
  </si>
  <si>
    <t>Zunzone</t>
  </si>
  <si>
    <t>hat-core</t>
  </si>
  <si>
    <t>zathhow</t>
  </si>
  <si>
    <t>Subvivais</t>
  </si>
  <si>
    <t>Saltfan</t>
  </si>
  <si>
    <t>Joygreen</t>
  </si>
  <si>
    <t>Donelectrics</t>
  </si>
  <si>
    <t>04-01-2016</t>
  </si>
  <si>
    <t>08-01-2016</t>
  </si>
  <si>
    <t>Icedox</t>
  </si>
  <si>
    <t>Namelectronics</t>
  </si>
  <si>
    <t>Warecity</t>
  </si>
  <si>
    <t>03-08-2016</t>
  </si>
  <si>
    <t>Donremlane</t>
  </si>
  <si>
    <t>26-06-2016</t>
  </si>
  <si>
    <t>Ganzlane</t>
  </si>
  <si>
    <t>Streetlam</t>
  </si>
  <si>
    <t>14-07-2016</t>
  </si>
  <si>
    <t>Tonsanhigh</t>
  </si>
  <si>
    <t>28-06-2016</t>
  </si>
  <si>
    <t>Siliconcore</t>
  </si>
  <si>
    <t>dan-high</t>
  </si>
  <si>
    <t>Jobtechnology</t>
  </si>
  <si>
    <t>Daltron</t>
  </si>
  <si>
    <t>Y-strip</t>
  </si>
  <si>
    <t>Danfan</t>
  </si>
  <si>
    <t>Plustaxon</t>
  </si>
  <si>
    <t>Truebam</t>
  </si>
  <si>
    <t>Triootity</t>
  </si>
  <si>
    <t>Konknix</t>
  </si>
  <si>
    <t>18-07-2016</t>
  </si>
  <si>
    <t>Dongbase</t>
  </si>
  <si>
    <t>Howelectrics</t>
  </si>
  <si>
    <t>Dingfax</t>
  </si>
  <si>
    <t>Zimex</t>
  </si>
  <si>
    <t>Saocity</t>
  </si>
  <si>
    <t>Joyzim</t>
  </si>
  <si>
    <t>Silver-line</t>
  </si>
  <si>
    <t>una-phase</t>
  </si>
  <si>
    <t>Condexon</t>
  </si>
  <si>
    <t>Roundlam</t>
  </si>
  <si>
    <t>Canphase</t>
  </si>
  <si>
    <t>betaity</t>
  </si>
  <si>
    <t>Jaydox</t>
  </si>
  <si>
    <t>21-02-2016</t>
  </si>
  <si>
    <t>O-tom</t>
  </si>
  <si>
    <t>Canex</t>
  </si>
  <si>
    <t>villahouse</t>
  </si>
  <si>
    <t>Tempfan</t>
  </si>
  <si>
    <t>Vivazim</t>
  </si>
  <si>
    <t>citydexon</t>
  </si>
  <si>
    <t>19-01-2016</t>
  </si>
  <si>
    <t>Ittam</t>
  </si>
  <si>
    <t>saltlab</t>
  </si>
  <si>
    <t>Conehotice</t>
  </si>
  <si>
    <t>Itcantrans</t>
  </si>
  <si>
    <t>Blue-tech</t>
  </si>
  <si>
    <t>Unahigh</t>
  </si>
  <si>
    <t>openzap</t>
  </si>
  <si>
    <t>Redozetam</t>
  </si>
  <si>
    <t>20-01-2016</t>
  </si>
  <si>
    <t>Coneranron</t>
  </si>
  <si>
    <t>zen-holdings</t>
  </si>
  <si>
    <t>Warebam</t>
  </si>
  <si>
    <t>28-08-2016</t>
  </si>
  <si>
    <t>Zathlane</t>
  </si>
  <si>
    <t>Hayholding</t>
  </si>
  <si>
    <t>Finlux</t>
  </si>
  <si>
    <t>Zamlane</t>
  </si>
  <si>
    <t>Viacane</t>
  </si>
  <si>
    <t>Gogokeying</t>
  </si>
  <si>
    <t>tinron</t>
  </si>
  <si>
    <t>Canace</t>
  </si>
  <si>
    <t>Donware</t>
  </si>
  <si>
    <t>20-08-2016</t>
  </si>
  <si>
    <t>Linetone</t>
  </si>
  <si>
    <t>Tantechi</t>
  </si>
  <si>
    <t>Goldentechi</t>
  </si>
  <si>
    <t>Iselectrics</t>
  </si>
  <si>
    <t>Kinice</t>
  </si>
  <si>
    <t>Bamgeohigh</t>
  </si>
  <si>
    <t>Funfintech</t>
  </si>
  <si>
    <t>Latcore</t>
  </si>
  <si>
    <t>03-05-2016</t>
  </si>
  <si>
    <t>18-06-2016</t>
  </si>
  <si>
    <t>11-07-2016</t>
  </si>
  <si>
    <t>17-04-2016</t>
  </si>
  <si>
    <t>12-06-2016</t>
  </si>
  <si>
    <t>17-02-2016</t>
  </si>
  <si>
    <t>01-01-2016</t>
  </si>
  <si>
    <t>19-06-2016</t>
  </si>
  <si>
    <t>15-07-2016</t>
  </si>
  <si>
    <t>17-01-2016</t>
  </si>
  <si>
    <t>27-05-2016</t>
  </si>
  <si>
    <t>14-06-2016</t>
  </si>
  <si>
    <t>06-09-2016</t>
  </si>
  <si>
    <t>24-06-2016</t>
  </si>
  <si>
    <t>10-04-2016</t>
  </si>
  <si>
    <t>03-09-2016</t>
  </si>
  <si>
    <t>10-07-2016</t>
  </si>
  <si>
    <t>12-04-2016</t>
  </si>
  <si>
    <t>30-04-2016</t>
  </si>
  <si>
    <t>09-01-2016</t>
  </si>
  <si>
    <t>05-05-2016</t>
  </si>
  <si>
    <t>21-07-2016</t>
  </si>
  <si>
    <t>08-09-2016</t>
  </si>
  <si>
    <t>Requirements:</t>
  </si>
  <si>
    <t>Analysis Questions:</t>
  </si>
  <si>
    <t>How many trips are completed per shipper, and how do their average delivery times compare?</t>
  </si>
  <si>
    <t>2. Cost &amp; Revenue Analysis</t>
  </si>
  <si>
    <r>
      <t>What is the overall profit margin per trip (</t>
    </r>
    <r>
      <rPr>
        <sz val="10"/>
        <color rgb="FF000000"/>
        <rFont val="Arial Unicode MS"/>
        <family val="2"/>
      </rPr>
      <t>Revenue - ShippingCost</t>
    </r>
    <r>
      <rPr>
        <sz val="11"/>
        <color rgb="FF000000"/>
        <rFont val="Calibri"/>
        <family val="2"/>
      </rPr>
      <t>)?</t>
    </r>
  </si>
  <si>
    <t>3. Capacity &amp; Utilization</t>
  </si>
  <si>
    <t>4. Customer Insights</t>
  </si>
  <si>
    <t>Which customers have the most shipments?</t>
  </si>
  <si>
    <t>5. Geographic Insights</t>
  </si>
  <si>
    <t>What are the most common lanes (routes) used?</t>
  </si>
  <si>
    <t>6. Trip Trends &amp; Volume</t>
  </si>
  <si>
    <t>What is the trend of average shipping cost over time?</t>
  </si>
  <si>
    <t>7. Performance Monitoring</t>
  </si>
  <si>
    <t>1. Operational Efficiency</t>
  </si>
  <si>
    <r>
      <t>What is the average shipping duration (</t>
    </r>
    <r>
      <rPr>
        <sz val="10"/>
        <color rgb="FF000000"/>
        <rFont val="Arial Unicode MS"/>
        <family val="2"/>
      </rPr>
      <t>ShipDays</t>
    </r>
    <r>
      <rPr>
        <sz val="11"/>
        <color rgb="FF000000"/>
        <rFont val="Calibri"/>
        <family val="2"/>
      </rPr>
      <t>) by origin to destination state?</t>
    </r>
  </si>
  <si>
    <t>Which routes (Origin city-Destination city pairs) have the longest and shortest average delivery times?</t>
  </si>
  <si>
    <t>Which trips or routes generate the highest revenue?</t>
  </si>
  <si>
    <t>What is the cost per mile and revenue per mile for different trip?</t>
  </si>
  <si>
    <t>What is the average truck capacity?</t>
  </si>
  <si>
    <t>Average capacity by trip type?</t>
  </si>
  <si>
    <t>Calculate load factor?</t>
  </si>
  <si>
    <t>Find top 10 customer by total profit?</t>
  </si>
  <si>
    <t>Which customers are associated with the longest shipping times?</t>
  </si>
  <si>
    <t>Which cities are the most frequent origins and destinations?</t>
  </si>
  <si>
    <t>How do revenue and cost vary by origin state?</t>
  </si>
  <si>
    <t>How many trips are completed each month?</t>
  </si>
  <si>
    <t>Are there any seasonal trends in shipping volume?</t>
  </si>
  <si>
    <r>
      <t xml:space="preserve">Which trips exceed expected delivery time (Average </t>
    </r>
    <r>
      <rPr>
        <sz val="10"/>
        <color rgb="FF000000"/>
        <rFont val="Arial Unicode MS"/>
        <family val="2"/>
      </rPr>
      <t>ShipDays</t>
    </r>
    <r>
      <rPr>
        <sz val="11"/>
        <color rgb="FF000000"/>
        <rFont val="Calibri"/>
        <family val="2"/>
      </rPr>
      <t>) compared to actual (</t>
    </r>
    <r>
      <rPr>
        <sz val="10"/>
        <color rgb="FF000000"/>
        <rFont val="Arial Unicode MS"/>
        <family val="2"/>
      </rPr>
      <t>DeliveryDate - ShipDate</t>
    </r>
    <r>
      <rPr>
        <sz val="11"/>
        <color rgb="FF000000"/>
        <rFont val="Calibri"/>
        <family val="2"/>
      </rPr>
      <t>)?</t>
    </r>
  </si>
  <si>
    <t>How many checkpoints are passed per trip, and how do they correlate with delays?</t>
  </si>
  <si>
    <t>Which shipper is the most reliable in terms of on-time delivery?</t>
  </si>
  <si>
    <t>Transport Data Analysis Project</t>
  </si>
  <si>
    <t>Transportion conpany is seeking to gain deeper insights into its operational and financial performance through data analysis. With a focus on optimizing efficiency, reducing costs, and enhancing service delivery, the company aims to analyze key data points across various aspects of its logistics and transportation services.</t>
  </si>
  <si>
    <t>Row Labels</t>
  </si>
  <si>
    <t>Grand Total</t>
  </si>
  <si>
    <t>Average of ShipDays</t>
  </si>
  <si>
    <t>Average of Capacity</t>
  </si>
  <si>
    <t xml:space="preserve">SD Average = </t>
  </si>
  <si>
    <t>longest ave. delivery time.</t>
  </si>
  <si>
    <t>shortest ave. delivery time.</t>
  </si>
  <si>
    <t>Count of TripID</t>
  </si>
  <si>
    <t>Sum of Revenue</t>
  </si>
  <si>
    <t>Sum of ShippingCost</t>
  </si>
  <si>
    <t>THE OVERALL PROFIT MARGIN PER TRIP</t>
  </si>
  <si>
    <t>Cost per mile</t>
  </si>
  <si>
    <t>Revenue per mile</t>
  </si>
  <si>
    <t>Sum of Revenue per mile</t>
  </si>
  <si>
    <t>Sum of Cost per mile</t>
  </si>
  <si>
    <t>Question 7 =</t>
  </si>
  <si>
    <t xml:space="preserve">.- </t>
  </si>
  <si>
    <t>Load factor</t>
  </si>
  <si>
    <t>Average of Load factor</t>
  </si>
  <si>
    <t>Count of ShipperID</t>
  </si>
  <si>
    <t>Total profit</t>
  </si>
  <si>
    <t>Sum of Total profit</t>
  </si>
  <si>
    <t>Count of DestinationCity</t>
  </si>
  <si>
    <t>Count of OriginCity</t>
  </si>
  <si>
    <t>Route</t>
  </si>
  <si>
    <t>Count of Route</t>
  </si>
  <si>
    <t>Dayton - Elgin</t>
  </si>
  <si>
    <t>Month</t>
  </si>
  <si>
    <t>Sum of ShipperID</t>
  </si>
  <si>
    <t>2016 - June</t>
  </si>
  <si>
    <t>2016 - July</t>
  </si>
  <si>
    <t>2016 - March</t>
  </si>
  <si>
    <t>2016 - August</t>
  </si>
  <si>
    <t>2016 - May</t>
  </si>
  <si>
    <t>2016 - February</t>
  </si>
  <si>
    <t>2016 - April</t>
  </si>
  <si>
    <t>2016 - January</t>
  </si>
  <si>
    <t>Average of ShippingCost</t>
  </si>
  <si>
    <t>Actual Delivery Days</t>
  </si>
  <si>
    <t>Delayed ship</t>
  </si>
  <si>
    <t>Average of Actual Delivery Days</t>
  </si>
  <si>
    <t>Yes</t>
  </si>
  <si>
    <t>No</t>
  </si>
  <si>
    <t>Count of Delayed ship</t>
  </si>
  <si>
    <t>Column Labels</t>
  </si>
  <si>
    <t>Shipper 2 is most reliable on-time delivery.</t>
  </si>
  <si>
    <t>Question 1</t>
  </si>
  <si>
    <t>Solution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</si>
  <si>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</si>
  <si>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</si>
  <si>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</si>
  <si>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</si>
  <si>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</si>
  <si>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</si>
  <si>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</si>
  <si>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</si>
  <si>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</si>
  <si>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 xml:space="preserve">Question 11 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</si>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</sst>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>
    <font>
      <sz val="11"/>
      <color rgb="FF000000"/>
      <name val="Calibri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20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rial Unicode MS"/>
      <family val="2"/>
    </font>
    <font>
      <sz val="11"/>
      <color theme="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999999"/>
      </top>
      <bottom style="thin">
        <color indexed="64"/>
      </bottom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3" borderId="0" xfId="0" applyFill="1"/>
    <xf numFmtId="0" fontId="4" fillId="4" borderId="1" xfId="0" applyFont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0" xfId="0" applyFill="1"/>
    <xf numFmtId="0" fontId="5" fillId="4" borderId="4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5" fillId="4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left" vertical="center" indent="2"/>
    </xf>
    <xf numFmtId="0" fontId="2" fillId="4" borderId="6" xfId="0" applyFont="1" applyFill="1" applyBorder="1" applyAlignment="1">
      <alignment horizontal="left" vertical="center" indent="2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9" xfId="0" pivotButton="1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4" xfId="0" applyBorder="1" applyAlignment="1">
      <alignment horizontal="left"/>
    </xf>
    <xf numFmtId="0" fontId="2" fillId="0" borderId="0" xfId="0" applyFont="1"/>
    <xf numFmtId="0" fontId="0" fillId="5" borderId="0" xfId="0" applyFill="1"/>
    <xf numFmtId="0" fontId="0" fillId="0" borderId="15" xfId="0" applyBorder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20" xfId="0" applyBorder="1" applyAlignment="1">
      <alignment horizontal="left"/>
    </xf>
    <xf numFmtId="2" fontId="0" fillId="0" borderId="0" xfId="0" applyNumberFormat="1"/>
    <xf numFmtId="0" fontId="0" fillId="0" borderId="13" xfId="0" applyBorder="1"/>
    <xf numFmtId="4" fontId="0" fillId="0" borderId="9" xfId="0" applyNumberFormat="1" applyBorder="1"/>
    <xf numFmtId="4" fontId="0" fillId="0" borderId="15" xfId="0" applyNumberFormat="1" applyBorder="1"/>
    <xf numFmtId="4" fontId="0" fillId="0" borderId="19" xfId="0" applyNumberFormat="1" applyBorder="1"/>
    <xf numFmtId="4" fontId="0" fillId="0" borderId="10" xfId="0" applyNumberFormat="1" applyBorder="1"/>
    <xf numFmtId="4" fontId="0" fillId="0" borderId="20" xfId="0" applyNumberFormat="1" applyBorder="1"/>
    <xf numFmtId="4" fontId="0" fillId="0" borderId="23" xfId="0" applyNumberFormat="1" applyBorder="1"/>
    <xf numFmtId="0" fontId="2" fillId="4" borderId="4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0" fillId="4" borderId="17" xfId="0" applyFill="1" applyBorder="1"/>
    <xf numFmtId="0" fontId="7" fillId="4" borderId="0" xfId="0" applyFont="1" applyFill="1"/>
    <xf numFmtId="0" fontId="0" fillId="0" borderId="0" xfId="0" applyBorder="1"/>
    <xf numFmtId="0" fontId="0" fillId="4" borderId="0" xfId="0" applyFill="1" applyBorder="1"/>
    <xf numFmtId="0" fontId="0" fillId="0" borderId="24" xfId="0" applyBorder="1"/>
    <xf numFmtId="0" fontId="2" fillId="4" borderId="0" xfId="0" applyFont="1" applyFill="1" applyBorder="1"/>
    <xf numFmtId="0" fontId="0" fillId="0" borderId="26" xfId="0" applyBorder="1"/>
    <xf numFmtId="0" fontId="0" fillId="5" borderId="26" xfId="0" applyFill="1" applyBorder="1"/>
    <xf numFmtId="0" fontId="2" fillId="5" borderId="4" xfId="0" applyFont="1" applyFill="1" applyBorder="1" applyAlignment="1">
      <alignment horizontal="left" vertical="center" indent="2"/>
    </xf>
    <xf numFmtId="0" fontId="2" fillId="5" borderId="0" xfId="0" applyFont="1" applyFill="1" applyBorder="1"/>
    <xf numFmtId="0" fontId="2" fillId="5" borderId="0" xfId="0" applyFont="1" applyFill="1" applyBorder="1" applyAlignment="1">
      <alignment horizontal="left" vertical="center" indent="2"/>
    </xf>
    <xf numFmtId="0" fontId="2" fillId="5" borderId="0" xfId="0" applyFont="1" applyFill="1"/>
    <xf numFmtId="0" fontId="0" fillId="5" borderId="0" xfId="0" applyFill="1" applyBorder="1"/>
    <xf numFmtId="0" fontId="9" fillId="6" borderId="0" xfId="0" applyFont="1" applyFill="1"/>
    <xf numFmtId="0" fontId="2" fillId="6" borderId="0" xfId="0" applyFont="1" applyFill="1"/>
    <xf numFmtId="0" fontId="0" fillId="7" borderId="9" xfId="0" applyFill="1" applyBorder="1"/>
    <xf numFmtId="0" fontId="0" fillId="7" borderId="22" xfId="0" applyFill="1" applyBorder="1"/>
    <xf numFmtId="0" fontId="0" fillId="7" borderId="15" xfId="0" applyFill="1" applyBorder="1"/>
    <xf numFmtId="0" fontId="0" fillId="7" borderId="11" xfId="0" applyFill="1" applyBorder="1"/>
    <xf numFmtId="0" fontId="0" fillId="7" borderId="18" xfId="0" applyFill="1" applyBorder="1"/>
    <xf numFmtId="0" fontId="8" fillId="7" borderId="17" xfId="0" applyFont="1" applyFill="1" applyBorder="1"/>
    <xf numFmtId="0" fontId="0" fillId="7" borderId="17" xfId="0" applyFill="1" applyBorder="1"/>
    <xf numFmtId="0" fontId="2" fillId="7" borderId="17" xfId="0" applyFont="1" applyFill="1" applyBorder="1"/>
    <xf numFmtId="0" fontId="0" fillId="7" borderId="25" xfId="0" applyFill="1" applyBorder="1"/>
    <xf numFmtId="0" fontId="0" fillId="3" borderId="17" xfId="0" applyFill="1" applyBorder="1"/>
    <xf numFmtId="0" fontId="2" fillId="3" borderId="17" xfId="0" applyFont="1" applyFill="1" applyBorder="1"/>
    <xf numFmtId="0" fontId="0" fillId="3" borderId="25" xfId="0" applyFill="1" applyBorder="1"/>
    <xf numFmtId="0" fontId="0" fillId="3" borderId="17" xfId="0" applyFill="1" applyBorder="1" applyAlignment="1">
      <alignment horizontal="left"/>
    </xf>
    <xf numFmtId="4" fontId="0" fillId="3" borderId="17" xfId="0" applyNumberFormat="1" applyFill="1" applyBorder="1"/>
    <xf numFmtId="4" fontId="0" fillId="3" borderId="25" xfId="0" applyNumberFormat="1" applyFill="1" applyBorder="1"/>
    <xf numFmtId="0" fontId="0" fillId="3" borderId="9" xfId="0" applyFill="1" applyBorder="1" applyAlignment="1">
      <alignment horizontal="left"/>
    </xf>
    <xf numFmtId="0" fontId="0" fillId="3" borderId="11" xfId="0" applyFill="1" applyBorder="1"/>
    <xf numFmtId="0" fontId="0" fillId="3" borderId="14" xfId="0" applyFill="1" applyBorder="1" applyAlignment="1">
      <alignment horizontal="left"/>
    </xf>
    <xf numFmtId="0" fontId="0" fillId="3" borderId="13" xfId="0" applyFill="1" applyBorder="1"/>
    <xf numFmtId="4" fontId="0" fillId="3" borderId="9" xfId="0" applyNumberFormat="1" applyFill="1" applyBorder="1"/>
    <xf numFmtId="4" fontId="0" fillId="3" borderId="15" xfId="0" applyNumberFormat="1" applyFill="1" applyBorder="1"/>
    <xf numFmtId="4" fontId="0" fillId="3" borderId="14" xfId="0" applyNumberFormat="1" applyFill="1" applyBorder="1"/>
    <xf numFmtId="4" fontId="0" fillId="3" borderId="16" xfId="0" applyNumberFormat="1" applyFill="1" applyBorder="1"/>
    <xf numFmtId="2" fontId="0" fillId="3" borderId="13" xfId="0" applyNumberFormat="1" applyFill="1" applyBorder="1"/>
    <xf numFmtId="4" fontId="0" fillId="3" borderId="11" xfId="0" applyNumberFormat="1" applyFill="1" applyBorder="1"/>
    <xf numFmtId="0" fontId="0" fillId="3" borderId="10" xfId="0" applyFill="1" applyBorder="1" applyAlignment="1">
      <alignment horizontal="left"/>
    </xf>
    <xf numFmtId="4" fontId="0" fillId="3" borderId="12" xfId="0" applyNumberFormat="1" applyFill="1" applyBorder="1"/>
    <xf numFmtId="4" fontId="0" fillId="3" borderId="13" xfId="0" applyNumberFormat="1" applyFill="1" applyBorder="1"/>
    <xf numFmtId="1" fontId="0" fillId="3" borderId="13" xfId="0" applyNumberFormat="1" applyFill="1" applyBorder="1"/>
    <xf numFmtId="164" fontId="0" fillId="3" borderId="11" xfId="0" applyNumberFormat="1" applyFill="1" applyBorder="1"/>
    <xf numFmtId="164" fontId="0" fillId="3" borderId="12" xfId="0" applyNumberFormat="1" applyFill="1" applyBorder="1"/>
    <xf numFmtId="164" fontId="0" fillId="3" borderId="13" xfId="0" applyNumberFormat="1" applyFill="1" applyBorder="1"/>
    <xf numFmtId="0" fontId="0" fillId="3" borderId="9" xfId="0" applyFill="1" applyBorder="1"/>
    <xf numFmtId="0" fontId="0" fillId="3" borderId="15" xfId="0" applyFill="1" applyBorder="1"/>
    <xf numFmtId="0" fontId="0" fillId="3" borderId="10" xfId="0" applyFill="1" applyBorder="1"/>
    <xf numFmtId="0" fontId="0" fillId="3" borderId="19" xfId="0" applyFill="1" applyBorder="1"/>
    <xf numFmtId="0" fontId="0" fillId="3" borderId="14" xfId="0" applyFill="1" applyBorder="1"/>
    <xf numFmtId="0" fontId="0" fillId="3" borderId="16" xfId="0" applyFill="1" applyBorder="1"/>
    <xf numFmtId="0" fontId="0" fillId="3" borderId="12" xfId="0" applyFill="1" applyBorder="1"/>
    <xf numFmtId="0" fontId="0" fillId="3" borderId="20" xfId="0" applyFill="1" applyBorder="1" applyAlignment="1">
      <alignment horizontal="left"/>
    </xf>
    <xf numFmtId="0" fontId="0" fillId="3" borderId="21" xfId="0" applyFill="1" applyBorder="1"/>
    <xf numFmtId="0" fontId="0" fillId="3" borderId="20" xfId="0" applyFill="1" applyBorder="1"/>
    <xf numFmtId="0" fontId="0" fillId="3" borderId="23" xfId="0" applyFill="1" applyBorder="1"/>
  </cellXfs>
  <cellStyles count="1">
    <cellStyle name="Normal" xfId="0" builtinId="0"/>
  </cellStyles>
  <dxfs count="167"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fill>
        <patternFill>
          <bgColor theme="2" tint="-9.9978637043366805E-2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2" tint="-9.9978637043366805E-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2" tint="-9.9978637043366805E-2"/>
        </patternFill>
      </fill>
    </dxf>
    <dxf>
      <numFmt numFmtId="4" formatCode="#,##0.0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2" tint="-9.9978637043366805E-2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vs Expected Delivery Time Trend</a:t>
            </a:r>
          </a:p>
        </c:rich>
      </c:tx>
      <c:layout>
        <c:manualLayout>
          <c:xMode val="edge"/>
          <c:yMode val="edge"/>
          <c:x val="0.43457655453388577"/>
          <c:y val="7.45606357369849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54068241469816E-2"/>
          <c:y val="0.20596513229579985"/>
          <c:w val="0.60098724373355872"/>
          <c:h val="0.71320522066085257"/>
        </c:manualLayout>
      </c:layout>
      <c:barChart>
        <c:barDir val="bar"/>
        <c:grouping val="clustered"/>
        <c:varyColors val="0"/>
        <c:ser>
          <c:idx val="0"/>
          <c:order val="0"/>
          <c:tx>
            <c:v>Average of Actual Delivery Days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0.64509394572025047</c:v>
              </c:pt>
              <c:pt idx="1">
                <c:v>2.1566401816118046</c:v>
              </c:pt>
              <c:pt idx="2">
                <c:v>3.3995535714285716</c:v>
              </c:pt>
            </c:numLit>
          </c:val>
          <c:extLst>
            <c:ext xmlns:c16="http://schemas.microsoft.com/office/drawing/2014/chart" uri="{C3380CC4-5D6E-409C-BE32-E72D297353CC}">
              <c16:uniqueId val="{00000000-5B95-4BBD-B69C-A34151462A71}"/>
            </c:ext>
          </c:extLst>
        </c:ser>
        <c:ser>
          <c:idx val="1"/>
          <c:order val="1"/>
          <c:tx>
            <c:v>Average of ShipDays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4.1255230125523017</c:v>
              </c:pt>
              <c:pt idx="1">
                <c:v>4.2667423382519862</c:v>
              </c:pt>
              <c:pt idx="2">
                <c:v>4.3102678571428568</c:v>
              </c:pt>
            </c:numLit>
          </c:val>
          <c:extLst>
            <c:ext xmlns:c16="http://schemas.microsoft.com/office/drawing/2014/chart" uri="{C3380CC4-5D6E-409C-BE32-E72D297353CC}">
              <c16:uniqueId val="{00000001-5B95-4BBD-B69C-A34151462A7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47927583"/>
        <c:axId val="647927103"/>
      </c:barChart>
      <c:catAx>
        <c:axId val="647927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927103"/>
        <c:crosses val="autoZero"/>
        <c:auto val="1"/>
        <c:lblAlgn val="ctr"/>
        <c:lblOffset val="100"/>
        <c:noMultiLvlLbl val="0"/>
      </c:catAx>
      <c:valAx>
        <c:axId val="6479271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92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86723176599049"/>
          <c:y val="0.28122050634120316"/>
          <c:w val="0.26011272338230723"/>
          <c:h val="0.2746865698746959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2016 - March</c:v>
              </c:pt>
              <c:pt idx="1">
                <c:v>2016 - February</c:v>
              </c:pt>
              <c:pt idx="2">
                <c:v>2016 - July</c:v>
              </c:pt>
              <c:pt idx="3">
                <c:v>2016 - May</c:v>
              </c:pt>
              <c:pt idx="4">
                <c:v>2016 - August</c:v>
              </c:pt>
              <c:pt idx="5">
                <c:v>2016 - January</c:v>
              </c:pt>
              <c:pt idx="6">
                <c:v>2016 - April</c:v>
              </c:pt>
              <c:pt idx="7">
                <c:v>2016 - June</c:v>
              </c:pt>
            </c:strLit>
          </c:cat>
          <c:val>
            <c:numLit>
              <c:formatCode>General</c:formatCode>
              <c:ptCount val="8"/>
              <c:pt idx="0">
                <c:v>4030.705882352941</c:v>
              </c:pt>
              <c:pt idx="1">
                <c:v>4253.4325581395351</c:v>
              </c:pt>
              <c:pt idx="2">
                <c:v>4254.1466666666665</c:v>
              </c:pt>
              <c:pt idx="3">
                <c:v>4284.0739130434786</c:v>
              </c:pt>
              <c:pt idx="4">
                <c:v>4324.2157676348552</c:v>
              </c:pt>
              <c:pt idx="5">
                <c:v>4403.3894230769229</c:v>
              </c:pt>
              <c:pt idx="6">
                <c:v>4446.6651162790695</c:v>
              </c:pt>
              <c:pt idx="7">
                <c:v>4857.7669491525421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618-493F-9B04-F425349B7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940831"/>
        <c:axId val="1683971071"/>
      </c:lineChart>
      <c:catAx>
        <c:axId val="168394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971071"/>
        <c:crosses val="autoZero"/>
        <c:auto val="1"/>
        <c:lblAlgn val="ctr"/>
        <c:lblOffset val="100"/>
        <c:noMultiLvlLbl val="0"/>
      </c:catAx>
      <c:valAx>
        <c:axId val="168397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94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 wise seasonal trend</a:t>
            </a:r>
            <a:r>
              <a:rPr lang="en-IN" baseline="0"/>
              <a:t> in shipping volume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2016 - June</c:v>
              </c:pt>
              <c:pt idx="1">
                <c:v>2016 - July</c:v>
              </c:pt>
              <c:pt idx="2">
                <c:v>2016 - March</c:v>
              </c:pt>
              <c:pt idx="3">
                <c:v>2016 - August</c:v>
              </c:pt>
              <c:pt idx="4">
                <c:v>2016 - May</c:v>
              </c:pt>
              <c:pt idx="5">
                <c:v>2016 - February</c:v>
              </c:pt>
              <c:pt idx="6">
                <c:v>2016 - April</c:v>
              </c:pt>
              <c:pt idx="7">
                <c:v>2016 - January</c:v>
              </c:pt>
            </c:strLit>
          </c:cat>
          <c:val>
            <c:numLit>
              <c:formatCode>General</c:formatCode>
              <c:ptCount val="8"/>
              <c:pt idx="0">
                <c:v>485</c:v>
              </c:pt>
              <c:pt idx="1">
                <c:v>460</c:v>
              </c:pt>
              <c:pt idx="2">
                <c:v>456</c:v>
              </c:pt>
              <c:pt idx="3">
                <c:v>452</c:v>
              </c:pt>
              <c:pt idx="4">
                <c:v>452</c:v>
              </c:pt>
              <c:pt idx="5">
                <c:v>439</c:v>
              </c:pt>
              <c:pt idx="6">
                <c:v>436</c:v>
              </c:pt>
              <c:pt idx="7">
                <c:v>405</c:v>
              </c:pt>
            </c:numLit>
          </c:val>
          <c:extLst>
            <c:ext xmlns:c16="http://schemas.microsoft.com/office/drawing/2014/chart" uri="{C3380CC4-5D6E-409C-BE32-E72D297353CC}">
              <c16:uniqueId val="{00000000-1614-45AD-BCD3-B7A4C2F845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98636191"/>
        <c:axId val="1698634751"/>
      </c:barChart>
      <c:catAx>
        <c:axId val="1698636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634751"/>
        <c:crosses val="autoZero"/>
        <c:auto val="1"/>
        <c:lblAlgn val="ctr"/>
        <c:lblOffset val="100"/>
        <c:noMultiLvlLbl val="0"/>
      </c:catAx>
      <c:valAx>
        <c:axId val="169863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63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</a:t>
            </a:r>
            <a:r>
              <a:rPr lang="en-US" baseline="0"/>
              <a:t> trip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2016 - August</c:v>
              </c:pt>
              <c:pt idx="1">
                <c:v>2016 - March</c:v>
              </c:pt>
              <c:pt idx="2">
                <c:v>2016 - June</c:v>
              </c:pt>
              <c:pt idx="3">
                <c:v>2016 - May</c:v>
              </c:pt>
              <c:pt idx="4">
                <c:v>2016 - July</c:v>
              </c:pt>
              <c:pt idx="5">
                <c:v>2016 - April</c:v>
              </c:pt>
              <c:pt idx="6">
                <c:v>2016 - February</c:v>
              </c:pt>
              <c:pt idx="7">
                <c:v>2016 - January</c:v>
              </c:pt>
            </c:strLit>
          </c:cat>
          <c:val>
            <c:numLit>
              <c:formatCode>General</c:formatCode>
              <c:ptCount val="8"/>
              <c:pt idx="0">
                <c:v>241</c:v>
              </c:pt>
              <c:pt idx="1">
                <c:v>238</c:v>
              </c:pt>
              <c:pt idx="2">
                <c:v>236</c:v>
              </c:pt>
              <c:pt idx="3">
                <c:v>230</c:v>
              </c:pt>
              <c:pt idx="4">
                <c:v>225</c:v>
              </c:pt>
              <c:pt idx="5">
                <c:v>215</c:v>
              </c:pt>
              <c:pt idx="6">
                <c:v>215</c:v>
              </c:pt>
              <c:pt idx="7">
                <c:v>208</c:v>
              </c:pt>
            </c:numLit>
          </c:val>
          <c:extLst>
            <c:ext xmlns:c16="http://schemas.microsoft.com/office/drawing/2014/chart" uri="{C3380CC4-5D6E-409C-BE32-E72D297353CC}">
              <c16:uniqueId val="{00000000-22B4-411D-9522-E032FF22F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8628991"/>
        <c:axId val="1698629471"/>
      </c:barChart>
      <c:catAx>
        <c:axId val="169862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629471"/>
        <c:crosses val="autoZero"/>
        <c:auto val="1"/>
        <c:lblAlgn val="ctr"/>
        <c:lblOffset val="100"/>
        <c:noMultiLvlLbl val="0"/>
      </c:catAx>
      <c:valAx>
        <c:axId val="169862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62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1013460</xdr:colOff>
      <xdr:row>153</xdr:row>
      <xdr:rowOff>7620</xdr:rowOff>
    </xdr:from>
    <xdr:to>
      <xdr:col>11</xdr:col>
      <xdr:colOff>22860</xdr:colOff>
      <xdr:row>169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E1FC10-02F4-4F98-842A-D29F1330C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1082040</xdr:colOff>
      <xdr:row>137</xdr:row>
      <xdr:rowOff>167640</xdr:rowOff>
    </xdr:from>
    <xdr:to>
      <xdr:col>9</xdr:col>
      <xdr:colOff>0</xdr:colOff>
      <xdr:row>150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8EAEE-E0E2-44C2-9391-4C1DF901B7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579120</xdr:colOff>
      <xdr:row>123</xdr:row>
      <xdr:rowOff>99060</xdr:rowOff>
    </xdr:from>
    <xdr:to>
      <xdr:col>9</xdr:col>
      <xdr:colOff>190500</xdr:colOff>
      <xdr:row>136</xdr:row>
      <xdr:rowOff>98749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EB3B86-652B-4BC0-81FB-88D1233A1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739140</xdr:colOff>
      <xdr:row>110</xdr:row>
      <xdr:rowOff>160020</xdr:rowOff>
    </xdr:from>
    <xdr:to>
      <xdr:col>8</xdr:col>
      <xdr:colOff>571500</xdr:colOff>
      <xdr:row>122</xdr:row>
      <xdr:rowOff>143105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D647AA-132A-4F55-8A3B-0BD05FD0A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TRANJAN" refreshedDate="45975.709101504632" createdVersion="8" refreshedVersion="8" minRefreshableVersion="3" recordCount="1808" xr:uid="{2836C043-E3DA-400F-BEC0-C080EF193ADF}">
  <cacheSource type="worksheet">
    <worksheetSource name="data"/>
  </cacheSource>
  <cacheFields count="26">
    <cacheField name="TripID" numFmtId="0">
      <sharedItems containsSemiMixedTypes="0" containsString="0" containsNumber="1" containsInteger="1" minValue="10001" maxValue="11808" count="1808">
        <n v="10009"/>
        <n v="10012"/>
        <n v="10026"/>
        <n v="10042"/>
        <n v="10050"/>
        <n v="10110"/>
        <n v="10113"/>
        <n v="10119"/>
        <n v="10129"/>
        <n v="10137"/>
        <n v="10154"/>
        <n v="10167"/>
        <n v="10205"/>
        <n v="10223"/>
        <n v="10235"/>
        <n v="10272"/>
        <n v="10277"/>
        <n v="10294"/>
        <n v="10304"/>
        <n v="10305"/>
        <n v="10312"/>
        <n v="10322"/>
        <n v="10330"/>
        <n v="10398"/>
        <n v="10399"/>
        <n v="10415"/>
        <n v="10416"/>
        <n v="10425"/>
        <n v="10443"/>
        <n v="10461"/>
        <n v="10515"/>
        <n v="10526"/>
        <n v="10527"/>
        <n v="10533"/>
        <n v="10541"/>
        <n v="10548"/>
        <n v="10558"/>
        <n v="10599"/>
        <n v="10600"/>
        <n v="10615"/>
        <n v="10616"/>
        <n v="10617"/>
        <n v="10635"/>
        <n v="10637"/>
        <n v="10638"/>
        <n v="10653"/>
        <n v="10656"/>
        <n v="10657"/>
        <n v="10662"/>
        <n v="10679"/>
        <n v="10689"/>
        <n v="10727"/>
        <n v="10768"/>
        <n v="10779"/>
        <n v="10780"/>
        <n v="10782"/>
        <n v="10817"/>
        <n v="10821"/>
        <n v="10833"/>
        <n v="10854"/>
        <n v="10856"/>
        <n v="10861"/>
        <n v="10889"/>
        <n v="10910"/>
        <n v="10913"/>
        <n v="10936"/>
        <n v="10962"/>
        <n v="10968"/>
        <n v="10981"/>
        <n v="10982"/>
        <n v="10997"/>
        <n v="10999"/>
        <n v="11023"/>
        <n v="11051"/>
        <n v="11052"/>
        <n v="11053"/>
        <n v="11069"/>
        <n v="11086"/>
        <n v="11104"/>
        <n v="11113"/>
        <n v="11132"/>
        <n v="11150"/>
        <n v="11162"/>
        <n v="11164"/>
        <n v="11182"/>
        <n v="11183"/>
        <n v="11189"/>
        <n v="11199"/>
        <n v="11237"/>
        <n v="11239"/>
        <n v="11244"/>
        <n v="11272"/>
        <n v="11279"/>
        <n v="11280"/>
        <n v="11297"/>
        <n v="11309"/>
        <n v="11310"/>
        <n v="11312"/>
        <n v="11317"/>
        <n v="11334"/>
        <n v="11345"/>
        <n v="11347"/>
        <n v="11368"/>
        <n v="11392"/>
        <n v="11403"/>
        <n v="11446"/>
        <n v="11458"/>
        <n v="11459"/>
        <n v="11460"/>
        <n v="11475"/>
        <n v="11482"/>
        <n v="11495"/>
        <n v="11512"/>
        <n v="11513"/>
        <n v="11520"/>
        <n v="11532"/>
        <n v="11541"/>
        <n v="11559"/>
        <n v="11586"/>
        <n v="11623"/>
        <n v="11641"/>
        <n v="11648"/>
        <n v="11655"/>
        <n v="11672"/>
        <n v="11691"/>
        <n v="11706"/>
        <n v="11716"/>
        <n v="11743"/>
        <n v="11772"/>
        <n v="11785"/>
        <n v="11808"/>
        <n v="10016"/>
        <n v="10028"/>
        <n v="10044"/>
        <n v="10051"/>
        <n v="10062"/>
        <n v="10074"/>
        <n v="10077"/>
        <n v="10095"/>
        <n v="10146"/>
        <n v="10166"/>
        <n v="10171"/>
        <n v="10182"/>
        <n v="10198"/>
        <n v="10218"/>
        <n v="10241"/>
        <n v="10250"/>
        <n v="10331"/>
        <n v="10340"/>
        <n v="10341"/>
        <n v="10349"/>
        <n v="10386"/>
        <n v="10406"/>
        <n v="10436"/>
        <n v="10437"/>
        <n v="10442"/>
        <n v="10472"/>
        <n v="10474"/>
        <n v="10489"/>
        <n v="10492"/>
        <n v="10506"/>
        <n v="10508"/>
        <n v="10560"/>
        <n v="10561"/>
        <n v="10578"/>
        <n v="10579"/>
        <n v="10624"/>
        <n v="10692"/>
        <n v="10698"/>
        <n v="10711"/>
        <n v="10743"/>
        <n v="10750"/>
        <n v="10759"/>
        <n v="10769"/>
        <n v="10816"/>
        <n v="10832"/>
        <n v="10835"/>
        <n v="10929"/>
        <n v="10945"/>
        <n v="11015"/>
        <n v="11034"/>
        <n v="11050"/>
        <n v="11068"/>
        <n v="11075"/>
        <n v="11076"/>
        <n v="11087"/>
        <n v="11122"/>
        <n v="11141"/>
        <n v="11142"/>
        <n v="11207"/>
        <n v="11208"/>
        <n v="11219"/>
        <n v="11238"/>
        <n v="11245"/>
        <n v="11271"/>
        <n v="11291"/>
        <n v="11318"/>
        <n v="11335"/>
        <n v="11388"/>
        <n v="11420"/>
        <n v="11427"/>
        <n v="11437"/>
        <n v="11439"/>
        <n v="11457"/>
        <n v="11464"/>
        <n v="11476"/>
        <n v="11478"/>
        <n v="11501"/>
        <n v="11514"/>
        <n v="11540"/>
        <n v="11558"/>
        <n v="11571"/>
        <n v="11573"/>
        <n v="11605"/>
        <n v="11628"/>
        <n v="11663"/>
        <n v="11673"/>
        <n v="11678"/>
        <n v="11695"/>
        <n v="11696"/>
        <n v="11715"/>
        <n v="11724"/>
        <n v="11744"/>
        <n v="11746"/>
        <n v="11764"/>
        <n v="11782"/>
        <n v="10045"/>
        <n v="10060"/>
        <n v="10094"/>
        <n v="10096"/>
        <n v="10118"/>
        <n v="10136"/>
        <n v="10148"/>
        <n v="10165"/>
        <n v="10183"/>
        <n v="10234"/>
        <n v="10240"/>
        <n v="10251"/>
        <n v="10253"/>
        <n v="10270"/>
        <n v="10285"/>
        <n v="10286"/>
        <n v="10295"/>
        <n v="10306"/>
        <n v="10325"/>
        <n v="10339"/>
        <n v="10343"/>
        <n v="10348"/>
        <n v="10360"/>
        <n v="10365"/>
        <n v="10378"/>
        <n v="10417"/>
        <n v="10419"/>
        <n v="10453"/>
        <n v="10454"/>
        <n v="10460"/>
        <n v="10532"/>
        <n v="10543"/>
        <n v="10562"/>
        <n v="10568"/>
        <n v="10580"/>
        <n v="10581"/>
        <n v="10605"/>
        <n v="10618"/>
        <n v="10642"/>
        <n v="10643"/>
        <n v="10691"/>
        <n v="10716"/>
        <n v="10728"/>
        <n v="10744"/>
        <n v="10745"/>
        <n v="10781"/>
        <n v="10797"/>
        <n v="10799"/>
        <n v="10818"/>
        <n v="10836"/>
        <n v="10841"/>
        <n v="10842"/>
        <n v="10853"/>
        <n v="10874"/>
        <n v="10892"/>
        <n v="10918"/>
        <n v="10919"/>
        <n v="10948"/>
        <n v="10969"/>
        <n v="10980"/>
        <n v="10987"/>
        <n v="11004"/>
        <n v="11014"/>
        <n v="11018"/>
        <n v="11058"/>
        <n v="11070"/>
        <n v="11105"/>
        <n v="11112"/>
        <n v="11125"/>
        <n v="11126"/>
        <n v="11131"/>
        <n v="11144"/>
        <n v="11169"/>
        <n v="11170"/>
        <n v="11190"/>
        <n v="11220"/>
        <n v="11227"/>
        <n v="11273"/>
        <n v="11274"/>
        <n v="11275"/>
        <n v="11290"/>
        <n v="11292"/>
        <n v="11298"/>
        <n v="11308"/>
        <n v="11327"/>
        <n v="11365"/>
        <n v="11369"/>
        <n v="11385"/>
        <n v="11410"/>
        <n v="11421"/>
        <n v="11445"/>
        <n v="11474"/>
        <n v="11494"/>
        <n v="11496"/>
        <n v="11511"/>
        <n v="11515"/>
        <n v="11533"/>
        <n v="11569"/>
        <n v="11638"/>
        <n v="11639"/>
        <n v="11640"/>
        <n v="11642"/>
        <n v="11657"/>
        <n v="11658"/>
        <n v="11674"/>
        <n v="11687"/>
        <n v="11688"/>
        <n v="11690"/>
        <n v="11727"/>
        <n v="11728"/>
        <n v="11733"/>
        <n v="11783"/>
        <n v="11786"/>
        <n v="10027"/>
        <n v="10033"/>
        <n v="10034"/>
        <n v="10043"/>
        <n v="10063"/>
        <n v="10075"/>
        <n v="10102"/>
        <n v="10112"/>
        <n v="10130"/>
        <n v="10131"/>
        <n v="10132"/>
        <n v="10149"/>
        <n v="10150"/>
        <n v="10155"/>
        <n v="10181"/>
        <n v="10188"/>
        <n v="10200"/>
        <n v="10217"/>
        <n v="10232"/>
        <n v="10321"/>
        <n v="10324"/>
        <n v="10342"/>
        <n v="10376"/>
        <n v="10377"/>
        <n v="10379"/>
        <n v="10385"/>
        <n v="10397"/>
        <n v="10418"/>
        <n v="10424"/>
        <n v="10434"/>
        <n v="10452"/>
        <n v="10471"/>
        <n v="10479"/>
        <n v="10505"/>
        <n v="10507"/>
        <n v="10514"/>
        <n v="10525"/>
        <n v="10542"/>
        <n v="10567"/>
        <n v="10597"/>
        <n v="10636"/>
        <n v="10674"/>
        <n v="10709"/>
        <n v="10712"/>
        <n v="10730"/>
        <n v="10734"/>
        <n v="10760"/>
        <n v="10762"/>
        <n v="10787"/>
        <n v="10796"/>
        <n v="10800"/>
        <n v="10822"/>
        <n v="10872"/>
        <n v="10873"/>
        <n v="10893"/>
        <n v="10946"/>
        <n v="10947"/>
        <n v="10979"/>
        <n v="11088"/>
        <n v="11089"/>
        <n v="11095"/>
        <n v="11106"/>
        <n v="11123"/>
        <n v="11145"/>
        <n v="11181"/>
        <n v="11218"/>
        <n v="11226"/>
        <n v="11260"/>
        <n v="11311"/>
        <n v="11349"/>
        <n v="11366"/>
        <n v="11374"/>
        <n v="11375"/>
        <n v="11386"/>
        <n v="11387"/>
        <n v="11401"/>
        <n v="11405"/>
        <n v="11419"/>
        <n v="11426"/>
        <n v="11440"/>
        <n v="11465"/>
        <n v="11483"/>
        <n v="11534"/>
        <n v="11550"/>
        <n v="11570"/>
        <n v="11572"/>
        <n v="11587"/>
        <n v="11588"/>
        <n v="11603"/>
        <n v="11620"/>
        <n v="11621"/>
        <n v="11662"/>
        <n v="11675"/>
        <n v="11679"/>
        <n v="11709"/>
        <n v="11726"/>
        <n v="11747"/>
        <n v="11763"/>
        <n v="11784"/>
        <n v="11791"/>
        <n v="11802"/>
        <n v="10011"/>
        <n v="10017"/>
        <n v="10066"/>
        <n v="10067"/>
        <n v="10082"/>
        <n v="10092"/>
        <n v="10164"/>
        <n v="10196"/>
        <n v="10199"/>
        <n v="10215"/>
        <n v="10216"/>
        <n v="10231"/>
        <n v="10252"/>
        <n v="10258"/>
        <n v="10269"/>
        <n v="10288"/>
        <n v="10307"/>
        <n v="10308"/>
        <n v="10323"/>
        <n v="10356"/>
        <n v="10357"/>
        <n v="10396"/>
        <n v="10435"/>
        <n v="10455"/>
        <n v="10470"/>
        <n v="10473"/>
        <n v="10496"/>
        <n v="10524"/>
        <n v="10586"/>
        <n v="10587"/>
        <n v="10606"/>
        <n v="10619"/>
        <n v="10634"/>
        <n v="10654"/>
        <n v="10661"/>
        <n v="10690"/>
        <n v="10693"/>
        <n v="10697"/>
        <n v="10726"/>
        <n v="10733"/>
        <n v="10742"/>
        <n v="10788"/>
        <n v="10815"/>
        <n v="10834"/>
        <n v="10852"/>
        <n v="10855"/>
        <n v="10880"/>
        <n v="10890"/>
        <n v="10891"/>
        <n v="10909"/>
        <n v="10911"/>
        <n v="10930"/>
        <n v="10961"/>
        <n v="10964"/>
        <n v="10978"/>
        <n v="10988"/>
        <n v="10996"/>
        <n v="10998"/>
        <n v="11016"/>
        <n v="11094"/>
        <n v="11107"/>
        <n v="11163"/>
        <n v="11180"/>
        <n v="11184"/>
        <n v="11201"/>
        <n v="11202"/>
        <n v="11255"/>
        <n v="11261"/>
        <n v="11328"/>
        <n v="11329"/>
        <n v="11348"/>
        <n v="11354"/>
        <n v="11402"/>
        <n v="11438"/>
        <n v="11493"/>
        <n v="11521"/>
        <n v="11531"/>
        <n v="11551"/>
        <n v="11552"/>
        <n v="11553"/>
        <n v="11585"/>
        <n v="11619"/>
        <n v="11656"/>
        <n v="11659"/>
        <n v="11689"/>
        <n v="11708"/>
        <n v="11725"/>
        <n v="11752"/>
        <n v="11766"/>
        <n v="11771"/>
        <n v="11804"/>
        <n v="10010"/>
        <n v="10046"/>
        <n v="10061"/>
        <n v="10073"/>
        <n v="10076"/>
        <n v="10081"/>
        <n v="10093"/>
        <n v="10101"/>
        <n v="10111"/>
        <n v="10147"/>
        <n v="10172"/>
        <n v="10180"/>
        <n v="10189"/>
        <n v="10197"/>
        <n v="10204"/>
        <n v="10233"/>
        <n v="10249"/>
        <n v="10257"/>
        <n v="10268"/>
        <n v="10271"/>
        <n v="10287"/>
        <n v="10289"/>
        <n v="10313"/>
        <n v="10358"/>
        <n v="10359"/>
        <n v="10366"/>
        <n v="10380"/>
        <n v="10400"/>
        <n v="10405"/>
        <n v="10438"/>
        <n v="10490"/>
        <n v="10491"/>
        <n v="10495"/>
        <n v="10509"/>
        <n v="10559"/>
        <n v="10596"/>
        <n v="10598"/>
        <n v="10655"/>
        <n v="10672"/>
        <n v="10673"/>
        <n v="10680"/>
        <n v="10708"/>
        <n v="10710"/>
        <n v="10717"/>
        <n v="10729"/>
        <n v="10746"/>
        <n v="10761"/>
        <n v="10763"/>
        <n v="10798"/>
        <n v="10805"/>
        <n v="10814"/>
        <n v="10871"/>
        <n v="10879"/>
        <n v="10898"/>
        <n v="10899"/>
        <n v="10912"/>
        <n v="10931"/>
        <n v="10935"/>
        <n v="10953"/>
        <n v="10963"/>
        <n v="11017"/>
        <n v="11024"/>
        <n v="11035"/>
        <n v="11040"/>
        <n v="11041"/>
        <n v="11059"/>
        <n v="11071"/>
        <n v="11124"/>
        <n v="11143"/>
        <n v="11149"/>
        <n v="11160"/>
        <n v="11161"/>
        <n v="11200"/>
        <n v="11221"/>
        <n v="11222"/>
        <n v="11236"/>
        <n v="11346"/>
        <n v="11355"/>
        <n v="11367"/>
        <n v="11384"/>
        <n v="11404"/>
        <n v="11456"/>
        <n v="11477"/>
        <n v="11535"/>
        <n v="11554"/>
        <n v="11576"/>
        <n v="11592"/>
        <n v="11593"/>
        <n v="11602"/>
        <n v="11604"/>
        <n v="11610"/>
        <n v="11622"/>
        <n v="11627"/>
        <n v="11647"/>
        <n v="11707"/>
        <n v="11710"/>
        <n v="11745"/>
        <n v="11753"/>
        <n v="11765"/>
        <n v="11790"/>
        <n v="11801"/>
        <n v="11803"/>
        <n v="10003"/>
        <n v="10006"/>
        <n v="10007"/>
        <n v="10015"/>
        <n v="10025"/>
        <n v="10036"/>
        <n v="10048"/>
        <n v="10054"/>
        <n v="10056"/>
        <n v="10057"/>
        <n v="10058"/>
        <n v="10064"/>
        <n v="10068"/>
        <n v="10071"/>
        <n v="10078"/>
        <n v="10083"/>
        <n v="10091"/>
        <n v="10100"/>
        <n v="10103"/>
        <n v="10107"/>
        <n v="10121"/>
        <n v="10124"/>
        <n v="10125"/>
        <n v="10126"/>
        <n v="10128"/>
        <n v="10135"/>
        <n v="10159"/>
        <n v="10163"/>
        <n v="10174"/>
        <n v="10175"/>
        <n v="10177"/>
        <n v="10179"/>
        <n v="10191"/>
        <n v="10194"/>
        <n v="10195"/>
        <n v="10206"/>
        <n v="10214"/>
        <n v="10221"/>
        <n v="10222"/>
        <n v="10226"/>
        <n v="10229"/>
        <n v="10230"/>
        <n v="10237"/>
        <n v="10245"/>
        <n v="10246"/>
        <n v="10248"/>
        <n v="10256"/>
        <n v="10260"/>
        <n v="10264"/>
        <n v="10278"/>
        <n v="10281"/>
        <n v="10293"/>
        <n v="10296"/>
        <n v="10298"/>
        <n v="10314"/>
        <n v="10327"/>
        <n v="10334"/>
        <n v="10337"/>
        <n v="10338"/>
        <n v="10347"/>
        <n v="10351"/>
        <n v="10370"/>
        <n v="10382"/>
        <n v="10383"/>
        <n v="10388"/>
        <n v="10390"/>
        <n v="10408"/>
        <n v="10412"/>
        <n v="10426"/>
        <n v="10441"/>
        <n v="10445"/>
        <n v="10446"/>
        <n v="10450"/>
        <n v="10457"/>
        <n v="10463"/>
        <n v="10481"/>
        <n v="10486"/>
        <n v="10494"/>
        <n v="10498"/>
        <n v="10500"/>
        <n v="10504"/>
        <n v="10518"/>
        <n v="10530"/>
        <n v="10536"/>
        <n v="10547"/>
        <n v="10555"/>
        <n v="10569"/>
        <n v="10575"/>
        <n v="10583"/>
        <n v="10604"/>
        <n v="10610"/>
        <n v="10623"/>
        <n v="10625"/>
        <n v="10631"/>
        <n v="10632"/>
        <n v="10644"/>
        <n v="10648"/>
        <n v="10664"/>
        <n v="10670"/>
        <n v="10677"/>
        <n v="10684"/>
        <n v="10688"/>
        <n v="10695"/>
        <n v="10707"/>
        <n v="10722"/>
        <n v="10731"/>
        <n v="10738"/>
        <n v="10741"/>
        <n v="10751"/>
        <n v="10753"/>
        <n v="10754"/>
        <n v="10757"/>
        <n v="10770"/>
        <n v="10773"/>
        <n v="10777"/>
        <n v="10793"/>
        <n v="10794"/>
        <n v="10802"/>
        <n v="10804"/>
        <n v="10807"/>
        <n v="10808"/>
        <n v="10813"/>
        <n v="10820"/>
        <n v="10830"/>
        <n v="10831"/>
        <n v="10840"/>
        <n v="10846"/>
        <n v="10850"/>
        <n v="10858"/>
        <n v="10862"/>
        <n v="10866"/>
        <n v="10868"/>
        <n v="10881"/>
        <n v="10882"/>
        <n v="10885"/>
        <n v="10895"/>
        <n v="10897"/>
        <n v="10902"/>
        <n v="10922"/>
        <n v="10924"/>
        <n v="10925"/>
        <n v="10928"/>
        <n v="10933"/>
        <n v="10939"/>
        <n v="10951"/>
        <n v="10954"/>
        <n v="10956"/>
        <n v="10973"/>
        <n v="10975"/>
        <n v="10977"/>
        <n v="10985"/>
        <n v="10990"/>
        <n v="10994"/>
        <n v="11009"/>
        <n v="11010"/>
        <n v="11013"/>
        <n v="11021"/>
        <n v="11037"/>
        <n v="11065"/>
        <n v="11080"/>
        <n v="11082"/>
        <n v="11085"/>
        <n v="11091"/>
        <n v="11099"/>
        <n v="11100"/>
        <n v="11109"/>
        <n v="11115"/>
        <n v="11116"/>
        <n v="11133"/>
        <n v="11134"/>
        <n v="11139"/>
        <n v="11147"/>
        <n v="11155"/>
        <n v="11209"/>
        <n v="11210"/>
        <n v="11213"/>
        <n v="11217"/>
        <n v="11225"/>
        <n v="11228"/>
        <n v="11230"/>
        <n v="11234"/>
        <n v="11235"/>
        <n v="11243"/>
        <n v="11263"/>
        <n v="11282"/>
        <n v="11284"/>
        <n v="11286"/>
        <n v="11289"/>
        <n v="11294"/>
        <n v="11299"/>
        <n v="11320"/>
        <n v="11324"/>
        <n v="11332"/>
        <n v="11358"/>
        <n v="11364"/>
        <n v="11382"/>
        <n v="11383"/>
        <n v="11395"/>
        <n v="11400"/>
        <n v="11429"/>
        <n v="11431"/>
        <n v="11432"/>
        <n v="11433"/>
        <n v="11434"/>
        <n v="11436"/>
        <n v="11462"/>
        <n v="11480"/>
        <n v="11481"/>
        <n v="11484"/>
        <n v="11489"/>
        <n v="11505"/>
        <n v="11517"/>
        <n v="11539"/>
        <n v="11560"/>
        <n v="11562"/>
        <n v="11574"/>
        <n v="11575"/>
        <n v="11579"/>
        <n v="11580"/>
        <n v="11590"/>
        <n v="11595"/>
        <n v="11598"/>
        <n v="11607"/>
        <n v="11613"/>
        <n v="11614"/>
        <n v="11625"/>
        <n v="11629"/>
        <n v="11630"/>
        <n v="11632"/>
        <n v="11633"/>
        <n v="11635"/>
        <n v="11644"/>
        <n v="11652"/>
        <n v="11660"/>
        <n v="11664"/>
        <n v="11665"/>
        <n v="11681"/>
        <n v="11684"/>
        <n v="11685"/>
        <n v="11699"/>
        <n v="11701"/>
        <n v="11705"/>
        <n v="11734"/>
        <n v="11740"/>
        <n v="11750"/>
        <n v="11757"/>
        <n v="11758"/>
        <n v="11760"/>
        <n v="11777"/>
        <n v="11780"/>
        <n v="11787"/>
        <n v="11797"/>
        <n v="10001"/>
        <n v="10005"/>
        <n v="10008"/>
        <n v="10035"/>
        <n v="10037"/>
        <n v="10038"/>
        <n v="10039"/>
        <n v="10053"/>
        <n v="10055"/>
        <n v="10065"/>
        <n v="10084"/>
        <n v="10088"/>
        <n v="10099"/>
        <n v="10108"/>
        <n v="10109"/>
        <n v="10122"/>
        <n v="10133"/>
        <n v="10134"/>
        <n v="10138"/>
        <n v="10140"/>
        <n v="10141"/>
        <n v="10144"/>
        <n v="10160"/>
        <n v="10202"/>
        <n v="10203"/>
        <n v="10210"/>
        <n v="10220"/>
        <n v="10224"/>
        <n v="10228"/>
        <n v="10243"/>
        <n v="10259"/>
        <n v="10276"/>
        <n v="10279"/>
        <n v="10284"/>
        <n v="10291"/>
        <n v="10297"/>
        <n v="10299"/>
        <n v="10303"/>
        <n v="10309"/>
        <n v="10316"/>
        <n v="10328"/>
        <n v="10329"/>
        <n v="10335"/>
        <n v="10352"/>
        <n v="10369"/>
        <n v="10372"/>
        <n v="10374"/>
        <n v="10375"/>
        <n v="10395"/>
        <n v="10402"/>
        <n v="10404"/>
        <n v="10411"/>
        <n v="10427"/>
        <n v="10428"/>
        <n v="10440"/>
        <n v="10444"/>
        <n v="10476"/>
        <n v="10483"/>
        <n v="10499"/>
        <n v="10501"/>
        <n v="10502"/>
        <n v="10517"/>
        <n v="10519"/>
        <n v="10520"/>
        <n v="10531"/>
        <n v="10537"/>
        <n v="10539"/>
        <n v="10540"/>
        <n v="10545"/>
        <n v="10550"/>
        <n v="10551"/>
        <n v="10556"/>
        <n v="10564"/>
        <n v="10589"/>
        <n v="10590"/>
        <n v="10591"/>
        <n v="10602"/>
        <n v="10603"/>
        <n v="10609"/>
        <n v="10611"/>
        <n v="10612"/>
        <n v="10621"/>
        <n v="10622"/>
        <n v="10627"/>
        <n v="10629"/>
        <n v="10641"/>
        <n v="10646"/>
        <n v="10647"/>
        <n v="10649"/>
        <n v="10660"/>
        <n v="10667"/>
        <n v="10668"/>
        <n v="10669"/>
        <n v="10682"/>
        <n v="10683"/>
        <n v="10700"/>
        <n v="10719"/>
        <n v="10721"/>
        <n v="10723"/>
        <n v="10725"/>
        <n v="10749"/>
        <n v="10755"/>
        <n v="10766"/>
        <n v="10772"/>
        <n v="10776"/>
        <n v="10785"/>
        <n v="10789"/>
        <n v="10791"/>
        <n v="10792"/>
        <n v="10803"/>
        <n v="10806"/>
        <n v="10809"/>
        <n v="10827"/>
        <n v="10829"/>
        <n v="10839"/>
        <n v="10843"/>
        <n v="10844"/>
        <n v="10878"/>
        <n v="10884"/>
        <n v="10887"/>
        <n v="10896"/>
        <n v="10903"/>
        <n v="10904"/>
        <n v="10905"/>
        <n v="10934"/>
        <n v="10940"/>
        <n v="10944"/>
        <n v="10960"/>
        <n v="10967"/>
        <n v="10984"/>
        <n v="10986"/>
        <n v="11005"/>
        <n v="11007"/>
        <n v="11008"/>
        <n v="11022"/>
        <n v="11025"/>
        <n v="11028"/>
        <n v="11033"/>
        <n v="11039"/>
        <n v="11044"/>
        <n v="11049"/>
        <n v="11066"/>
        <n v="11072"/>
        <n v="11074"/>
        <n v="11079"/>
        <n v="11084"/>
        <n v="11092"/>
        <n v="11096"/>
        <n v="11098"/>
        <n v="11114"/>
        <n v="11118"/>
        <n v="11119"/>
        <n v="11120"/>
        <n v="11121"/>
        <n v="11135"/>
        <n v="11137"/>
        <n v="11138"/>
        <n v="11151"/>
        <n v="11152"/>
        <n v="11159"/>
        <n v="11168"/>
        <n v="11172"/>
        <n v="11176"/>
        <n v="11177"/>
        <n v="11187"/>
        <n v="11191"/>
        <n v="11193"/>
        <n v="11194"/>
        <n v="11204"/>
        <n v="11205"/>
        <n v="11212"/>
        <n v="11214"/>
        <n v="11215"/>
        <n v="11216"/>
        <n v="11229"/>
        <n v="11233"/>
        <n v="11248"/>
        <n v="11252"/>
        <n v="11254"/>
        <n v="11262"/>
        <n v="11264"/>
        <n v="11268"/>
        <n v="11269"/>
        <n v="11287"/>
        <n v="11295"/>
        <n v="11314"/>
        <n v="11315"/>
        <n v="11325"/>
        <n v="11326"/>
        <n v="11331"/>
        <n v="11336"/>
        <n v="11339"/>
        <n v="11342"/>
        <n v="11344"/>
        <n v="11351"/>
        <n v="11356"/>
        <n v="11357"/>
        <n v="11360"/>
        <n v="11363"/>
        <n v="11377"/>
        <n v="11379"/>
        <n v="11381"/>
        <n v="11393"/>
        <n v="11394"/>
        <n v="11414"/>
        <n v="11428"/>
        <n v="11435"/>
        <n v="11443"/>
        <n v="11463"/>
        <n v="11470"/>
        <n v="11471"/>
        <n v="11485"/>
        <n v="11503"/>
        <n v="11508"/>
        <n v="11518"/>
        <n v="11523"/>
        <n v="11524"/>
        <n v="11525"/>
        <n v="11526"/>
        <n v="11538"/>
        <n v="11543"/>
        <n v="11544"/>
        <n v="11546"/>
        <n v="11548"/>
        <n v="11556"/>
        <n v="11563"/>
        <n v="11564"/>
        <n v="11565"/>
        <n v="11566"/>
        <n v="11567"/>
        <n v="11581"/>
        <n v="11591"/>
        <n v="11596"/>
        <n v="11599"/>
        <n v="11600"/>
        <n v="11601"/>
        <n v="11608"/>
        <n v="11609"/>
        <n v="11617"/>
        <n v="11631"/>
        <n v="11651"/>
        <n v="11667"/>
        <n v="11669"/>
        <n v="11686"/>
        <n v="11700"/>
        <n v="11713"/>
        <n v="11719"/>
        <n v="11722"/>
        <n v="11737"/>
        <n v="11738"/>
        <n v="11741"/>
        <n v="11755"/>
        <n v="11773"/>
        <n v="11792"/>
        <n v="11793"/>
        <n v="11796"/>
        <n v="11800"/>
        <n v="11806"/>
        <n v="10002"/>
        <n v="10018"/>
        <n v="10019"/>
        <n v="10021"/>
        <n v="10022"/>
        <n v="10023"/>
        <n v="10024"/>
        <n v="10031"/>
        <n v="10032"/>
        <n v="10040"/>
        <n v="10041"/>
        <n v="10052"/>
        <n v="10059"/>
        <n v="10069"/>
        <n v="10072"/>
        <n v="10087"/>
        <n v="10089"/>
        <n v="10098"/>
        <n v="10114"/>
        <n v="10116"/>
        <n v="10117"/>
        <n v="10120"/>
        <n v="10123"/>
        <n v="10139"/>
        <n v="10142"/>
        <n v="10145"/>
        <n v="10151"/>
        <n v="10152"/>
        <n v="10156"/>
        <n v="10157"/>
        <n v="10161"/>
        <n v="10162"/>
        <n v="10169"/>
        <n v="10170"/>
        <n v="10173"/>
        <n v="10176"/>
        <n v="10178"/>
        <n v="10184"/>
        <n v="10192"/>
        <n v="10201"/>
        <n v="10207"/>
        <n v="10208"/>
        <n v="10212"/>
        <n v="10219"/>
        <n v="10225"/>
        <n v="10227"/>
        <n v="10236"/>
        <n v="10238"/>
        <n v="10239"/>
        <n v="10242"/>
        <n v="10247"/>
        <n v="10254"/>
        <n v="10255"/>
        <n v="10261"/>
        <n v="10262"/>
        <n v="10263"/>
        <n v="10265"/>
        <n v="10267"/>
        <n v="10273"/>
        <n v="10274"/>
        <n v="10275"/>
        <n v="10283"/>
        <n v="10292"/>
        <n v="10300"/>
        <n v="10301"/>
        <n v="10311"/>
        <n v="10317"/>
        <n v="10318"/>
        <n v="10320"/>
        <n v="10333"/>
        <n v="10344"/>
        <n v="10350"/>
        <n v="10353"/>
        <n v="10355"/>
        <n v="10361"/>
        <n v="10362"/>
        <n v="10363"/>
        <n v="10367"/>
        <n v="10368"/>
        <n v="10371"/>
        <n v="10373"/>
        <n v="10381"/>
        <n v="10384"/>
        <n v="10387"/>
        <n v="10393"/>
        <n v="10394"/>
        <n v="10401"/>
        <n v="10403"/>
        <n v="10407"/>
        <n v="10410"/>
        <n v="10414"/>
        <n v="10429"/>
        <n v="10431"/>
        <n v="10433"/>
        <n v="10439"/>
        <n v="10447"/>
        <n v="10448"/>
        <n v="10449"/>
        <n v="10451"/>
        <n v="10456"/>
        <n v="10458"/>
        <n v="10462"/>
        <n v="10464"/>
        <n v="10465"/>
        <n v="10467"/>
        <n v="10469"/>
        <n v="10475"/>
        <n v="10477"/>
        <n v="10478"/>
        <n v="10480"/>
        <n v="10482"/>
        <n v="10488"/>
        <n v="10493"/>
        <n v="10497"/>
        <n v="10503"/>
        <n v="10516"/>
        <n v="10523"/>
        <n v="10528"/>
        <n v="10534"/>
        <n v="10535"/>
        <n v="10538"/>
        <n v="10544"/>
        <n v="10546"/>
        <n v="10553"/>
        <n v="10557"/>
        <n v="10565"/>
        <n v="10566"/>
        <n v="10571"/>
        <n v="10573"/>
        <n v="10574"/>
        <n v="10577"/>
        <n v="10585"/>
        <n v="10588"/>
        <n v="10592"/>
        <n v="10594"/>
        <n v="10595"/>
        <n v="10601"/>
        <n v="10607"/>
        <n v="10608"/>
        <n v="10614"/>
        <n v="10626"/>
        <n v="10630"/>
        <n v="10633"/>
        <n v="10639"/>
        <n v="10640"/>
        <n v="10645"/>
        <n v="10650"/>
        <n v="10658"/>
        <n v="10659"/>
        <n v="10663"/>
        <n v="10671"/>
        <n v="10675"/>
        <n v="10676"/>
        <n v="10678"/>
        <n v="10681"/>
        <n v="10694"/>
        <n v="10696"/>
        <n v="10699"/>
        <n v="10704"/>
        <n v="10705"/>
        <n v="10706"/>
        <n v="10713"/>
        <n v="10714"/>
        <n v="10724"/>
        <n v="10735"/>
        <n v="10736"/>
        <n v="10740"/>
        <n v="10748"/>
        <n v="10752"/>
        <n v="10758"/>
        <n v="10765"/>
        <n v="10774"/>
        <n v="10778"/>
        <n v="10783"/>
        <n v="10786"/>
        <n v="10795"/>
        <n v="10811"/>
        <n v="10812"/>
        <n v="10823"/>
        <n v="10824"/>
        <n v="10828"/>
        <n v="10848"/>
        <n v="10849"/>
        <n v="10851"/>
        <n v="10857"/>
        <n v="10860"/>
        <n v="10863"/>
        <n v="10867"/>
        <n v="10869"/>
        <n v="10870"/>
        <n v="10876"/>
        <n v="10900"/>
        <n v="10906"/>
        <n v="10908"/>
        <n v="10914"/>
        <n v="10915"/>
        <n v="10917"/>
        <n v="10920"/>
        <n v="10923"/>
        <n v="10927"/>
        <n v="10932"/>
        <n v="10937"/>
        <n v="10938"/>
        <n v="10949"/>
        <n v="10958"/>
        <n v="10970"/>
        <n v="10971"/>
        <n v="10974"/>
        <n v="10976"/>
        <n v="10989"/>
        <n v="10992"/>
        <n v="10995"/>
        <n v="11001"/>
        <n v="11002"/>
        <n v="11003"/>
        <n v="11006"/>
        <n v="11011"/>
        <n v="11012"/>
        <n v="11020"/>
        <n v="11026"/>
        <n v="11027"/>
        <n v="11029"/>
        <n v="11031"/>
        <n v="11038"/>
        <n v="11042"/>
        <n v="11043"/>
        <n v="11045"/>
        <n v="11046"/>
        <n v="11047"/>
        <n v="11048"/>
        <n v="11054"/>
        <n v="11056"/>
        <n v="11057"/>
        <n v="11060"/>
        <n v="11062"/>
        <n v="11064"/>
        <n v="11067"/>
        <n v="11073"/>
        <n v="11077"/>
        <n v="11078"/>
        <n v="11083"/>
        <n v="11093"/>
        <n v="11103"/>
        <n v="11108"/>
        <n v="11127"/>
        <n v="11129"/>
        <n v="11130"/>
        <n v="11136"/>
        <n v="11140"/>
        <n v="11146"/>
        <n v="11153"/>
        <n v="11156"/>
        <n v="11157"/>
        <n v="11165"/>
        <n v="11166"/>
        <n v="11167"/>
        <n v="11171"/>
        <n v="11178"/>
        <n v="11179"/>
        <n v="11185"/>
        <n v="11186"/>
        <n v="11188"/>
        <n v="11192"/>
        <n v="11195"/>
        <n v="11198"/>
        <n v="11206"/>
        <n v="11211"/>
        <n v="11223"/>
        <n v="11224"/>
        <n v="11231"/>
        <n v="11241"/>
        <n v="11246"/>
        <n v="11247"/>
        <n v="11249"/>
        <n v="11250"/>
        <n v="11251"/>
        <n v="11256"/>
        <n v="11257"/>
        <n v="11265"/>
        <n v="11266"/>
        <n v="11277"/>
        <n v="11278"/>
        <n v="11281"/>
        <n v="11296"/>
        <n v="11302"/>
        <n v="11304"/>
        <n v="11305"/>
        <n v="11307"/>
        <n v="11313"/>
        <n v="11319"/>
        <n v="11321"/>
        <n v="11340"/>
        <n v="11341"/>
        <n v="11343"/>
        <n v="11359"/>
        <n v="11389"/>
        <n v="11396"/>
        <n v="11407"/>
        <n v="11408"/>
        <n v="11409"/>
        <n v="11411"/>
        <n v="11412"/>
        <n v="11416"/>
        <n v="11418"/>
        <n v="11423"/>
        <n v="11425"/>
        <n v="11430"/>
        <n v="11441"/>
        <n v="11444"/>
        <n v="11447"/>
        <n v="11448"/>
        <n v="11449"/>
        <n v="11451"/>
        <n v="11452"/>
        <n v="11453"/>
        <n v="11455"/>
        <n v="11461"/>
        <n v="11468"/>
        <n v="11479"/>
        <n v="11487"/>
        <n v="11488"/>
        <n v="11490"/>
        <n v="11491"/>
        <n v="11492"/>
        <n v="11497"/>
        <n v="11502"/>
        <n v="11504"/>
        <n v="11506"/>
        <n v="11507"/>
        <n v="11510"/>
        <n v="11519"/>
        <n v="11522"/>
        <n v="11527"/>
        <n v="11529"/>
        <n v="11530"/>
        <n v="11537"/>
        <n v="11549"/>
        <n v="11555"/>
        <n v="11557"/>
        <n v="11561"/>
        <n v="11568"/>
        <n v="11577"/>
        <n v="11578"/>
        <n v="11589"/>
        <n v="11594"/>
        <n v="11606"/>
        <n v="11615"/>
        <n v="11616"/>
        <n v="11618"/>
        <n v="11624"/>
        <n v="11637"/>
        <n v="11646"/>
        <n v="11650"/>
        <n v="11653"/>
        <n v="11654"/>
        <n v="11661"/>
        <n v="11668"/>
        <n v="11670"/>
        <n v="11683"/>
        <n v="11694"/>
        <n v="11711"/>
        <n v="11714"/>
        <n v="11718"/>
        <n v="11721"/>
        <n v="11723"/>
        <n v="11729"/>
        <n v="11730"/>
        <n v="11731"/>
        <n v="11739"/>
        <n v="11742"/>
        <n v="11748"/>
        <n v="11754"/>
        <n v="11756"/>
        <n v="11759"/>
        <n v="11762"/>
        <n v="11767"/>
        <n v="11770"/>
        <n v="11775"/>
        <n v="11776"/>
        <n v="11778"/>
        <n v="11781"/>
        <n v="11788"/>
        <n v="11794"/>
        <n v="11799"/>
        <n v="10004"/>
        <n v="10013"/>
        <n v="10014"/>
        <n v="10020"/>
        <n v="10029"/>
        <n v="10030"/>
        <n v="10047"/>
        <n v="10049"/>
        <n v="10070"/>
        <n v="10080"/>
        <n v="10085"/>
        <n v="10086"/>
        <n v="10090"/>
        <n v="10097"/>
        <n v="10104"/>
        <n v="10105"/>
        <n v="10106"/>
        <n v="10115"/>
        <n v="10127"/>
        <n v="10143"/>
        <n v="10153"/>
        <n v="10158"/>
        <n v="10168"/>
        <n v="10185"/>
        <n v="10186"/>
        <n v="10187"/>
        <n v="10190"/>
        <n v="10193"/>
        <n v="10209"/>
        <n v="10211"/>
        <n v="10213"/>
        <n v="10244"/>
        <n v="10266"/>
        <n v="10280"/>
        <n v="10282"/>
        <n v="10290"/>
        <n v="10302"/>
        <n v="10310"/>
        <n v="10315"/>
        <n v="10319"/>
        <n v="10326"/>
        <n v="10332"/>
        <n v="10336"/>
        <n v="10345"/>
        <n v="10346"/>
        <n v="10354"/>
        <n v="10364"/>
        <n v="10389"/>
        <n v="10391"/>
        <n v="10392"/>
        <n v="10409"/>
        <n v="10413"/>
        <n v="10420"/>
        <n v="10421"/>
        <n v="10422"/>
        <n v="10423"/>
        <n v="10430"/>
        <n v="10432"/>
        <n v="10459"/>
        <n v="10466"/>
        <n v="10468"/>
        <n v="10484"/>
        <n v="10485"/>
        <n v="10487"/>
        <n v="10510"/>
        <n v="10511"/>
        <n v="10512"/>
        <n v="10513"/>
        <n v="10521"/>
        <n v="10522"/>
        <n v="10529"/>
        <n v="10549"/>
        <n v="10552"/>
        <n v="10554"/>
        <n v="10563"/>
        <n v="10570"/>
        <n v="10572"/>
        <n v="10576"/>
        <n v="10582"/>
        <n v="10584"/>
        <n v="10593"/>
        <n v="10613"/>
        <n v="10620"/>
        <n v="10628"/>
        <n v="10651"/>
        <n v="10652"/>
        <n v="10665"/>
        <n v="10666"/>
        <n v="10685"/>
        <n v="10686"/>
        <n v="10687"/>
        <n v="10701"/>
        <n v="10702"/>
        <n v="10703"/>
        <n v="10715"/>
        <n v="10718"/>
        <n v="10720"/>
        <n v="10732"/>
        <n v="10737"/>
        <n v="10739"/>
        <n v="10747"/>
        <n v="10756"/>
        <n v="10764"/>
        <n v="10767"/>
        <n v="10771"/>
        <n v="10775"/>
        <n v="10784"/>
        <n v="10790"/>
        <n v="10801"/>
        <n v="10810"/>
        <n v="10819"/>
        <n v="10825"/>
        <n v="10826"/>
        <n v="10837"/>
        <n v="10838"/>
        <n v="10845"/>
        <n v="10847"/>
        <n v="10859"/>
        <n v="10864"/>
        <n v="10865"/>
        <n v="10875"/>
        <n v="10877"/>
        <n v="10883"/>
        <n v="10886"/>
        <n v="10888"/>
        <n v="10894"/>
        <n v="10901"/>
        <n v="10907"/>
        <n v="10916"/>
        <n v="10921"/>
        <n v="10926"/>
        <n v="10941"/>
        <n v="10942"/>
        <n v="10943"/>
        <n v="10950"/>
        <n v="10952"/>
        <n v="10955"/>
        <n v="10957"/>
        <n v="10959"/>
        <n v="10965"/>
        <n v="10966"/>
        <n v="10972"/>
        <n v="10983"/>
        <n v="10991"/>
        <n v="10993"/>
        <n v="11000"/>
        <n v="11019"/>
        <n v="11030"/>
        <n v="11032"/>
        <n v="11036"/>
        <n v="11055"/>
        <n v="11061"/>
        <n v="11063"/>
        <n v="11081"/>
        <n v="11090"/>
        <n v="11097"/>
        <n v="11101"/>
        <n v="11102"/>
        <n v="11110"/>
        <n v="11111"/>
        <n v="11117"/>
        <n v="11128"/>
        <n v="11148"/>
        <n v="11154"/>
        <n v="11158"/>
        <n v="11173"/>
        <n v="11174"/>
        <n v="11175"/>
        <n v="11196"/>
        <n v="11197"/>
        <n v="11203"/>
        <n v="11232"/>
        <n v="11240"/>
        <n v="11242"/>
        <n v="11253"/>
        <n v="11258"/>
        <n v="11259"/>
        <n v="11267"/>
        <n v="11270"/>
        <n v="11276"/>
        <n v="11283"/>
        <n v="11285"/>
        <n v="11288"/>
        <n v="11293"/>
        <n v="11300"/>
        <n v="11301"/>
        <n v="11303"/>
        <n v="11306"/>
        <n v="11316"/>
        <n v="11322"/>
        <n v="11323"/>
        <n v="11330"/>
        <n v="11333"/>
        <n v="11337"/>
        <n v="11338"/>
        <n v="11350"/>
        <n v="11352"/>
        <n v="11353"/>
        <n v="11361"/>
        <n v="11362"/>
        <n v="11370"/>
        <n v="11371"/>
        <n v="11372"/>
        <n v="11373"/>
        <n v="11376"/>
        <n v="11378"/>
        <n v="11380"/>
        <n v="11390"/>
        <n v="11391"/>
        <n v="11397"/>
        <n v="11398"/>
        <n v="11399"/>
        <n v="11406"/>
        <n v="11413"/>
        <n v="11415"/>
        <n v="11417"/>
        <n v="11422"/>
        <n v="11424"/>
        <n v="11442"/>
        <n v="11450"/>
        <n v="11454"/>
        <n v="11466"/>
        <n v="11467"/>
        <n v="11469"/>
        <n v="11472"/>
        <n v="11473"/>
        <n v="11486"/>
        <n v="11498"/>
        <n v="11499"/>
        <n v="11500"/>
        <n v="11509"/>
        <n v="11516"/>
        <n v="11528"/>
        <n v="11536"/>
        <n v="11542"/>
        <n v="11545"/>
        <n v="11547"/>
        <n v="11582"/>
        <n v="11583"/>
        <n v="11584"/>
        <n v="11597"/>
        <n v="11611"/>
        <n v="11612"/>
        <n v="11626"/>
        <n v="11634"/>
        <n v="11636"/>
        <n v="11643"/>
        <n v="11645"/>
        <n v="11649"/>
        <n v="11666"/>
        <n v="11671"/>
        <n v="11676"/>
        <n v="11677"/>
        <n v="11680"/>
        <n v="11682"/>
        <n v="11692"/>
        <n v="11693"/>
        <n v="11697"/>
        <n v="11698"/>
        <n v="11702"/>
        <n v="11703"/>
        <n v="11704"/>
        <n v="11712"/>
        <n v="11717"/>
        <n v="11720"/>
        <n v="11732"/>
        <n v="11735"/>
        <n v="11736"/>
        <n v="11749"/>
        <n v="11751"/>
        <n v="11761"/>
        <n v="11768"/>
        <n v="11769"/>
        <n v="11774"/>
        <n v="11779"/>
        <n v="11789"/>
        <n v="11795"/>
        <n v="11798"/>
        <n v="11805"/>
        <n v="11807"/>
        <n v="10079"/>
      </sharedItems>
    </cacheField>
    <cacheField name="ShipperID" numFmtId="0">
      <sharedItems containsSemiMixedTypes="0" containsString="0" containsNumber="1" containsInteger="1" minValue="1" maxValue="3" count="3">
        <n v="2"/>
        <n v="1"/>
        <n v="3"/>
      </sharedItems>
    </cacheField>
    <cacheField name="CategoryID" numFmtId="0">
      <sharedItems containsSemiMixedTypes="0" containsString="0" containsNumber="1" containsInteger="1" minValue="1" maxValue="8"/>
    </cacheField>
    <cacheField name="Customer" numFmtId="0">
      <sharedItems count="326">
        <s v="san-plex"/>
        <s v="Subdrill"/>
        <s v="Baselux"/>
        <s v="Matdex"/>
        <s v="Zuntexon"/>
        <s v="Duoflex"/>
        <s v="Xx-planet"/>
        <s v="Matsanice"/>
        <s v="D-zohex"/>
        <s v="Treedrill"/>
        <s v="Stimcore"/>
        <s v="doubleis"/>
        <s v="Good-find"/>
        <s v="hat-core"/>
        <s v="Jobtechnology"/>
        <s v="Finlux"/>
        <s v="Canace"/>
        <s v="Dentocity"/>
        <s v="hottaxon"/>
        <s v="Keyzunbase"/>
        <s v="Dingity"/>
        <s v="Whitefan"/>
        <s v="Saohow"/>
        <s v="Constreet"/>
        <s v="Quotefix"/>
        <s v="Lexiplus"/>
        <s v="Plusity"/>
        <s v="Goodtechno"/>
        <s v="Singlejob"/>
        <s v="Scotline"/>
        <s v="Freebam"/>
        <s v="Icedox"/>
        <s v="Namelectronics"/>
        <s v="Siliconcore"/>
        <s v="Dongbase"/>
        <s v="Canphase"/>
        <s v="saltlab"/>
        <s v="Trio-dax"/>
        <s v="Ventocore"/>
        <s v="Planethouse"/>
        <s v="Overtam"/>
        <s v="Solholdings"/>
        <s v="Instrip"/>
        <s v="Zaamhouse"/>
        <s v="zoofan"/>
        <s v="Kincorporation"/>
        <s v="nimlab"/>
        <s v="tamplex"/>
        <s v="Scotfase"/>
        <s v="Duo-fase"/>
        <s v="Medialax"/>
        <s v="Fasetech"/>
        <s v="Zerhouse"/>
        <s v="Toncode"/>
        <s v="Gravemedia"/>
        <s v="Citytone"/>
        <s v="Statway"/>
        <s v="Joygreen"/>
        <s v="Daltron"/>
        <s v="Canex"/>
        <s v="Tempfan"/>
        <s v="Itcantrans"/>
        <s v="Silverfase"/>
        <s v="scotquote"/>
        <s v="xx-bam"/>
        <s v="Dongbiolex"/>
        <s v="Rancan"/>
        <s v="Fin-cone"/>
        <s v="Ranmedia"/>
        <s v="Zimjiit"/>
        <s v="Zerlane"/>
        <s v="Fixace"/>
        <s v="tres-tone"/>
        <s v="Indigoice"/>
        <s v="Qvofix"/>
        <s v="Technodax"/>
        <s v="O-ace"/>
        <s v="Y-strip"/>
        <s v="Redozetam"/>
        <s v="zen-holdings"/>
        <s v="Latcore"/>
        <s v="Reddoit"/>
        <s v="O-job"/>
        <s v="Sanlab"/>
        <s v="silfase"/>
        <s v="Condintex"/>
        <s v="Zentrax"/>
        <s v="bluecorporation"/>
        <s v="Trustcorporation"/>
        <s v="Conelane"/>
        <s v="Solohex"/>
        <s v="Hexunobam"/>
        <s v="planetron"/>
        <s v="Zuntone"/>
        <s v="Canecare"/>
        <s v="Faseelectronics"/>
        <s v="Silver-line"/>
        <s v="citydexon"/>
        <s v="Ittam"/>
        <s v="Funfintech"/>
        <s v="Damdexon"/>
        <s v="Fax-ex"/>
        <s v="Technoline"/>
        <s v="Howplanet"/>
        <s v="roundphase"/>
        <s v="Trueplus"/>
        <s v="Goodquoing"/>
        <s v="Y-zoom"/>
        <s v="Medcan"/>
        <s v="white-high"/>
        <s v="ganz-is"/>
        <s v="zathhow"/>
        <s v="Condexon"/>
        <s v="Donware"/>
        <s v="Viatom"/>
        <s v="tampquote"/>
        <s v="Yearlex"/>
        <s v="Physcone"/>
        <s v="Iceelectrics"/>
        <s v="Pluslam"/>
        <s v="Carekix"/>
        <s v="Daltcare"/>
        <s v="Mediaware"/>
        <s v="conestreet"/>
        <s v="Inchholdings"/>
        <s v="Faxzumtrax"/>
        <s v="Triootity"/>
        <s v="Roundlam"/>
        <s v="Mathing"/>
        <s v="Tamholding"/>
        <s v="Daltfax"/>
        <s v="Templax"/>
        <s v="Zotcare"/>
        <s v="Y-flex"/>
        <s v="Faxotfind"/>
        <s v="Ozeris"/>
        <s v="Ganzsannix"/>
        <s v="Planetline"/>
        <s v="wareholding"/>
        <s v="hotity"/>
        <s v="Striplane"/>
        <s v="Blue-tech"/>
        <s v="Goldentechi"/>
        <s v="Iselectrics"/>
        <s v="Aptaxon"/>
        <s v="Jaylane"/>
        <s v="Faseron"/>
        <s v="Lexidom"/>
        <s v="Danfan"/>
        <s v="Tamcan"/>
        <s v="Goldenbam"/>
        <s v="Warelane"/>
        <s v="Inzone"/>
        <s v="Planetware"/>
        <s v="Rankphase"/>
        <s v="Saocity"/>
        <s v="Joyzim"/>
        <s v="Stimmedia"/>
        <s v="Unoex"/>
        <s v="Strongcane"/>
        <s v="Whitekix"/>
        <s v="Zapline"/>
        <s v="Quadplanet"/>
        <s v="Donremlane"/>
        <s v="Plustaxon"/>
        <s v="Konknix"/>
        <s v="Vivazim"/>
        <s v="openzap"/>
        <s v="Tantechi"/>
        <s v="Recode"/>
        <s v="Duodax"/>
        <s v="Blueit"/>
        <s v="Vaiazoom"/>
        <s v="Goldenlex"/>
        <s v="Fixcan"/>
        <s v="Alphafan"/>
        <s v="Scotlex"/>
        <s v="Streetlam"/>
        <s v="betaity"/>
        <s v="Warebam"/>
        <s v="Plustax"/>
        <s v="Bamtechnology"/>
        <s v="Anmedia"/>
        <s v="Kantone"/>
        <s v="dan-high"/>
        <s v="Truebam"/>
        <s v="Jaydox"/>
        <s v="Zathlane"/>
        <s v="bamity"/>
        <s v="Indi-dox"/>
        <s v="K-is"/>
        <s v="mathtouch"/>
        <s v="Saozoomtex"/>
        <s v="Tantax"/>
        <s v="zummatax"/>
        <s v="Saokeycane"/>
        <s v="unaity"/>
        <s v="Tonsanhigh"/>
        <s v="Zimex"/>
        <s v="Unahigh"/>
        <s v="Kinice"/>
        <s v="Bamgeohigh"/>
        <s v="Cannamcon"/>
        <s v="Zummatexon"/>
        <s v="Flexplex"/>
        <s v="Lamlab"/>
        <s v="Geoit"/>
        <s v="Alphadax"/>
        <s v="Fasezoomfix"/>
        <s v="Opebase"/>
        <s v="Zunzone"/>
        <s v="Howelectrics"/>
        <s v="Dingfax"/>
        <s v="O-tom"/>
        <s v="Gogokeying"/>
        <s v="xx-way"/>
        <s v="Sunjob"/>
        <s v="Singleholdings"/>
        <s v="Ronlamice"/>
        <s v="apzone"/>
        <s v="Ontohatron"/>
        <s v="Zotfan"/>
        <s v="re-can"/>
        <s v="Linezatlam"/>
        <s v="Ganzlane"/>
        <s v="una-phase"/>
        <s v="Zamlane"/>
        <s v="Viacane"/>
        <s v="Howtaxon"/>
        <s v="applanet"/>
        <s v="Sonlex"/>
        <s v="Xx-canex"/>
        <s v="Itdom"/>
        <s v="Zamholdings"/>
        <s v="Strongtechnology"/>
        <s v="Streetplus"/>
        <s v="Silverace"/>
        <s v="geohigh"/>
        <s v="Zumcane"/>
        <s v="tinron"/>
        <s v="geofind"/>
        <s v="Faxron"/>
        <s v="Dentoelectrics"/>
        <s v="Golddexon"/>
        <s v="Zunhouse"/>
        <s v="Runhigh"/>
        <s v="Donplanet"/>
        <s v="Solostreet"/>
        <s v="Joyancom"/>
        <s v="Zunice"/>
        <s v="Canemedkix"/>
        <s v="Xx-dotone"/>
        <s v="Greentech"/>
        <s v="Funlax"/>
        <s v="K-antex"/>
        <s v="Laex"/>
        <s v="Dingquokix"/>
        <s v="Labdox"/>
        <s v="Latgotrax"/>
        <s v="Scothouse"/>
        <s v="Sonbam"/>
        <s v="Conzumzap"/>
        <s v="Cityis"/>
        <s v="Dongtinlux"/>
        <s v="Anzammedia"/>
        <s v="hexzim"/>
        <s v="Donelectrics"/>
        <s v="Zoodrill"/>
        <s v="Solozap"/>
        <s v="Dingcan"/>
        <s v="Unatrax"/>
        <s v="Warecity"/>
        <s v="Zerfax"/>
        <s v="Sanin"/>
        <s v="Zimity"/>
        <s v="Ronplanet"/>
        <s v="D-quadlux"/>
        <s v="Funlatlex"/>
        <s v="Vaiataxon"/>
        <s v="Canetechnology"/>
        <s v="Quotelane"/>
        <s v="Villacom"/>
        <s v="zotit"/>
        <s v="Strongdax"/>
        <s v="Tripplekix"/>
        <s v="Dontam"/>
        <s v="Ronvivalam"/>
        <s v="Keystreet"/>
        <s v="Yearcorporation"/>
        <s v="Saltfan"/>
        <s v="dripkix"/>
        <s v="Vaiazozice"/>
        <s v="Zoomhex"/>
        <s v="villahouse"/>
        <s v="Beta-ron"/>
        <s v="Dripvivadex"/>
        <s v="Scotcan"/>
        <s v="Coneranron"/>
        <s v="Ganjazone"/>
        <s v="Faseway"/>
        <s v="stripzim"/>
        <s v="techmedia"/>
        <s v="Hayholding"/>
        <s v="Plextechi"/>
        <s v="Newzap"/>
        <s v="Conehotice"/>
        <s v="ontotam"/>
        <s v="Plusla"/>
        <s v="Donglax"/>
        <s v="Bluezoombam"/>
        <s v="Indibase"/>
        <s v="Sonzamace"/>
        <s v="Lazap"/>
        <s v="Groovestrip"/>
        <s v="J-lax"/>
        <s v="Tamtexon"/>
        <s v="Zoncone"/>
        <s v="Plexlamway"/>
        <s v="Linetone"/>
        <s v="Isdexon"/>
        <s v="acequote"/>
        <s v="Fasezim"/>
        <s v="Opehouse"/>
        <s v="Tripple-fax"/>
        <s v="Gravetech"/>
        <s v="Subvivais"/>
      </sharedItems>
    </cacheField>
    <cacheField name="ShipDate" numFmtId="0">
      <sharedItems/>
    </cacheField>
    <cacheField name="Month" numFmtId="0">
      <sharedItems count="16">
        <s v="2016 - April"/>
        <s v="2016 - March"/>
        <s v="2016 - February"/>
        <s v="2016 - July"/>
        <s v="2016 - January"/>
        <s v="2016 - August"/>
        <s v="2016 - June"/>
        <s v="2016 - May"/>
        <s v="May" u="1"/>
        <s v="February" u="1"/>
        <s v="April" u="1"/>
        <s v="June" u="1"/>
        <s v="July" u="1"/>
        <s v="March" u="1"/>
        <s v="August" u="1"/>
        <s v="January" u="1"/>
      </sharedItems>
    </cacheField>
    <cacheField name="Route" numFmtId="0">
      <sharedItems count="24">
        <s v="Monon - Lansing"/>
        <s v="Rockford - Green Bay"/>
        <s v="Northbrook - Naperville"/>
        <s v="Milwaukee - Springfield"/>
        <s v="Madison - Kalamazoo"/>
        <s v="Bangor - Davenport"/>
        <s v="Cincinnati - Gary"/>
        <s v="Davenport - Appleton"/>
        <s v="Lansing - Dayton"/>
        <s v="Detriot - Monon"/>
        <s v="Springfield - Skokie"/>
        <s v="Appleton - Grand Rapids"/>
        <s v="Kalamazoo - Bangor"/>
        <s v="Elgin - Cincinnati"/>
        <s v="Chicago - Rockford"/>
        <s v="Dayton - Elgin"/>
        <s v="Toledo - Detriot"/>
        <s v="Grand Rapids - Toledo"/>
        <s v="Naperville - Indianapolis"/>
        <s v="Gary - Milwaukee"/>
        <s v="Skokie - Chicago"/>
        <s v="Green Bay - Joliet"/>
        <s v="Indianapolis - Northbrook"/>
        <s v="Joliet - Madison"/>
      </sharedItems>
    </cacheField>
    <cacheField name="OriginCity" numFmtId="0">
      <sharedItems count="24">
        <s v="Monon"/>
        <s v="Rockford"/>
        <s v="Northbrook"/>
        <s v="Milwaukee"/>
        <s v="Madison"/>
        <s v="Bangor"/>
        <s v="Cincinnati"/>
        <s v="Davenport"/>
        <s v="Lansing"/>
        <s v="Detriot"/>
        <s v="Springfield"/>
        <s v="Appleton"/>
        <s v="Kalamazoo"/>
        <s v="Elgin"/>
        <s v="Chicago"/>
        <s v="Dayton"/>
        <s v="Toledo"/>
        <s v="Grand Rapids"/>
        <s v="Naperville"/>
        <s v="Gary"/>
        <s v="Skokie"/>
        <s v="Green Bay"/>
        <s v="Indianapolis"/>
        <s v="Joliet"/>
      </sharedItems>
    </cacheField>
    <cacheField name="OriginState" numFmtId="0">
      <sharedItems count="6">
        <s v="IN"/>
        <s v="IL"/>
        <s v="WI"/>
        <s v="MI"/>
        <s v="OH"/>
        <s v="IA"/>
      </sharedItems>
    </cacheField>
    <cacheField name="ShipDays" numFmtId="0">
      <sharedItems containsString="0" containsBlank="1" containsNumber="1" containsInteger="1" minValue="1" maxValue="10"/>
    </cacheField>
    <cacheField name="DestinationCity" numFmtId="0">
      <sharedItems count="24">
        <s v="Lansing"/>
        <s v="Green Bay"/>
        <s v="Naperville"/>
        <s v="Springfield"/>
        <s v="Kalamazoo"/>
        <s v="Davenport"/>
        <s v="Gary"/>
        <s v="Appleton"/>
        <s v="Dayton"/>
        <s v="Monon"/>
        <s v="Skokie"/>
        <s v="Grand Rapids"/>
        <s v="Bangor"/>
        <s v="Cincinnati"/>
        <s v="Rockford"/>
        <s v="Elgin"/>
        <s v="Detriot"/>
        <s v="Toledo"/>
        <s v="Indianapolis"/>
        <s v="Milwaukee"/>
        <s v="Chicago"/>
        <s v="Joliet"/>
        <s v="Northbrook"/>
        <s v="Madison"/>
      </sharedItems>
    </cacheField>
    <cacheField name="DestinationState" numFmtId="0">
      <sharedItems/>
    </cacheField>
    <cacheField name="DeliveryDate" numFmtId="0">
      <sharedItems/>
    </cacheField>
    <cacheField name="TotalMiles" numFmtId="0">
      <sharedItems containsSemiMixedTypes="0" containsString="0" containsNumber="1" containsInteger="1" minValue="200" maxValue="1200"/>
    </cacheField>
    <cacheField name="LoadedMiles" numFmtId="0">
      <sharedItems containsSemiMixedTypes="0" containsString="0" containsNumber="1" containsInteger="1" minValue="200" maxValue="800"/>
    </cacheField>
    <cacheField name="Load factor" numFmtId="1">
      <sharedItems containsSemiMixedTypes="0" containsString="0" containsNumber="1" minValue="18.289585097375106" maxValue="100"/>
    </cacheField>
    <cacheField name="Cost per mile" numFmtId="2">
      <sharedItems containsSemiMixedTypes="0" containsString="0" containsNumber="1" minValue="7.7294685990338162E-3" maxValue="42.024509803921568"/>
    </cacheField>
    <cacheField name="ShippingCost" numFmtId="0">
      <sharedItems containsSemiMixedTypes="0" containsString="0" containsNumber="1" containsInteger="1" minValue="8" maxValue="8850"/>
    </cacheField>
    <cacheField name="Revenue per mile" numFmtId="2">
      <sharedItems containsSemiMixedTypes="0" containsString="0" containsNumber="1" minValue="3.3582089552238806E-2" maxValue="58.800904977375566"/>
    </cacheField>
    <cacheField name="Total profit" numFmtId="1">
      <sharedItems containsSemiMixedTypes="0" containsString="0" containsNumber="1" containsInteger="1" minValue="-2879" maxValue="5715"/>
    </cacheField>
    <cacheField name="Revenue" numFmtId="0">
      <sharedItems containsSemiMixedTypes="0" containsString="0" containsNumber="1" containsInteger="1" minValue="27" maxValue="13410"/>
    </cacheField>
    <cacheField name="Capacity" numFmtId="0">
      <sharedItems containsSemiMixedTypes="0" containsString="0" containsNumber="1" containsInteger="1" minValue="50" maxValue="100"/>
    </cacheField>
    <cacheField name="TripType" numFmtId="0">
      <sharedItems count="3">
        <s v="International"/>
        <s v="Domestic"/>
        <s v="Intercom"/>
      </sharedItems>
    </cacheField>
    <cacheField name="CheckPoints" numFmtId="0">
      <sharedItems containsSemiMixedTypes="0" containsString="0" containsNumber="1" containsInteger="1" minValue="1" maxValue="10" count="10">
        <n v="4"/>
        <n v="10"/>
        <n v="8"/>
        <n v="7"/>
        <n v="1"/>
        <n v="9"/>
        <n v="3"/>
        <n v="6"/>
        <n v="5"/>
        <n v="2"/>
      </sharedItems>
    </cacheField>
    <cacheField name="Actual Delivery Days" numFmtId="0">
      <sharedItems containsSemiMixedTypes="0" containsString="0" containsNumber="1" containsInteger="1" minValue="-161" maxValue="79" count="86">
        <n v="10"/>
        <n v="4"/>
        <n v="9"/>
        <n v="-91"/>
        <n v="7"/>
        <n v="8"/>
        <n v="-132"/>
        <n v="58"/>
        <n v="79"/>
        <n v="-6"/>
        <n v="42"/>
        <n v="40"/>
        <n v="-137"/>
        <n v="-127"/>
        <n v="77"/>
        <n v="13"/>
        <n v="55"/>
        <n v="-12"/>
        <n v="59"/>
        <n v="36"/>
        <n v="56"/>
        <n v="73"/>
        <n v="-140"/>
        <n v="12"/>
        <n v="11"/>
        <n v="15"/>
        <n v="-53"/>
        <n v="-124"/>
        <n v="6"/>
        <n v="-161"/>
        <n v="-141"/>
        <n v="-37"/>
        <n v="34"/>
        <n v="-7"/>
        <n v="-157"/>
        <n v="-56"/>
        <n v="29"/>
        <n v="68"/>
        <n v="-33"/>
        <n v="-16"/>
        <n v="-113"/>
        <n v="5"/>
        <n v="-96"/>
        <n v="26"/>
        <n v="-26"/>
        <n v="52"/>
        <n v="-21"/>
        <n v="-138"/>
        <n v="25"/>
        <n v="-128"/>
        <n v="-49"/>
        <n v="-84"/>
        <n v="57"/>
        <n v="35"/>
        <n v="53"/>
        <n v="-145"/>
        <n v="-79"/>
        <n v="-86"/>
        <n v="-48"/>
        <n v="-31"/>
        <n v="-85"/>
        <n v="-78"/>
        <n v="-135"/>
        <n v="-3"/>
        <n v="3"/>
        <n v="-112"/>
        <n v="-148"/>
        <n v="-117"/>
        <n v="-109"/>
        <n v="-35"/>
        <n v="-23"/>
        <n v="78"/>
        <n v="-32"/>
        <n v="-13"/>
        <n v="66"/>
        <n v="60"/>
        <n v="2"/>
        <n v="-43"/>
        <n v="-158"/>
        <n v="-133"/>
        <n v="17"/>
        <n v="-106"/>
        <n v="-28"/>
        <n v="47"/>
        <n v="1"/>
        <n v="0"/>
      </sharedItems>
    </cacheField>
    <cacheField name="Delayed ship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8">
  <r>
    <x v="0"/>
    <x v="0"/>
    <n v="6"/>
    <x v="0"/>
    <s v="08-04-2016"/>
    <x v="0"/>
    <x v="0"/>
    <x v="0"/>
    <x v="0"/>
    <n v="10"/>
    <x v="0"/>
    <s v="MI"/>
    <s v="18-04-2016"/>
    <n v="804"/>
    <n v="663"/>
    <n v="82.462686567164184"/>
    <n v="4.6592039800995027"/>
    <n v="3746"/>
    <n v="5.1082089552238807"/>
    <n v="361"/>
    <n v="4107"/>
    <n v="90"/>
    <x v="0"/>
    <x v="0"/>
    <x v="0"/>
    <x v="0"/>
  </r>
  <r>
    <x v="1"/>
    <x v="0"/>
    <n v="8"/>
    <x v="1"/>
    <s v="17-03-2016"/>
    <x v="1"/>
    <x v="1"/>
    <x v="1"/>
    <x v="1"/>
    <n v="10"/>
    <x v="1"/>
    <s v="WI"/>
    <s v="21-03-2016"/>
    <n v="1175"/>
    <n v="361"/>
    <n v="30.723404255319149"/>
    <n v="0.64936170212765953"/>
    <n v="763"/>
    <n v="1.2570212765957447"/>
    <n v="714"/>
    <n v="1477"/>
    <n v="50"/>
    <x v="0"/>
    <x v="1"/>
    <x v="1"/>
    <x v="0"/>
  </r>
  <r>
    <x v="2"/>
    <x v="0"/>
    <n v="6"/>
    <x v="2"/>
    <s v="28-02-2016"/>
    <x v="2"/>
    <x v="2"/>
    <x v="2"/>
    <x v="1"/>
    <n v="10"/>
    <x v="2"/>
    <s v="IL"/>
    <s v="09-03-2016"/>
    <n v="875"/>
    <n v="247"/>
    <n v="28.228571428571431"/>
    <n v="2.0342857142857143"/>
    <n v="1780"/>
    <n v="2.7942857142857145"/>
    <n v="665"/>
    <n v="2445"/>
    <n v="70"/>
    <x v="0"/>
    <x v="2"/>
    <x v="0"/>
    <x v="0"/>
  </r>
  <r>
    <x v="3"/>
    <x v="1"/>
    <n v="5"/>
    <x v="3"/>
    <s v="27-07-2016"/>
    <x v="3"/>
    <x v="3"/>
    <x v="3"/>
    <x v="2"/>
    <n v="10"/>
    <x v="3"/>
    <s v="IL"/>
    <s v="06-08-2016"/>
    <n v="219"/>
    <n v="219"/>
    <n v="100"/>
    <n v="3.6621004566210047"/>
    <n v="802"/>
    <n v="5.4063926940639266"/>
    <n v="382"/>
    <n v="1184"/>
    <n v="59"/>
    <x v="0"/>
    <x v="3"/>
    <x v="0"/>
    <x v="0"/>
  </r>
  <r>
    <x v="4"/>
    <x v="0"/>
    <n v="5"/>
    <x v="4"/>
    <s v="23-01-2016"/>
    <x v="4"/>
    <x v="4"/>
    <x v="4"/>
    <x v="2"/>
    <n v="10"/>
    <x v="4"/>
    <s v="MI"/>
    <s v="01-02-2016"/>
    <n v="254"/>
    <n v="254"/>
    <n v="100"/>
    <n v="12.681102362204724"/>
    <n v="3221"/>
    <n v="13.547244094488189"/>
    <n v="220"/>
    <n v="3441"/>
    <n v="71"/>
    <x v="0"/>
    <x v="1"/>
    <x v="2"/>
    <x v="0"/>
  </r>
  <r>
    <x v="5"/>
    <x v="0"/>
    <n v="7"/>
    <x v="5"/>
    <s v="23-08-2016"/>
    <x v="5"/>
    <x v="0"/>
    <x v="0"/>
    <x v="0"/>
    <n v="10"/>
    <x v="0"/>
    <s v="MI"/>
    <s v="02-09-2016"/>
    <n v="201"/>
    <n v="201"/>
    <n v="100"/>
    <n v="10.532338308457712"/>
    <n v="2117"/>
    <n v="15.159203980099502"/>
    <n v="930"/>
    <n v="3047"/>
    <n v="70"/>
    <x v="0"/>
    <x v="2"/>
    <x v="0"/>
    <x v="0"/>
  </r>
  <r>
    <x v="6"/>
    <x v="1"/>
    <n v="4"/>
    <x v="6"/>
    <s v="20-06-2016"/>
    <x v="6"/>
    <x v="1"/>
    <x v="1"/>
    <x v="1"/>
    <n v="10"/>
    <x v="1"/>
    <s v="WI"/>
    <s v="21-03-2016"/>
    <n v="360"/>
    <n v="316"/>
    <n v="87.777777777777771"/>
    <n v="7.4638888888888886"/>
    <n v="2687"/>
    <n v="2.1555555555555554"/>
    <n v="-1911"/>
    <n v="776"/>
    <n v="94"/>
    <x v="0"/>
    <x v="4"/>
    <x v="3"/>
    <x v="1"/>
  </r>
  <r>
    <x v="7"/>
    <x v="0"/>
    <n v="7"/>
    <x v="7"/>
    <s v="08-05-2016"/>
    <x v="7"/>
    <x v="5"/>
    <x v="5"/>
    <x v="3"/>
    <n v="10"/>
    <x v="5"/>
    <s v="IA"/>
    <s v="15-05-2016"/>
    <n v="411"/>
    <n v="290"/>
    <n v="70.559610705596114"/>
    <n v="14.639902676399027"/>
    <n v="6017"/>
    <n v="14.888077858880779"/>
    <n v="102"/>
    <n v="6119"/>
    <n v="100"/>
    <x v="0"/>
    <x v="4"/>
    <x v="4"/>
    <x v="0"/>
  </r>
  <r>
    <x v="8"/>
    <x v="0"/>
    <n v="5"/>
    <x v="8"/>
    <s v="04-04-2016"/>
    <x v="0"/>
    <x v="2"/>
    <x v="2"/>
    <x v="1"/>
    <n v="10"/>
    <x v="2"/>
    <s v="IL"/>
    <s v="14-04-2016"/>
    <n v="365"/>
    <n v="365"/>
    <n v="100"/>
    <n v="21.210958904109589"/>
    <n v="7742"/>
    <n v="22.082191780821919"/>
    <n v="318"/>
    <n v="8060"/>
    <n v="90"/>
    <x v="0"/>
    <x v="5"/>
    <x v="0"/>
    <x v="0"/>
  </r>
  <r>
    <x v="9"/>
    <x v="0"/>
    <n v="6"/>
    <x v="9"/>
    <s v="31-07-2016"/>
    <x v="3"/>
    <x v="6"/>
    <x v="6"/>
    <x v="4"/>
    <n v="10"/>
    <x v="6"/>
    <s v="IN"/>
    <s v="09-08-2016"/>
    <n v="660"/>
    <n v="570"/>
    <n v="86.36363636363636"/>
    <n v="4.2015151515151512"/>
    <n v="2773"/>
    <n v="4.8530303030303035"/>
    <n v="430"/>
    <n v="3203"/>
    <n v="100"/>
    <x v="0"/>
    <x v="0"/>
    <x v="2"/>
    <x v="0"/>
  </r>
  <r>
    <x v="10"/>
    <x v="0"/>
    <n v="5"/>
    <x v="10"/>
    <s v="16-04-2016"/>
    <x v="0"/>
    <x v="4"/>
    <x v="4"/>
    <x v="2"/>
    <n v="10"/>
    <x v="4"/>
    <s v="MI"/>
    <s v="24-04-2016"/>
    <n v="1047"/>
    <n v="476"/>
    <n v="45.463228271251197"/>
    <n v="1.3056351480420247"/>
    <n v="1367"/>
    <n v="1.7297039159503342"/>
    <n v="444"/>
    <n v="1811"/>
    <n v="96"/>
    <x v="0"/>
    <x v="1"/>
    <x v="5"/>
    <x v="0"/>
  </r>
  <r>
    <x v="11"/>
    <x v="0"/>
    <n v="8"/>
    <x v="11"/>
    <s v="31-07-2016"/>
    <x v="3"/>
    <x v="3"/>
    <x v="3"/>
    <x v="2"/>
    <n v="10"/>
    <x v="3"/>
    <s v="IL"/>
    <s v="21-03-2016"/>
    <n v="422"/>
    <n v="422"/>
    <n v="100"/>
    <n v="5.4502369668246446"/>
    <n v="2300"/>
    <n v="6.9383886255924168"/>
    <n v="628"/>
    <n v="2928"/>
    <n v="57"/>
    <x v="0"/>
    <x v="3"/>
    <x v="6"/>
    <x v="1"/>
  </r>
  <r>
    <x v="12"/>
    <x v="1"/>
    <n v="6"/>
    <x v="12"/>
    <s v="26-03-2016"/>
    <x v="1"/>
    <x v="7"/>
    <x v="7"/>
    <x v="5"/>
    <n v="10"/>
    <x v="7"/>
    <s v="WI"/>
    <s v="02-04-2016"/>
    <n v="337"/>
    <n v="337"/>
    <n v="100"/>
    <n v="22.17507418397626"/>
    <n v="7473"/>
    <n v="24.002967359050444"/>
    <n v="616"/>
    <n v="8089"/>
    <n v="62"/>
    <x v="0"/>
    <x v="5"/>
    <x v="4"/>
    <x v="0"/>
  </r>
  <r>
    <x v="13"/>
    <x v="1"/>
    <n v="5"/>
    <x v="13"/>
    <s v="27-03-2016"/>
    <x v="1"/>
    <x v="8"/>
    <x v="8"/>
    <x v="3"/>
    <n v="10"/>
    <x v="8"/>
    <s v="OH"/>
    <s v="05-04-2016"/>
    <n v="338"/>
    <n v="338"/>
    <n v="100"/>
    <n v="8.3461538461538467"/>
    <n v="2821"/>
    <n v="11.094674556213018"/>
    <n v="929"/>
    <n v="3750"/>
    <n v="73"/>
    <x v="0"/>
    <x v="2"/>
    <x v="2"/>
    <x v="0"/>
  </r>
  <r>
    <x v="14"/>
    <x v="1"/>
    <n v="7"/>
    <x v="14"/>
    <s v="23-01-2016"/>
    <x v="4"/>
    <x v="0"/>
    <x v="0"/>
    <x v="0"/>
    <n v="10"/>
    <x v="0"/>
    <s v="MI"/>
    <s v="21-03-2016"/>
    <n v="302"/>
    <n v="302"/>
    <n v="100"/>
    <n v="2.2483443708609272"/>
    <n v="679"/>
    <n v="2.6953642384105962"/>
    <n v="135"/>
    <n v="814"/>
    <n v="70"/>
    <x v="0"/>
    <x v="4"/>
    <x v="7"/>
    <x v="0"/>
  </r>
  <r>
    <x v="15"/>
    <x v="1"/>
    <n v="8"/>
    <x v="15"/>
    <s v="02-01-2016"/>
    <x v="4"/>
    <x v="3"/>
    <x v="3"/>
    <x v="2"/>
    <n v="10"/>
    <x v="3"/>
    <s v="IL"/>
    <s v="21-03-2016"/>
    <n v="951"/>
    <n v="639"/>
    <n v="67.192429022082024"/>
    <n v="7.0567823343848577"/>
    <n v="6711"/>
    <n v="7.9947423764458465"/>
    <n v="892"/>
    <n v="7603"/>
    <n v="60"/>
    <x v="0"/>
    <x v="1"/>
    <x v="8"/>
    <x v="0"/>
  </r>
  <r>
    <x v="16"/>
    <x v="1"/>
    <n v="4"/>
    <x v="16"/>
    <s v="25-07-2016"/>
    <x v="3"/>
    <x v="9"/>
    <x v="9"/>
    <x v="3"/>
    <n v="10"/>
    <x v="9"/>
    <s v="IN"/>
    <s v="01-08-2016"/>
    <n v="725"/>
    <n v="622"/>
    <n v="85.793103448275872"/>
    <n v="6.9117241379310341"/>
    <n v="5011"/>
    <n v="4.1406896551724142"/>
    <n v="-2009"/>
    <n v="3002"/>
    <n v="88"/>
    <x v="0"/>
    <x v="1"/>
    <x v="4"/>
    <x v="0"/>
  </r>
  <r>
    <x v="17"/>
    <x v="0"/>
    <n v="8"/>
    <x v="17"/>
    <s v="27-02-2016"/>
    <x v="2"/>
    <x v="10"/>
    <x v="10"/>
    <x v="1"/>
    <n v="10"/>
    <x v="10"/>
    <s v="IL"/>
    <s v="07-03-2016"/>
    <n v="501"/>
    <n v="501"/>
    <n v="100"/>
    <n v="12.726546906187625"/>
    <n v="6376"/>
    <n v="13.632734530938123"/>
    <n v="454"/>
    <n v="6830"/>
    <n v="100"/>
    <x v="0"/>
    <x v="2"/>
    <x v="2"/>
    <x v="0"/>
  </r>
  <r>
    <x v="18"/>
    <x v="0"/>
    <n v="8"/>
    <x v="18"/>
    <s v="01-06-2016"/>
    <x v="6"/>
    <x v="1"/>
    <x v="1"/>
    <x v="1"/>
    <n v="10"/>
    <x v="1"/>
    <s v="WI"/>
    <s v="11-06-2016"/>
    <n v="606"/>
    <n v="606"/>
    <n v="100"/>
    <n v="2.4323432343234321"/>
    <n v="1474"/>
    <n v="3.4603960396039604"/>
    <n v="623"/>
    <n v="2097"/>
    <n v="91"/>
    <x v="0"/>
    <x v="4"/>
    <x v="0"/>
    <x v="0"/>
  </r>
  <r>
    <x v="19"/>
    <x v="1"/>
    <n v="8"/>
    <x v="19"/>
    <s v="16-04-2016"/>
    <x v="0"/>
    <x v="11"/>
    <x v="11"/>
    <x v="2"/>
    <n v="10"/>
    <x v="11"/>
    <s v="MI"/>
    <s v="26-04-2016"/>
    <n v="1154"/>
    <n v="753"/>
    <n v="65.251299826689774"/>
    <n v="6.7850953206239168"/>
    <n v="7830"/>
    <n v="7.4783362218370888"/>
    <n v="800"/>
    <n v="8630"/>
    <n v="77"/>
    <x v="0"/>
    <x v="6"/>
    <x v="0"/>
    <x v="0"/>
  </r>
  <r>
    <x v="20"/>
    <x v="0"/>
    <n v="8"/>
    <x v="20"/>
    <s v="11-04-2016"/>
    <x v="0"/>
    <x v="12"/>
    <x v="12"/>
    <x v="3"/>
    <n v="10"/>
    <x v="12"/>
    <s v="MI"/>
    <s v="18-04-2016"/>
    <n v="958"/>
    <n v="477"/>
    <n v="49.791231732776623"/>
    <n v="7.8893528183716075"/>
    <n v="7558"/>
    <n v="8.6711899791231737"/>
    <n v="749"/>
    <n v="8307"/>
    <n v="61"/>
    <x v="0"/>
    <x v="7"/>
    <x v="4"/>
    <x v="0"/>
  </r>
  <r>
    <x v="21"/>
    <x v="1"/>
    <n v="6"/>
    <x v="21"/>
    <s v="06-05-2016"/>
    <x v="7"/>
    <x v="4"/>
    <x v="4"/>
    <x v="2"/>
    <n v="10"/>
    <x v="4"/>
    <s v="MI"/>
    <s v="16-05-2016"/>
    <n v="743"/>
    <n v="228"/>
    <n v="30.686406460296094"/>
    <n v="7.0834454912516822"/>
    <n v="5263"/>
    <n v="7.6567967698519519"/>
    <n v="426"/>
    <n v="5689"/>
    <n v="65"/>
    <x v="0"/>
    <x v="7"/>
    <x v="0"/>
    <x v="0"/>
  </r>
  <r>
    <x v="22"/>
    <x v="1"/>
    <n v="8"/>
    <x v="22"/>
    <s v="16-05-2016"/>
    <x v="7"/>
    <x v="8"/>
    <x v="8"/>
    <x v="3"/>
    <n v="10"/>
    <x v="8"/>
    <s v="OH"/>
    <s v="23-05-2016"/>
    <n v="718"/>
    <n v="464"/>
    <n v="64.623955431754879"/>
    <n v="0.75626740947075211"/>
    <n v="543"/>
    <n v="1.6908077994428969"/>
    <n v="671"/>
    <n v="1214"/>
    <n v="51"/>
    <x v="0"/>
    <x v="0"/>
    <x v="4"/>
    <x v="0"/>
  </r>
  <r>
    <x v="23"/>
    <x v="1"/>
    <n v="5"/>
    <x v="23"/>
    <s v="12-05-2016"/>
    <x v="7"/>
    <x v="5"/>
    <x v="5"/>
    <x v="3"/>
    <n v="10"/>
    <x v="5"/>
    <s v="IA"/>
    <s v="22-05-2016"/>
    <n v="366"/>
    <n v="366"/>
    <n v="100"/>
    <n v="17.489071038251367"/>
    <n v="6401"/>
    <n v="17.959016393442624"/>
    <n v="172"/>
    <n v="6573"/>
    <n v="72"/>
    <x v="0"/>
    <x v="8"/>
    <x v="0"/>
    <x v="0"/>
  </r>
  <r>
    <x v="24"/>
    <x v="0"/>
    <n v="6"/>
    <x v="24"/>
    <s v="07-08-2016"/>
    <x v="5"/>
    <x v="13"/>
    <x v="13"/>
    <x v="1"/>
    <n v="10"/>
    <x v="13"/>
    <s v="OH"/>
    <s v="17-08-2016"/>
    <n v="1003"/>
    <n v="675"/>
    <n v="67.298105682951146"/>
    <n v="6.3240279162512465"/>
    <n v="6343"/>
    <n v="6.6301096709870393"/>
    <n v="307"/>
    <n v="6650"/>
    <n v="72"/>
    <x v="0"/>
    <x v="1"/>
    <x v="0"/>
    <x v="0"/>
  </r>
  <r>
    <x v="25"/>
    <x v="0"/>
    <n v="6"/>
    <x v="25"/>
    <s v="22-03-2016"/>
    <x v="1"/>
    <x v="1"/>
    <x v="1"/>
    <x v="1"/>
    <n v="10"/>
    <x v="1"/>
    <s v="WI"/>
    <s v="01-04-2016"/>
    <n v="762"/>
    <n v="334"/>
    <n v="43.832020997375324"/>
    <n v="4.5853018372703414"/>
    <n v="3494"/>
    <n v="5.120734908136483"/>
    <n v="408"/>
    <n v="3902"/>
    <n v="73"/>
    <x v="0"/>
    <x v="3"/>
    <x v="0"/>
    <x v="0"/>
  </r>
  <r>
    <x v="26"/>
    <x v="0"/>
    <n v="8"/>
    <x v="26"/>
    <s v="15-08-2016"/>
    <x v="5"/>
    <x v="11"/>
    <x v="11"/>
    <x v="2"/>
    <n v="10"/>
    <x v="11"/>
    <s v="MI"/>
    <s v="25-08-2016"/>
    <n v="393"/>
    <n v="393"/>
    <n v="100"/>
    <n v="11.773536895674301"/>
    <n v="4627"/>
    <n v="13.478371501272264"/>
    <n v="670"/>
    <n v="5297"/>
    <n v="57"/>
    <x v="0"/>
    <x v="0"/>
    <x v="0"/>
    <x v="0"/>
  </r>
  <r>
    <x v="27"/>
    <x v="0"/>
    <n v="7"/>
    <x v="27"/>
    <s v="12-03-2016"/>
    <x v="1"/>
    <x v="7"/>
    <x v="7"/>
    <x v="5"/>
    <n v="10"/>
    <x v="7"/>
    <s v="WI"/>
    <s v="21-03-2016"/>
    <n v="1140"/>
    <n v="710"/>
    <n v="62.280701754385973"/>
    <n v="3.5105263157894737"/>
    <n v="4002"/>
    <n v="3.8307017543859647"/>
    <n v="365"/>
    <n v="4367"/>
    <n v="86"/>
    <x v="0"/>
    <x v="4"/>
    <x v="2"/>
    <x v="0"/>
  </r>
  <r>
    <x v="28"/>
    <x v="0"/>
    <n v="6"/>
    <x v="28"/>
    <s v="07-06-2016"/>
    <x v="6"/>
    <x v="5"/>
    <x v="5"/>
    <x v="3"/>
    <n v="10"/>
    <x v="5"/>
    <s v="IA"/>
    <s v="16-06-2016"/>
    <n v="591"/>
    <n v="201"/>
    <n v="34.01015228426396"/>
    <n v="12.664974619289341"/>
    <n v="7485"/>
    <n v="13.153976311336718"/>
    <n v="289"/>
    <n v="7774"/>
    <n v="53"/>
    <x v="0"/>
    <x v="8"/>
    <x v="2"/>
    <x v="0"/>
  </r>
  <r>
    <x v="29"/>
    <x v="0"/>
    <n v="6"/>
    <x v="29"/>
    <s v="01-04-2016"/>
    <x v="0"/>
    <x v="6"/>
    <x v="6"/>
    <x v="4"/>
    <n v="10"/>
    <x v="6"/>
    <s v="IN"/>
    <s v="08-04-2016"/>
    <n v="246"/>
    <n v="246"/>
    <n v="100"/>
    <n v="4.2398373983739841"/>
    <n v="1043"/>
    <n v="7.7113821138211378"/>
    <n v="854"/>
    <n v="1897"/>
    <n v="78"/>
    <x v="0"/>
    <x v="9"/>
    <x v="4"/>
    <x v="0"/>
  </r>
  <r>
    <x v="30"/>
    <x v="0"/>
    <n v="5"/>
    <x v="30"/>
    <s v="29-06-2016"/>
    <x v="6"/>
    <x v="14"/>
    <x v="14"/>
    <x v="1"/>
    <n v="10"/>
    <x v="14"/>
    <s v="IL"/>
    <s v="07-07-2016"/>
    <n v="495"/>
    <n v="403"/>
    <n v="81.414141414141412"/>
    <n v="9.2747474747474747"/>
    <n v="4591"/>
    <n v="10.785858585858586"/>
    <n v="748"/>
    <n v="5339"/>
    <n v="77"/>
    <x v="0"/>
    <x v="3"/>
    <x v="5"/>
    <x v="0"/>
  </r>
  <r>
    <x v="31"/>
    <x v="0"/>
    <n v="6"/>
    <x v="31"/>
    <s v="14-03-2016"/>
    <x v="1"/>
    <x v="15"/>
    <x v="15"/>
    <x v="4"/>
    <n v="10"/>
    <x v="15"/>
    <s v="IL"/>
    <s v="24-03-2016"/>
    <n v="940"/>
    <n v="288"/>
    <n v="30.638297872340424"/>
    <n v="0.63617021276595742"/>
    <n v="598"/>
    <n v="0.97340425531914898"/>
    <n v="317"/>
    <n v="915"/>
    <n v="64"/>
    <x v="0"/>
    <x v="1"/>
    <x v="0"/>
    <x v="0"/>
  </r>
  <r>
    <x v="32"/>
    <x v="0"/>
    <n v="8"/>
    <x v="32"/>
    <s v="27-03-2016"/>
    <x v="1"/>
    <x v="16"/>
    <x v="16"/>
    <x v="4"/>
    <n v="10"/>
    <x v="16"/>
    <s v="MI"/>
    <s v="21-03-2016"/>
    <n v="745"/>
    <n v="642"/>
    <n v="86.174496644295303"/>
    <n v="6.789261744966443"/>
    <n v="5058"/>
    <n v="7.2926174496644292"/>
    <n v="375"/>
    <n v="5433"/>
    <n v="94"/>
    <x v="0"/>
    <x v="6"/>
    <x v="9"/>
    <x v="1"/>
  </r>
  <r>
    <x v="33"/>
    <x v="0"/>
    <n v="7"/>
    <x v="33"/>
    <s v="29-06-2016"/>
    <x v="6"/>
    <x v="7"/>
    <x v="7"/>
    <x v="5"/>
    <n v="10"/>
    <x v="7"/>
    <s v="WI"/>
    <s v="06-07-2016"/>
    <n v="590"/>
    <n v="348"/>
    <n v="58.983050847457633"/>
    <n v="3.9898305084745762"/>
    <n v="2354"/>
    <n v="5.1525423728813555"/>
    <n v="686"/>
    <n v="3040"/>
    <n v="50"/>
    <x v="0"/>
    <x v="0"/>
    <x v="4"/>
    <x v="0"/>
  </r>
  <r>
    <x v="34"/>
    <x v="0"/>
    <n v="4"/>
    <x v="34"/>
    <s v="20-07-2016"/>
    <x v="3"/>
    <x v="0"/>
    <x v="0"/>
    <x v="0"/>
    <n v="10"/>
    <x v="0"/>
    <s v="MI"/>
    <s v="30-07-2016"/>
    <n v="1057"/>
    <n v="384"/>
    <n v="36.329233680227055"/>
    <n v="8.3235572374645219"/>
    <n v="8798"/>
    <n v="6.2620624408703875"/>
    <n v="-2179"/>
    <n v="6619"/>
    <n v="76"/>
    <x v="0"/>
    <x v="6"/>
    <x v="0"/>
    <x v="0"/>
  </r>
  <r>
    <x v="35"/>
    <x v="0"/>
    <n v="7"/>
    <x v="35"/>
    <s v="18-08-2016"/>
    <x v="5"/>
    <x v="5"/>
    <x v="5"/>
    <x v="3"/>
    <n v="10"/>
    <x v="5"/>
    <s v="IA"/>
    <s v="27-08-2016"/>
    <n v="578"/>
    <n v="578"/>
    <n v="100"/>
    <n v="8.8685121107266429"/>
    <n v="5126"/>
    <n v="10.121107266435986"/>
    <n v="724"/>
    <n v="5850"/>
    <n v="93"/>
    <x v="0"/>
    <x v="4"/>
    <x v="2"/>
    <x v="0"/>
  </r>
  <r>
    <x v="36"/>
    <x v="0"/>
    <n v="5"/>
    <x v="36"/>
    <s v="16-03-2016"/>
    <x v="1"/>
    <x v="2"/>
    <x v="2"/>
    <x v="1"/>
    <n v="10"/>
    <x v="2"/>
    <s v="IL"/>
    <s v="26-03-2016"/>
    <n v="1145"/>
    <n v="236"/>
    <n v="20.611353711790393"/>
    <n v="1.8847161572052402"/>
    <n v="2158"/>
    <n v="2.3572052401746726"/>
    <n v="541"/>
    <n v="2699"/>
    <n v="77"/>
    <x v="0"/>
    <x v="5"/>
    <x v="0"/>
    <x v="0"/>
  </r>
  <r>
    <x v="37"/>
    <x v="1"/>
    <n v="8"/>
    <x v="37"/>
    <s v="20-05-2016"/>
    <x v="7"/>
    <x v="17"/>
    <x v="17"/>
    <x v="3"/>
    <n v="10"/>
    <x v="17"/>
    <s v="OH"/>
    <s v="30-05-2016"/>
    <n v="985"/>
    <n v="270"/>
    <n v="27.411167512690355"/>
    <n v="4.7055837563451774"/>
    <n v="4635"/>
    <n v="4.9969543147208118"/>
    <n v="287"/>
    <n v="4922"/>
    <n v="56"/>
    <x v="0"/>
    <x v="4"/>
    <x v="0"/>
    <x v="0"/>
  </r>
  <r>
    <x v="38"/>
    <x v="0"/>
    <n v="4"/>
    <x v="38"/>
    <s v="08-02-2016"/>
    <x v="2"/>
    <x v="3"/>
    <x v="3"/>
    <x v="2"/>
    <n v="10"/>
    <x v="3"/>
    <s v="IL"/>
    <s v="21-03-2016"/>
    <n v="523"/>
    <n v="336"/>
    <n v="64.244741873804969"/>
    <n v="6.359464627151052"/>
    <n v="3326"/>
    <n v="3.7839388145315489"/>
    <n v="-1347"/>
    <n v="1979"/>
    <n v="92"/>
    <x v="0"/>
    <x v="2"/>
    <x v="10"/>
    <x v="0"/>
  </r>
  <r>
    <x v="39"/>
    <x v="0"/>
    <n v="6"/>
    <x v="39"/>
    <s v="30-05-2016"/>
    <x v="7"/>
    <x v="16"/>
    <x v="16"/>
    <x v="4"/>
    <n v="10"/>
    <x v="16"/>
    <s v="MI"/>
    <s v="09-06-2016"/>
    <n v="1104"/>
    <n v="765"/>
    <n v="69.293478260869563"/>
    <n v="0.60235507246376807"/>
    <n v="665"/>
    <n v="0.98913043478260865"/>
    <n v="427"/>
    <n v="1092"/>
    <n v="57"/>
    <x v="0"/>
    <x v="9"/>
    <x v="0"/>
    <x v="0"/>
  </r>
  <r>
    <x v="40"/>
    <x v="1"/>
    <n v="5"/>
    <x v="40"/>
    <s v="29-07-2016"/>
    <x v="3"/>
    <x v="8"/>
    <x v="8"/>
    <x v="3"/>
    <n v="10"/>
    <x v="8"/>
    <s v="OH"/>
    <s v="08-08-2016"/>
    <n v="887"/>
    <n v="580"/>
    <n v="65.388951521984211"/>
    <n v="0.7688838782412627"/>
    <n v="682"/>
    <n v="1.519729425028185"/>
    <n v="666"/>
    <n v="1348"/>
    <n v="86"/>
    <x v="0"/>
    <x v="0"/>
    <x v="0"/>
    <x v="0"/>
  </r>
  <r>
    <x v="41"/>
    <x v="0"/>
    <n v="5"/>
    <x v="41"/>
    <s v="18-08-2016"/>
    <x v="5"/>
    <x v="5"/>
    <x v="5"/>
    <x v="3"/>
    <n v="10"/>
    <x v="5"/>
    <s v="IA"/>
    <s v="28-08-2016"/>
    <n v="870"/>
    <n v="610"/>
    <n v="70.114942528735639"/>
    <n v="6.3390804597701154"/>
    <n v="5515"/>
    <n v="6.6528735632183906"/>
    <n v="273"/>
    <n v="5788"/>
    <n v="57"/>
    <x v="0"/>
    <x v="1"/>
    <x v="0"/>
    <x v="0"/>
  </r>
  <r>
    <x v="42"/>
    <x v="0"/>
    <n v="7"/>
    <x v="42"/>
    <s v="01-08-2016"/>
    <x v="5"/>
    <x v="11"/>
    <x v="11"/>
    <x v="2"/>
    <n v="10"/>
    <x v="11"/>
    <s v="MI"/>
    <s v="11-08-2016"/>
    <n v="420"/>
    <n v="407"/>
    <n v="96.904761904761898"/>
    <n v="10.876190476190477"/>
    <n v="4568"/>
    <n v="13.035714285714286"/>
    <n v="907"/>
    <n v="5475"/>
    <n v="58"/>
    <x v="0"/>
    <x v="0"/>
    <x v="0"/>
    <x v="0"/>
  </r>
  <r>
    <x v="43"/>
    <x v="0"/>
    <n v="5"/>
    <x v="43"/>
    <s v="21-04-2016"/>
    <x v="0"/>
    <x v="15"/>
    <x v="15"/>
    <x v="4"/>
    <n v="10"/>
    <x v="15"/>
    <s v="IL"/>
    <s v="01-05-2016"/>
    <n v="438"/>
    <n v="212"/>
    <n v="48.401826484018265"/>
    <n v="10.974885844748858"/>
    <n v="4807"/>
    <n v="12.328767123287671"/>
    <n v="593"/>
    <n v="5400"/>
    <n v="93"/>
    <x v="0"/>
    <x v="0"/>
    <x v="0"/>
    <x v="0"/>
  </r>
  <r>
    <x v="44"/>
    <x v="0"/>
    <n v="6"/>
    <x v="44"/>
    <s v="10-02-2016"/>
    <x v="2"/>
    <x v="16"/>
    <x v="16"/>
    <x v="4"/>
    <n v="10"/>
    <x v="16"/>
    <s v="MI"/>
    <s v="21-03-2016"/>
    <n v="417"/>
    <n v="321"/>
    <n v="76.978417266187051"/>
    <n v="9.1870503597122308"/>
    <n v="3831"/>
    <n v="11.520383693045563"/>
    <n v="973"/>
    <n v="4804"/>
    <n v="75"/>
    <x v="0"/>
    <x v="7"/>
    <x v="11"/>
    <x v="0"/>
  </r>
  <r>
    <x v="45"/>
    <x v="1"/>
    <n v="5"/>
    <x v="45"/>
    <s v="12-07-2016"/>
    <x v="3"/>
    <x v="0"/>
    <x v="0"/>
    <x v="0"/>
    <n v="10"/>
    <x v="0"/>
    <s v="MI"/>
    <s v="22-07-2016"/>
    <n v="308"/>
    <n v="286"/>
    <n v="92.857142857142861"/>
    <n v="19.642857142857142"/>
    <n v="6050"/>
    <n v="21.714285714285715"/>
    <n v="638"/>
    <n v="6688"/>
    <n v="59"/>
    <x v="0"/>
    <x v="4"/>
    <x v="0"/>
    <x v="0"/>
  </r>
  <r>
    <x v="46"/>
    <x v="1"/>
    <n v="8"/>
    <x v="46"/>
    <s v="24-03-2016"/>
    <x v="1"/>
    <x v="18"/>
    <x v="18"/>
    <x v="1"/>
    <n v="10"/>
    <x v="18"/>
    <s v="IN"/>
    <s v="03-04-2016"/>
    <n v="431"/>
    <n v="431"/>
    <n v="100"/>
    <n v="8.9234338747099766"/>
    <n v="3846"/>
    <n v="10.501160092807424"/>
    <n v="680"/>
    <n v="4526"/>
    <n v="78"/>
    <x v="0"/>
    <x v="4"/>
    <x v="0"/>
    <x v="0"/>
  </r>
  <r>
    <x v="47"/>
    <x v="1"/>
    <n v="4"/>
    <x v="47"/>
    <s v="05-08-2016"/>
    <x v="5"/>
    <x v="1"/>
    <x v="1"/>
    <x v="1"/>
    <n v="10"/>
    <x v="1"/>
    <s v="WI"/>
    <s v="21-03-2016"/>
    <n v="496"/>
    <n v="496"/>
    <n v="100"/>
    <n v="8.2903225806451619"/>
    <n v="4112"/>
    <n v="3.6068548387096775"/>
    <n v="-2323"/>
    <n v="1789"/>
    <n v="89"/>
    <x v="0"/>
    <x v="9"/>
    <x v="12"/>
    <x v="1"/>
  </r>
  <r>
    <x v="48"/>
    <x v="1"/>
    <n v="4"/>
    <x v="48"/>
    <s v="04-06-2016"/>
    <x v="6"/>
    <x v="5"/>
    <x v="5"/>
    <x v="3"/>
    <n v="10"/>
    <x v="5"/>
    <s v="IA"/>
    <s v="13-06-2016"/>
    <n v="528"/>
    <n v="528"/>
    <n v="100"/>
    <n v="15.268939393939394"/>
    <n v="8062"/>
    <n v="11.859848484848484"/>
    <n v="-1800"/>
    <n v="6262"/>
    <n v="70"/>
    <x v="0"/>
    <x v="3"/>
    <x v="2"/>
    <x v="0"/>
  </r>
  <r>
    <x v="49"/>
    <x v="1"/>
    <n v="8"/>
    <x v="49"/>
    <s v="07-04-2016"/>
    <x v="0"/>
    <x v="11"/>
    <x v="11"/>
    <x v="2"/>
    <n v="10"/>
    <x v="11"/>
    <s v="MI"/>
    <s v="16-04-2016"/>
    <n v="537"/>
    <n v="522"/>
    <n v="97.206703910614522"/>
    <n v="7.4972067039106145"/>
    <n v="4026"/>
    <n v="8.6238361266294223"/>
    <n v="605"/>
    <n v="4631"/>
    <n v="64"/>
    <x v="0"/>
    <x v="9"/>
    <x v="2"/>
    <x v="0"/>
  </r>
  <r>
    <x v="50"/>
    <x v="0"/>
    <n v="4"/>
    <x v="50"/>
    <s v="24-03-2016"/>
    <x v="1"/>
    <x v="3"/>
    <x v="3"/>
    <x v="2"/>
    <n v="10"/>
    <x v="3"/>
    <s v="IL"/>
    <s v="03-04-2016"/>
    <n v="631"/>
    <n v="319"/>
    <n v="50.554675118858952"/>
    <n v="7.5927099841521395"/>
    <n v="4791"/>
    <n v="3.4136291600633912"/>
    <n v="-2637"/>
    <n v="2154"/>
    <n v="67"/>
    <x v="0"/>
    <x v="8"/>
    <x v="0"/>
    <x v="0"/>
  </r>
  <r>
    <x v="51"/>
    <x v="1"/>
    <n v="8"/>
    <x v="51"/>
    <s v="15-03-2016"/>
    <x v="1"/>
    <x v="8"/>
    <x v="8"/>
    <x v="3"/>
    <n v="10"/>
    <x v="8"/>
    <s v="OH"/>
    <s v="25-03-2016"/>
    <n v="968"/>
    <n v="630"/>
    <n v="65.082644628099175"/>
    <n v="6.0836776859504136"/>
    <n v="5889"/>
    <n v="6.2882231404958677"/>
    <n v="198"/>
    <n v="6087"/>
    <n v="66"/>
    <x v="0"/>
    <x v="2"/>
    <x v="0"/>
    <x v="0"/>
  </r>
  <r>
    <x v="52"/>
    <x v="0"/>
    <n v="4"/>
    <x v="52"/>
    <s v="19-02-2016"/>
    <x v="2"/>
    <x v="8"/>
    <x v="8"/>
    <x v="3"/>
    <n v="10"/>
    <x v="8"/>
    <s v="OH"/>
    <s v="28-02-2016"/>
    <n v="1005"/>
    <n v="206"/>
    <n v="20.497512437810943"/>
    <n v="4.684577114427861"/>
    <n v="4708"/>
    <n v="2.3731343283582089"/>
    <n v="-2323"/>
    <n v="2385"/>
    <n v="62"/>
    <x v="0"/>
    <x v="0"/>
    <x v="2"/>
    <x v="0"/>
  </r>
  <r>
    <x v="53"/>
    <x v="1"/>
    <n v="4"/>
    <x v="53"/>
    <s v="31-01-2016"/>
    <x v="4"/>
    <x v="2"/>
    <x v="2"/>
    <x v="1"/>
    <n v="10"/>
    <x v="2"/>
    <s v="IL"/>
    <s v="10-02-2016"/>
    <n v="926"/>
    <n v="648"/>
    <n v="69.978401727861765"/>
    <n v="7.7354211663066952"/>
    <n v="7163"/>
    <n v="5.6209503239740819"/>
    <n v="-1958"/>
    <n v="5205"/>
    <n v="60"/>
    <x v="0"/>
    <x v="7"/>
    <x v="0"/>
    <x v="0"/>
  </r>
  <r>
    <x v="54"/>
    <x v="0"/>
    <n v="5"/>
    <x v="54"/>
    <s v="09-08-2016"/>
    <x v="5"/>
    <x v="19"/>
    <x v="19"/>
    <x v="0"/>
    <n v="10"/>
    <x v="19"/>
    <s v="WI"/>
    <s v="19-08-2016"/>
    <n v="935"/>
    <n v="549"/>
    <n v="58.716577540106954"/>
    <n v="1.7614973262032085"/>
    <n v="1647"/>
    <n v="2.6256684491978608"/>
    <n v="808"/>
    <n v="2455"/>
    <n v="59"/>
    <x v="0"/>
    <x v="9"/>
    <x v="0"/>
    <x v="0"/>
  </r>
  <r>
    <x v="55"/>
    <x v="0"/>
    <n v="8"/>
    <x v="55"/>
    <s v="26-07-2016"/>
    <x v="3"/>
    <x v="0"/>
    <x v="0"/>
    <x v="0"/>
    <n v="10"/>
    <x v="0"/>
    <s v="MI"/>
    <s v="21-03-2016"/>
    <n v="843"/>
    <n v="707"/>
    <n v="83.867141162514827"/>
    <n v="6.2040332147093711"/>
    <n v="5230"/>
    <n v="6.9134045077105579"/>
    <n v="598"/>
    <n v="5828"/>
    <n v="84"/>
    <x v="0"/>
    <x v="0"/>
    <x v="13"/>
    <x v="1"/>
  </r>
  <r>
    <x v="56"/>
    <x v="0"/>
    <n v="7"/>
    <x v="56"/>
    <s v="21-06-2016"/>
    <x v="6"/>
    <x v="17"/>
    <x v="17"/>
    <x v="3"/>
    <n v="10"/>
    <x v="17"/>
    <s v="OH"/>
    <s v="01-07-2016"/>
    <n v="398"/>
    <n v="398"/>
    <n v="100"/>
    <n v="7.0025125628140703"/>
    <n v="2787"/>
    <n v="8.9824120603015079"/>
    <n v="788"/>
    <n v="3575"/>
    <n v="80"/>
    <x v="0"/>
    <x v="3"/>
    <x v="0"/>
    <x v="0"/>
  </r>
  <r>
    <x v="57"/>
    <x v="1"/>
    <n v="8"/>
    <x v="57"/>
    <s v="18-08-2016"/>
    <x v="5"/>
    <x v="9"/>
    <x v="9"/>
    <x v="3"/>
    <n v="10"/>
    <x v="9"/>
    <s v="IN"/>
    <s v="25-08-2016"/>
    <n v="738"/>
    <n v="626"/>
    <n v="84.823848238482384"/>
    <n v="2.2520325203252032"/>
    <n v="1662"/>
    <n v="2.9051490514905147"/>
    <n v="482"/>
    <n v="2144"/>
    <n v="50"/>
    <x v="0"/>
    <x v="1"/>
    <x v="4"/>
    <x v="0"/>
  </r>
  <r>
    <x v="58"/>
    <x v="0"/>
    <n v="8"/>
    <x v="58"/>
    <s v="13-08-2016"/>
    <x v="5"/>
    <x v="8"/>
    <x v="8"/>
    <x v="3"/>
    <n v="10"/>
    <x v="8"/>
    <s v="OH"/>
    <s v="23-08-2016"/>
    <n v="668"/>
    <n v="507"/>
    <n v="75.898203592814369"/>
    <n v="2.05688622754491"/>
    <n v="1374"/>
    <n v="2.44311377245509"/>
    <n v="258"/>
    <n v="1632"/>
    <n v="65"/>
    <x v="0"/>
    <x v="0"/>
    <x v="0"/>
    <x v="0"/>
  </r>
  <r>
    <x v="59"/>
    <x v="1"/>
    <n v="2"/>
    <x v="59"/>
    <s v="13-01-2016"/>
    <x v="4"/>
    <x v="6"/>
    <x v="6"/>
    <x v="4"/>
    <n v="10"/>
    <x v="6"/>
    <s v="IN"/>
    <s v="23-01-2016"/>
    <n v="581"/>
    <n v="581"/>
    <n v="100"/>
    <n v="2.2289156626506026"/>
    <n v="1295"/>
    <n v="3.4526678141135974"/>
    <n v="711"/>
    <n v="2006"/>
    <n v="51"/>
    <x v="0"/>
    <x v="5"/>
    <x v="0"/>
    <x v="0"/>
  </r>
  <r>
    <x v="60"/>
    <x v="1"/>
    <n v="6"/>
    <x v="60"/>
    <s v="04-01-2016"/>
    <x v="4"/>
    <x v="16"/>
    <x v="16"/>
    <x v="4"/>
    <n v="10"/>
    <x v="16"/>
    <s v="MI"/>
    <s v="21-03-2016"/>
    <n v="342"/>
    <n v="253"/>
    <n v="73.976608187134502"/>
    <n v="18.134502923976608"/>
    <n v="6202"/>
    <n v="20.309941520467838"/>
    <n v="744"/>
    <n v="6946"/>
    <n v="83"/>
    <x v="0"/>
    <x v="6"/>
    <x v="14"/>
    <x v="0"/>
  </r>
  <r>
    <x v="61"/>
    <x v="1"/>
    <n v="5"/>
    <x v="61"/>
    <s v="06-04-2016"/>
    <x v="0"/>
    <x v="7"/>
    <x v="7"/>
    <x v="5"/>
    <n v="10"/>
    <x v="7"/>
    <s v="WI"/>
    <s v="13-04-2016"/>
    <n v="1100"/>
    <n v="351"/>
    <n v="31.90909090909091"/>
    <n v="7.0136363636363637"/>
    <n v="7715"/>
    <n v="7.1409090909090907"/>
    <n v="140"/>
    <n v="7855"/>
    <n v="61"/>
    <x v="0"/>
    <x v="6"/>
    <x v="4"/>
    <x v="0"/>
  </r>
  <r>
    <x v="62"/>
    <x v="0"/>
    <n v="5"/>
    <x v="62"/>
    <s v="06-05-2016"/>
    <x v="7"/>
    <x v="2"/>
    <x v="2"/>
    <x v="1"/>
    <n v="10"/>
    <x v="2"/>
    <s v="IL"/>
    <s v="16-05-2016"/>
    <n v="1155"/>
    <n v="612"/>
    <n v="52.987012987012982"/>
    <n v="4.8969696969696965"/>
    <n v="5656"/>
    <n v="5.3627705627705629"/>
    <n v="538"/>
    <n v="6194"/>
    <n v="100"/>
    <x v="0"/>
    <x v="4"/>
    <x v="0"/>
    <x v="0"/>
  </r>
  <r>
    <x v="63"/>
    <x v="1"/>
    <n v="5"/>
    <x v="63"/>
    <s v="26-01-2016"/>
    <x v="4"/>
    <x v="10"/>
    <x v="10"/>
    <x v="1"/>
    <n v="10"/>
    <x v="10"/>
    <s v="IL"/>
    <s v="05-02-2016"/>
    <n v="1086"/>
    <n v="417"/>
    <n v="38.39779005524862"/>
    <n v="3.492633517495396"/>
    <n v="3793"/>
    <n v="3.625230202578269"/>
    <n v="144"/>
    <n v="3937"/>
    <n v="62"/>
    <x v="0"/>
    <x v="1"/>
    <x v="0"/>
    <x v="0"/>
  </r>
  <r>
    <x v="64"/>
    <x v="2"/>
    <n v="1"/>
    <x v="2"/>
    <s v="08-03-2016"/>
    <x v="1"/>
    <x v="2"/>
    <x v="2"/>
    <x v="1"/>
    <n v="10"/>
    <x v="2"/>
    <s v="IL"/>
    <s v="21-03-2016"/>
    <n v="1109"/>
    <n v="505"/>
    <n v="45.536519386834982"/>
    <n v="4.6871055004508566"/>
    <n v="5198"/>
    <n v="9.1568981064021635"/>
    <n v="4957"/>
    <n v="10155"/>
    <n v="90"/>
    <x v="0"/>
    <x v="4"/>
    <x v="15"/>
    <x v="0"/>
  </r>
  <r>
    <x v="65"/>
    <x v="0"/>
    <n v="4"/>
    <x v="64"/>
    <s v="22-01-2016"/>
    <x v="4"/>
    <x v="19"/>
    <x v="19"/>
    <x v="0"/>
    <n v="10"/>
    <x v="19"/>
    <s v="WI"/>
    <s v="29-01-2016"/>
    <n v="1037"/>
    <n v="352"/>
    <n v="33.944069431051112"/>
    <n v="2.3683702989392477"/>
    <n v="2456"/>
    <n v="0.58244937319189971"/>
    <n v="-1852"/>
    <n v="604"/>
    <n v="55"/>
    <x v="0"/>
    <x v="5"/>
    <x v="4"/>
    <x v="0"/>
  </r>
  <r>
    <x v="66"/>
    <x v="0"/>
    <n v="3"/>
    <x v="65"/>
    <s v="25-07-2016"/>
    <x v="3"/>
    <x v="6"/>
    <x v="6"/>
    <x v="4"/>
    <n v="10"/>
    <x v="6"/>
    <s v="IN"/>
    <s v="04-08-2016"/>
    <n v="923"/>
    <n v="798"/>
    <n v="86.457204767063928"/>
    <n v="2.619718309859155"/>
    <n v="2418"/>
    <n v="3.2145178764897073"/>
    <n v="549"/>
    <n v="2967"/>
    <n v="95"/>
    <x v="0"/>
    <x v="7"/>
    <x v="0"/>
    <x v="0"/>
  </r>
  <r>
    <x v="67"/>
    <x v="2"/>
    <n v="5"/>
    <x v="66"/>
    <s v="04-06-2016"/>
    <x v="6"/>
    <x v="12"/>
    <x v="12"/>
    <x v="3"/>
    <n v="10"/>
    <x v="12"/>
    <s v="MI"/>
    <s v="12-06-2016"/>
    <n v="316"/>
    <n v="236"/>
    <n v="74.683544303797461"/>
    <n v="14.778481012658228"/>
    <n v="4670"/>
    <n v="15.579113924050633"/>
    <n v="253"/>
    <n v="4923"/>
    <n v="59"/>
    <x v="0"/>
    <x v="0"/>
    <x v="5"/>
    <x v="0"/>
  </r>
  <r>
    <x v="68"/>
    <x v="0"/>
    <n v="5"/>
    <x v="67"/>
    <s v="29-06-2016"/>
    <x v="6"/>
    <x v="18"/>
    <x v="18"/>
    <x v="1"/>
    <n v="10"/>
    <x v="18"/>
    <s v="IN"/>
    <s v="09-07-2016"/>
    <n v="782"/>
    <n v="304"/>
    <n v="38.874680306905368"/>
    <n v="1.6892583120204603"/>
    <n v="1321"/>
    <n v="2.448849104859335"/>
    <n v="594"/>
    <n v="1915"/>
    <n v="60"/>
    <x v="0"/>
    <x v="0"/>
    <x v="0"/>
    <x v="0"/>
  </r>
  <r>
    <x v="69"/>
    <x v="2"/>
    <n v="6"/>
    <x v="68"/>
    <s v="26-01-2016"/>
    <x v="4"/>
    <x v="1"/>
    <x v="1"/>
    <x v="1"/>
    <n v="10"/>
    <x v="1"/>
    <s v="WI"/>
    <s v="21-03-2016"/>
    <n v="486"/>
    <n v="441"/>
    <n v="90.740740740740748"/>
    <n v="6.9650205761316872"/>
    <n v="3385"/>
    <n v="7.8724279835390947"/>
    <n v="441"/>
    <n v="3826"/>
    <n v="75"/>
    <x v="0"/>
    <x v="5"/>
    <x v="16"/>
    <x v="0"/>
  </r>
  <r>
    <x v="70"/>
    <x v="0"/>
    <n v="2"/>
    <x v="69"/>
    <s v="01-06-2016"/>
    <x v="6"/>
    <x v="19"/>
    <x v="19"/>
    <x v="0"/>
    <n v="10"/>
    <x v="19"/>
    <s v="WI"/>
    <s v="11-06-2016"/>
    <n v="1055"/>
    <n v="252"/>
    <n v="23.886255924170616"/>
    <n v="3.4862559241706159"/>
    <n v="3678"/>
    <n v="4.1109004739336497"/>
    <n v="659"/>
    <n v="4337"/>
    <n v="90"/>
    <x v="0"/>
    <x v="8"/>
    <x v="0"/>
    <x v="0"/>
  </r>
  <r>
    <x v="71"/>
    <x v="2"/>
    <n v="3"/>
    <x v="5"/>
    <s v="02-04-2016"/>
    <x v="0"/>
    <x v="0"/>
    <x v="0"/>
    <x v="0"/>
    <n v="10"/>
    <x v="0"/>
    <s v="MI"/>
    <s v="21-03-2016"/>
    <n v="386"/>
    <n v="386"/>
    <n v="100"/>
    <n v="20.507772020725387"/>
    <n v="7916"/>
    <n v="21.461139896373059"/>
    <n v="368"/>
    <n v="8284"/>
    <n v="50"/>
    <x v="0"/>
    <x v="7"/>
    <x v="17"/>
    <x v="1"/>
  </r>
  <r>
    <x v="72"/>
    <x v="2"/>
    <n v="2"/>
    <x v="51"/>
    <s v="29-07-2016"/>
    <x v="3"/>
    <x v="4"/>
    <x v="4"/>
    <x v="2"/>
    <n v="10"/>
    <x v="4"/>
    <s v="MI"/>
    <s v="07-08-2016"/>
    <n v="1030"/>
    <n v="232"/>
    <n v="22.524271844660191"/>
    <n v="3.3436893203883495"/>
    <n v="3444"/>
    <n v="4.2524271844660193"/>
    <n v="936"/>
    <n v="4380"/>
    <n v="56"/>
    <x v="0"/>
    <x v="0"/>
    <x v="2"/>
    <x v="0"/>
  </r>
  <r>
    <x v="73"/>
    <x v="0"/>
    <n v="3"/>
    <x v="70"/>
    <s v="01-02-2016"/>
    <x v="2"/>
    <x v="5"/>
    <x v="5"/>
    <x v="3"/>
    <n v="10"/>
    <x v="5"/>
    <s v="IA"/>
    <s v="11-02-2016"/>
    <n v="1189"/>
    <n v="708"/>
    <n v="59.545836837678721"/>
    <n v="5.0815811606391925"/>
    <n v="6042"/>
    <n v="5.8629100084104291"/>
    <n v="929"/>
    <n v="6971"/>
    <n v="59"/>
    <x v="0"/>
    <x v="5"/>
    <x v="0"/>
    <x v="0"/>
  </r>
  <r>
    <x v="74"/>
    <x v="0"/>
    <n v="4"/>
    <x v="71"/>
    <s v="03-02-2016"/>
    <x v="2"/>
    <x v="13"/>
    <x v="13"/>
    <x v="1"/>
    <n v="10"/>
    <x v="13"/>
    <s v="OH"/>
    <s v="13-02-2016"/>
    <n v="769"/>
    <n v="629"/>
    <n v="81.794538361508444"/>
    <n v="6.0858257477243169"/>
    <n v="4680"/>
    <n v="3.7724317295188556"/>
    <n v="-1779"/>
    <n v="2901"/>
    <n v="67"/>
    <x v="0"/>
    <x v="5"/>
    <x v="0"/>
    <x v="0"/>
  </r>
  <r>
    <x v="75"/>
    <x v="2"/>
    <n v="5"/>
    <x v="72"/>
    <s v="22-01-2016"/>
    <x v="4"/>
    <x v="20"/>
    <x v="20"/>
    <x v="1"/>
    <n v="10"/>
    <x v="20"/>
    <s v="IL"/>
    <s v="21-03-2016"/>
    <n v="975"/>
    <n v="414"/>
    <n v="42.46153846153846"/>
    <n v="6.3764102564102565"/>
    <n v="6217"/>
    <n v="6.9210256410256408"/>
    <n v="531"/>
    <n v="6748"/>
    <n v="94"/>
    <x v="0"/>
    <x v="4"/>
    <x v="18"/>
    <x v="0"/>
  </r>
  <r>
    <x v="76"/>
    <x v="2"/>
    <n v="6"/>
    <x v="73"/>
    <s v="18-07-2016"/>
    <x v="3"/>
    <x v="6"/>
    <x v="6"/>
    <x v="4"/>
    <n v="10"/>
    <x v="6"/>
    <s v="IN"/>
    <s v="28-07-2016"/>
    <n v="288"/>
    <n v="231"/>
    <n v="80.208333333333343"/>
    <n v="4.2013888888888893"/>
    <n v="1210"/>
    <n v="4.802083333333333"/>
    <n v="173"/>
    <n v="1383"/>
    <n v="91"/>
    <x v="0"/>
    <x v="7"/>
    <x v="0"/>
    <x v="0"/>
  </r>
  <r>
    <x v="77"/>
    <x v="2"/>
    <n v="2"/>
    <x v="74"/>
    <s v="05-06-2016"/>
    <x v="6"/>
    <x v="0"/>
    <x v="0"/>
    <x v="0"/>
    <n v="10"/>
    <x v="0"/>
    <s v="MI"/>
    <s v="15-06-2016"/>
    <n v="257"/>
    <n v="257"/>
    <n v="100"/>
    <n v="3.0311284046692606"/>
    <n v="779"/>
    <n v="4.9571984435797667"/>
    <n v="495"/>
    <n v="1274"/>
    <n v="86"/>
    <x v="0"/>
    <x v="6"/>
    <x v="0"/>
    <x v="0"/>
  </r>
  <r>
    <x v="78"/>
    <x v="0"/>
    <n v="1"/>
    <x v="75"/>
    <s v="19-01-2016"/>
    <x v="4"/>
    <x v="2"/>
    <x v="2"/>
    <x v="1"/>
    <n v="10"/>
    <x v="2"/>
    <s v="IL"/>
    <s v="29-01-2016"/>
    <n v="1130"/>
    <n v="788"/>
    <n v="69.73451327433628"/>
    <n v="3.2539823008849558"/>
    <n v="3677"/>
    <n v="7.0061946902654864"/>
    <n v="4240"/>
    <n v="7917"/>
    <n v="99"/>
    <x v="0"/>
    <x v="7"/>
    <x v="0"/>
    <x v="0"/>
  </r>
  <r>
    <x v="79"/>
    <x v="2"/>
    <n v="3"/>
    <x v="76"/>
    <s v="16-07-2016"/>
    <x v="3"/>
    <x v="6"/>
    <x v="6"/>
    <x v="4"/>
    <n v="10"/>
    <x v="6"/>
    <s v="IN"/>
    <s v="23-07-2016"/>
    <n v="334"/>
    <n v="334"/>
    <n v="100"/>
    <n v="25.221556886227546"/>
    <n v="8424"/>
    <n v="26.119760479041915"/>
    <n v="300"/>
    <n v="8724"/>
    <n v="87"/>
    <x v="0"/>
    <x v="0"/>
    <x v="4"/>
    <x v="0"/>
  </r>
  <r>
    <x v="80"/>
    <x v="2"/>
    <n v="2"/>
    <x v="77"/>
    <s v="03-04-2016"/>
    <x v="0"/>
    <x v="21"/>
    <x v="21"/>
    <x v="2"/>
    <n v="10"/>
    <x v="21"/>
    <s v="IL"/>
    <s v="10-04-2016"/>
    <n v="1031"/>
    <n v="205"/>
    <n v="19.88360814742968"/>
    <n v="0.53734238603297768"/>
    <n v="554"/>
    <n v="0.89330746847720655"/>
    <n v="367"/>
    <n v="921"/>
    <n v="79"/>
    <x v="0"/>
    <x v="8"/>
    <x v="4"/>
    <x v="0"/>
  </r>
  <r>
    <x v="81"/>
    <x v="0"/>
    <n v="6"/>
    <x v="59"/>
    <s v="12-07-2016"/>
    <x v="3"/>
    <x v="19"/>
    <x v="19"/>
    <x v="0"/>
    <n v="10"/>
    <x v="19"/>
    <s v="WI"/>
    <s v="20-07-2016"/>
    <n v="376"/>
    <n v="376"/>
    <n v="100"/>
    <n v="12.436170212765957"/>
    <n v="4676"/>
    <n v="12.76063829787234"/>
    <n v="122"/>
    <n v="4798"/>
    <n v="90"/>
    <x v="0"/>
    <x v="0"/>
    <x v="5"/>
    <x v="0"/>
  </r>
  <r>
    <x v="82"/>
    <x v="2"/>
    <n v="6"/>
    <x v="78"/>
    <s v="06-04-2016"/>
    <x v="0"/>
    <x v="5"/>
    <x v="5"/>
    <x v="3"/>
    <n v="10"/>
    <x v="5"/>
    <s v="IA"/>
    <s v="16-04-2016"/>
    <n v="662"/>
    <n v="564"/>
    <n v="85.196374622356501"/>
    <n v="10.510574018126889"/>
    <n v="6958"/>
    <n v="11.037764350453172"/>
    <n v="349"/>
    <n v="7307"/>
    <n v="64"/>
    <x v="0"/>
    <x v="8"/>
    <x v="0"/>
    <x v="0"/>
  </r>
  <r>
    <x v="83"/>
    <x v="2"/>
    <n v="6"/>
    <x v="79"/>
    <s v="14-02-2016"/>
    <x v="2"/>
    <x v="20"/>
    <x v="20"/>
    <x v="1"/>
    <n v="10"/>
    <x v="20"/>
    <s v="IL"/>
    <s v="21-03-2016"/>
    <n v="469"/>
    <n v="469"/>
    <n v="100"/>
    <n v="12.22814498933902"/>
    <n v="5735"/>
    <n v="13.049040511727078"/>
    <n v="385"/>
    <n v="6120"/>
    <n v="67"/>
    <x v="0"/>
    <x v="9"/>
    <x v="19"/>
    <x v="0"/>
  </r>
  <r>
    <x v="84"/>
    <x v="0"/>
    <n v="4"/>
    <x v="80"/>
    <s v="17-05-2016"/>
    <x v="7"/>
    <x v="6"/>
    <x v="6"/>
    <x v="4"/>
    <n v="10"/>
    <x v="6"/>
    <s v="IN"/>
    <s v="27-05-2016"/>
    <n v="488"/>
    <n v="488"/>
    <n v="100"/>
    <n v="8.4364754098360653"/>
    <n v="4117"/>
    <n v="3.971311475409836"/>
    <n v="-2179"/>
    <n v="1938"/>
    <n v="75"/>
    <x v="0"/>
    <x v="3"/>
    <x v="0"/>
    <x v="0"/>
  </r>
  <r>
    <x v="85"/>
    <x v="2"/>
    <n v="6"/>
    <x v="81"/>
    <s v="09-06-2016"/>
    <x v="6"/>
    <x v="15"/>
    <x v="15"/>
    <x v="4"/>
    <n v="10"/>
    <x v="15"/>
    <s v="IL"/>
    <s v="19-06-2016"/>
    <n v="938"/>
    <n v="226"/>
    <n v="24.093816631130064"/>
    <n v="3.9989339019189765"/>
    <n v="3751"/>
    <n v="4.4509594882729209"/>
    <n v="424"/>
    <n v="4175"/>
    <n v="58"/>
    <x v="0"/>
    <x v="6"/>
    <x v="0"/>
    <x v="0"/>
  </r>
  <r>
    <x v="86"/>
    <x v="2"/>
    <n v="6"/>
    <x v="82"/>
    <s v="26-04-2016"/>
    <x v="0"/>
    <x v="12"/>
    <x v="12"/>
    <x v="3"/>
    <n v="10"/>
    <x v="12"/>
    <s v="MI"/>
    <s v="04-05-2016"/>
    <n v="624"/>
    <n v="528"/>
    <n v="84.615384615384613"/>
    <n v="11.128205128205128"/>
    <n v="6944"/>
    <n v="12.298076923076923"/>
    <n v="730"/>
    <n v="7674"/>
    <n v="75"/>
    <x v="0"/>
    <x v="9"/>
    <x v="5"/>
    <x v="0"/>
  </r>
  <r>
    <x v="87"/>
    <x v="0"/>
    <n v="5"/>
    <x v="38"/>
    <s v="25-07-2016"/>
    <x v="3"/>
    <x v="0"/>
    <x v="0"/>
    <x v="0"/>
    <n v="10"/>
    <x v="0"/>
    <s v="MI"/>
    <s v="04-08-2016"/>
    <n v="788"/>
    <n v="440"/>
    <n v="55.837563451776653"/>
    <n v="2.8375634517766497"/>
    <n v="2236"/>
    <n v="3.4644670050761421"/>
    <n v="494"/>
    <n v="2730"/>
    <n v="93"/>
    <x v="0"/>
    <x v="3"/>
    <x v="0"/>
    <x v="0"/>
  </r>
  <r>
    <x v="88"/>
    <x v="2"/>
    <n v="1"/>
    <x v="4"/>
    <s v="01-07-2016"/>
    <x v="3"/>
    <x v="10"/>
    <x v="10"/>
    <x v="1"/>
    <n v="10"/>
    <x v="10"/>
    <s v="IL"/>
    <s v="11-07-2016"/>
    <n v="916"/>
    <n v="592"/>
    <n v="64.62882096069869"/>
    <n v="2.052401746724891"/>
    <n v="1880"/>
    <n v="7.1299126637554586"/>
    <n v="4651"/>
    <n v="6531"/>
    <n v="87"/>
    <x v="0"/>
    <x v="8"/>
    <x v="0"/>
    <x v="0"/>
  </r>
  <r>
    <x v="89"/>
    <x v="2"/>
    <n v="1"/>
    <x v="83"/>
    <s v="25-01-2016"/>
    <x v="4"/>
    <x v="2"/>
    <x v="2"/>
    <x v="1"/>
    <n v="10"/>
    <x v="2"/>
    <s v="IL"/>
    <s v="21-03-2016"/>
    <n v="744"/>
    <n v="287"/>
    <n v="38.575268817204304"/>
    <n v="0.41263440860215056"/>
    <n v="307"/>
    <n v="6.181451612903226"/>
    <n v="4292"/>
    <n v="4599"/>
    <n v="75"/>
    <x v="0"/>
    <x v="0"/>
    <x v="20"/>
    <x v="0"/>
  </r>
  <r>
    <x v="90"/>
    <x v="0"/>
    <n v="2"/>
    <x v="84"/>
    <s v="31-08-2016"/>
    <x v="5"/>
    <x v="4"/>
    <x v="4"/>
    <x v="2"/>
    <n v="10"/>
    <x v="4"/>
    <s v="MI"/>
    <s v="07-09-2016"/>
    <n v="663"/>
    <n v="650"/>
    <n v="98.039215686274503"/>
    <n v="12.250377073906487"/>
    <n v="8122"/>
    <n v="12.559577677224736"/>
    <n v="205"/>
    <n v="8327"/>
    <n v="53"/>
    <x v="0"/>
    <x v="6"/>
    <x v="4"/>
    <x v="0"/>
  </r>
  <r>
    <x v="91"/>
    <x v="0"/>
    <n v="4"/>
    <x v="85"/>
    <s v="20-04-2016"/>
    <x v="0"/>
    <x v="8"/>
    <x v="8"/>
    <x v="3"/>
    <n v="10"/>
    <x v="8"/>
    <s v="OH"/>
    <s v="30-04-2016"/>
    <n v="804"/>
    <n v="257"/>
    <n v="31.965174129353237"/>
    <n v="2.3718905472636815"/>
    <n v="1907"/>
    <n v="3.3582089552238806E-2"/>
    <n v="-1880"/>
    <n v="27"/>
    <n v="53"/>
    <x v="0"/>
    <x v="6"/>
    <x v="0"/>
    <x v="0"/>
  </r>
  <r>
    <x v="92"/>
    <x v="2"/>
    <n v="1"/>
    <x v="86"/>
    <s v="08-07-2016"/>
    <x v="3"/>
    <x v="10"/>
    <x v="10"/>
    <x v="1"/>
    <n v="10"/>
    <x v="10"/>
    <s v="IL"/>
    <s v="17-07-2016"/>
    <n v="593"/>
    <n v="593"/>
    <n v="100"/>
    <n v="0.13322091062394603"/>
    <n v="79"/>
    <n v="8.9274873524451941"/>
    <n v="5215"/>
    <n v="5294"/>
    <n v="61"/>
    <x v="0"/>
    <x v="2"/>
    <x v="2"/>
    <x v="0"/>
  </r>
  <r>
    <x v="93"/>
    <x v="2"/>
    <n v="4"/>
    <x v="87"/>
    <s v="04-07-2016"/>
    <x v="3"/>
    <x v="14"/>
    <x v="14"/>
    <x v="1"/>
    <n v="10"/>
    <x v="14"/>
    <s v="IL"/>
    <s v="13-07-2016"/>
    <n v="1181"/>
    <n v="472"/>
    <n v="39.966130397967824"/>
    <n v="3.8585944115156647"/>
    <n v="4557"/>
    <n v="2.4343776460626589"/>
    <n v="-1682"/>
    <n v="2875"/>
    <n v="67"/>
    <x v="0"/>
    <x v="7"/>
    <x v="2"/>
    <x v="0"/>
  </r>
  <r>
    <x v="94"/>
    <x v="2"/>
    <n v="3"/>
    <x v="88"/>
    <s v="03-02-2016"/>
    <x v="2"/>
    <x v="12"/>
    <x v="12"/>
    <x v="3"/>
    <n v="10"/>
    <x v="12"/>
    <s v="MI"/>
    <s v="10-02-2016"/>
    <n v="1147"/>
    <n v="750"/>
    <n v="65.387968613775058"/>
    <n v="5.4298169136878816"/>
    <n v="6228"/>
    <n v="5.8517872711421095"/>
    <n v="484"/>
    <n v="6712"/>
    <n v="62"/>
    <x v="0"/>
    <x v="6"/>
    <x v="4"/>
    <x v="0"/>
  </r>
  <r>
    <x v="95"/>
    <x v="0"/>
    <n v="2"/>
    <x v="89"/>
    <s v="02-06-2016"/>
    <x v="6"/>
    <x v="4"/>
    <x v="4"/>
    <x v="2"/>
    <n v="10"/>
    <x v="4"/>
    <s v="MI"/>
    <s v="12-06-2016"/>
    <n v="551"/>
    <n v="551"/>
    <n v="100"/>
    <n v="7.7059891107078036"/>
    <n v="4246"/>
    <n v="7.9637023593466427"/>
    <n v="142"/>
    <n v="4388"/>
    <n v="88"/>
    <x v="0"/>
    <x v="6"/>
    <x v="0"/>
    <x v="0"/>
  </r>
  <r>
    <x v="96"/>
    <x v="2"/>
    <n v="2"/>
    <x v="7"/>
    <s v="24-01-2016"/>
    <x v="4"/>
    <x v="21"/>
    <x v="21"/>
    <x v="2"/>
    <n v="10"/>
    <x v="21"/>
    <s v="IL"/>
    <s v="03-02-2016"/>
    <n v="359"/>
    <n v="359"/>
    <n v="100"/>
    <n v="6.7715877437325904"/>
    <n v="2431"/>
    <n v="8.0724233983286915"/>
    <n v="467"/>
    <n v="2898"/>
    <n v="83"/>
    <x v="0"/>
    <x v="2"/>
    <x v="0"/>
    <x v="0"/>
  </r>
  <r>
    <x v="97"/>
    <x v="0"/>
    <n v="6"/>
    <x v="25"/>
    <s v="08-01-2016"/>
    <x v="4"/>
    <x v="1"/>
    <x v="1"/>
    <x v="1"/>
    <n v="10"/>
    <x v="1"/>
    <s v="WI"/>
    <s v="21-03-2016"/>
    <n v="323"/>
    <n v="208"/>
    <n v="64.396284829721367"/>
    <n v="9.9752321981424146"/>
    <n v="3222"/>
    <n v="10.773993808049536"/>
    <n v="258"/>
    <n v="3480"/>
    <n v="94"/>
    <x v="0"/>
    <x v="4"/>
    <x v="21"/>
    <x v="0"/>
  </r>
  <r>
    <x v="98"/>
    <x v="0"/>
    <n v="2"/>
    <x v="90"/>
    <s v="14-07-2016"/>
    <x v="3"/>
    <x v="8"/>
    <x v="8"/>
    <x v="3"/>
    <n v="10"/>
    <x v="8"/>
    <s v="OH"/>
    <s v="23-07-2016"/>
    <n v="826"/>
    <n v="383"/>
    <n v="46.368038740920099"/>
    <n v="2.9539951573849881"/>
    <n v="2440"/>
    <n v="3.3232445520581115"/>
    <n v="305"/>
    <n v="2745"/>
    <n v="100"/>
    <x v="0"/>
    <x v="1"/>
    <x v="2"/>
    <x v="0"/>
  </r>
  <r>
    <x v="99"/>
    <x v="2"/>
    <n v="1"/>
    <x v="91"/>
    <s v="13-07-2016"/>
    <x v="3"/>
    <x v="11"/>
    <x v="11"/>
    <x v="2"/>
    <n v="10"/>
    <x v="11"/>
    <s v="MI"/>
    <s v="22-07-2016"/>
    <n v="377"/>
    <n v="343"/>
    <n v="90.981432360742716"/>
    <n v="4.2997347480106098"/>
    <n v="1621"/>
    <n v="18.262599469496021"/>
    <n v="5264"/>
    <n v="6885"/>
    <n v="56"/>
    <x v="0"/>
    <x v="5"/>
    <x v="2"/>
    <x v="0"/>
  </r>
  <r>
    <x v="100"/>
    <x v="2"/>
    <n v="1"/>
    <x v="92"/>
    <s v="29-06-2016"/>
    <x v="6"/>
    <x v="3"/>
    <x v="3"/>
    <x v="2"/>
    <n v="10"/>
    <x v="3"/>
    <s v="IL"/>
    <s v="09-07-2016"/>
    <n v="912"/>
    <n v="295"/>
    <n v="32.346491228070171"/>
    <n v="2.6557017543859649"/>
    <n v="2422"/>
    <n v="7.5285087719298245"/>
    <n v="4444"/>
    <n v="6866"/>
    <n v="65"/>
    <x v="0"/>
    <x v="6"/>
    <x v="0"/>
    <x v="0"/>
  </r>
  <r>
    <x v="101"/>
    <x v="2"/>
    <n v="4"/>
    <x v="93"/>
    <s v="08-07-2016"/>
    <x v="3"/>
    <x v="14"/>
    <x v="14"/>
    <x v="1"/>
    <n v="10"/>
    <x v="14"/>
    <s v="IL"/>
    <s v="18-07-2016"/>
    <n v="451"/>
    <n v="202"/>
    <n v="44.789356984478935"/>
    <n v="17.58980044345898"/>
    <n v="7933"/>
    <n v="13.618625277161863"/>
    <n v="-1791"/>
    <n v="6142"/>
    <n v="97"/>
    <x v="0"/>
    <x v="4"/>
    <x v="0"/>
    <x v="0"/>
  </r>
  <r>
    <x v="102"/>
    <x v="0"/>
    <n v="1"/>
    <x v="94"/>
    <s v="09-06-2016"/>
    <x v="6"/>
    <x v="17"/>
    <x v="17"/>
    <x v="3"/>
    <n v="10"/>
    <x v="17"/>
    <s v="OH"/>
    <s v="19-06-2016"/>
    <n v="619"/>
    <n v="446"/>
    <n v="72.051696284329552"/>
    <n v="3.7043618739903068"/>
    <n v="2293"/>
    <n v="10.368336025848143"/>
    <n v="4125"/>
    <n v="6418"/>
    <n v="54"/>
    <x v="0"/>
    <x v="6"/>
    <x v="0"/>
    <x v="0"/>
  </r>
  <r>
    <x v="103"/>
    <x v="0"/>
    <n v="2"/>
    <x v="95"/>
    <s v="14-05-2016"/>
    <x v="7"/>
    <x v="14"/>
    <x v="14"/>
    <x v="1"/>
    <n v="10"/>
    <x v="14"/>
    <s v="IL"/>
    <s v="23-05-2016"/>
    <n v="786"/>
    <n v="234"/>
    <n v="29.770992366412212"/>
    <n v="3.9923664122137406"/>
    <n v="3138"/>
    <n v="4.9274809160305342"/>
    <n v="735"/>
    <n v="3873"/>
    <n v="74"/>
    <x v="0"/>
    <x v="8"/>
    <x v="2"/>
    <x v="0"/>
  </r>
  <r>
    <x v="104"/>
    <x v="2"/>
    <n v="2"/>
    <x v="12"/>
    <s v="30-07-2016"/>
    <x v="3"/>
    <x v="6"/>
    <x v="6"/>
    <x v="4"/>
    <n v="10"/>
    <x v="6"/>
    <s v="IN"/>
    <s v="09-08-2016"/>
    <n v="863"/>
    <n v="564"/>
    <n v="65.35341830822712"/>
    <n v="6.497103128621089"/>
    <n v="5607"/>
    <n v="7.5538818076477403"/>
    <n v="912"/>
    <n v="6519"/>
    <n v="90"/>
    <x v="0"/>
    <x v="6"/>
    <x v="0"/>
    <x v="0"/>
  </r>
  <r>
    <x v="105"/>
    <x v="0"/>
    <n v="6"/>
    <x v="96"/>
    <s v="18-07-2016"/>
    <x v="3"/>
    <x v="6"/>
    <x v="6"/>
    <x v="4"/>
    <n v="10"/>
    <x v="6"/>
    <s v="IN"/>
    <s v="26-07-2016"/>
    <n v="497"/>
    <n v="209"/>
    <n v="42.052313883299796"/>
    <n v="2.4124748490945676"/>
    <n v="1199"/>
    <n v="4.1931589537223344"/>
    <n v="885"/>
    <n v="2084"/>
    <n v="56"/>
    <x v="0"/>
    <x v="0"/>
    <x v="5"/>
    <x v="0"/>
  </r>
  <r>
    <x v="106"/>
    <x v="2"/>
    <n v="5"/>
    <x v="97"/>
    <s v="30-05-2016"/>
    <x v="7"/>
    <x v="14"/>
    <x v="14"/>
    <x v="1"/>
    <n v="10"/>
    <x v="14"/>
    <s v="IL"/>
    <s v="09-06-2016"/>
    <n v="896"/>
    <n v="320"/>
    <n v="35.714285714285715"/>
    <n v="6.2488839285714288"/>
    <n v="5599"/>
    <n v="6.5736607142857144"/>
    <n v="291"/>
    <n v="5890"/>
    <n v="88"/>
    <x v="0"/>
    <x v="6"/>
    <x v="0"/>
    <x v="0"/>
  </r>
  <r>
    <x v="107"/>
    <x v="2"/>
    <n v="6"/>
    <x v="98"/>
    <s v="31-03-2016"/>
    <x v="1"/>
    <x v="22"/>
    <x v="22"/>
    <x v="0"/>
    <n v="10"/>
    <x v="22"/>
    <s v="IL"/>
    <s v="10-04-2016"/>
    <n v="971"/>
    <n v="275"/>
    <n v="28.321318228630275"/>
    <n v="1.0226570545829041"/>
    <n v="993"/>
    <n v="1.494335736354274"/>
    <n v="458"/>
    <n v="1451"/>
    <n v="51"/>
    <x v="0"/>
    <x v="8"/>
    <x v="0"/>
    <x v="0"/>
  </r>
  <r>
    <x v="108"/>
    <x v="2"/>
    <n v="6"/>
    <x v="36"/>
    <s v="08-08-2016"/>
    <x v="5"/>
    <x v="2"/>
    <x v="2"/>
    <x v="1"/>
    <n v="10"/>
    <x v="2"/>
    <s v="IL"/>
    <s v="21-03-2016"/>
    <n v="209"/>
    <n v="209"/>
    <n v="100"/>
    <n v="14.339712918660288"/>
    <n v="2997"/>
    <n v="18.650717703349283"/>
    <n v="901"/>
    <n v="3898"/>
    <n v="87"/>
    <x v="0"/>
    <x v="8"/>
    <x v="22"/>
    <x v="1"/>
  </r>
  <r>
    <x v="109"/>
    <x v="0"/>
    <n v="5"/>
    <x v="16"/>
    <s v="01-07-2016"/>
    <x v="3"/>
    <x v="12"/>
    <x v="12"/>
    <x v="3"/>
    <n v="10"/>
    <x v="12"/>
    <s v="MI"/>
    <s v="13-07-2016"/>
    <n v="324"/>
    <n v="324"/>
    <n v="100"/>
    <n v="4.7901234567901234"/>
    <n v="1552"/>
    <n v="5.7746913580246915"/>
    <n v="319"/>
    <n v="1871"/>
    <n v="59"/>
    <x v="0"/>
    <x v="1"/>
    <x v="23"/>
    <x v="0"/>
  </r>
  <r>
    <x v="110"/>
    <x v="2"/>
    <n v="6"/>
    <x v="99"/>
    <s v="28-01-2016"/>
    <x v="4"/>
    <x v="9"/>
    <x v="9"/>
    <x v="3"/>
    <n v="10"/>
    <x v="9"/>
    <s v="IN"/>
    <s v="04-02-2016"/>
    <n v="984"/>
    <n v="267"/>
    <n v="27.134146341463417"/>
    <n v="3.7672764227642275"/>
    <n v="3707"/>
    <n v="4.5030487804878048"/>
    <n v="724"/>
    <n v="4431"/>
    <n v="97"/>
    <x v="0"/>
    <x v="4"/>
    <x v="4"/>
    <x v="0"/>
  </r>
  <r>
    <x v="111"/>
    <x v="0"/>
    <n v="4"/>
    <x v="100"/>
    <s v="24-02-2016"/>
    <x v="2"/>
    <x v="13"/>
    <x v="13"/>
    <x v="1"/>
    <n v="10"/>
    <x v="13"/>
    <s v="OH"/>
    <s v="06-03-2016"/>
    <n v="391"/>
    <n v="391"/>
    <n v="100"/>
    <n v="7.0843989769820972"/>
    <n v="2770"/>
    <n v="2.8925831202046037"/>
    <n v="-1639"/>
    <n v="1131"/>
    <n v="83"/>
    <x v="0"/>
    <x v="9"/>
    <x v="24"/>
    <x v="0"/>
  </r>
  <r>
    <x v="112"/>
    <x v="2"/>
    <n v="4"/>
    <x v="20"/>
    <s v="03-04-2016"/>
    <x v="0"/>
    <x v="11"/>
    <x v="11"/>
    <x v="2"/>
    <n v="10"/>
    <x v="11"/>
    <s v="MI"/>
    <s v="15-04-2016"/>
    <n v="336"/>
    <n v="336"/>
    <n v="100"/>
    <n v="20.044642857142858"/>
    <n v="6735"/>
    <n v="13.342261904761905"/>
    <n v="-2252"/>
    <n v="4483"/>
    <n v="72"/>
    <x v="0"/>
    <x v="8"/>
    <x v="23"/>
    <x v="0"/>
  </r>
  <r>
    <x v="113"/>
    <x v="2"/>
    <n v="3"/>
    <x v="101"/>
    <s v="07-08-2016"/>
    <x v="5"/>
    <x v="6"/>
    <x v="6"/>
    <x v="4"/>
    <n v="10"/>
    <x v="6"/>
    <s v="IN"/>
    <s v="19-08-2016"/>
    <n v="1101"/>
    <n v="738"/>
    <n v="67.029972752043605"/>
    <n v="3.6294277929155312"/>
    <n v="3996"/>
    <n v="3.9518619436875566"/>
    <n v="355"/>
    <n v="4351"/>
    <n v="56"/>
    <x v="0"/>
    <x v="0"/>
    <x v="23"/>
    <x v="0"/>
  </r>
  <r>
    <x v="114"/>
    <x v="2"/>
    <n v="4"/>
    <x v="102"/>
    <s v="24-07-2016"/>
    <x v="3"/>
    <x v="12"/>
    <x v="12"/>
    <x v="3"/>
    <n v="10"/>
    <x v="12"/>
    <s v="MI"/>
    <s v="02-08-2016"/>
    <n v="1036"/>
    <n v="614"/>
    <n v="59.266409266409269"/>
    <n v="4.2934362934362937"/>
    <n v="4448"/>
    <n v="2.4044401544401546"/>
    <n v="-1957"/>
    <n v="2491"/>
    <n v="64"/>
    <x v="0"/>
    <x v="1"/>
    <x v="2"/>
    <x v="0"/>
  </r>
  <r>
    <x v="115"/>
    <x v="0"/>
    <n v="3"/>
    <x v="22"/>
    <s v="18-02-2016"/>
    <x v="2"/>
    <x v="4"/>
    <x v="4"/>
    <x v="2"/>
    <n v="10"/>
    <x v="4"/>
    <s v="MI"/>
    <s v="02-03-2016"/>
    <n v="754"/>
    <n v="752"/>
    <n v="99.734748010610076"/>
    <n v="0.53580901856763929"/>
    <n v="404"/>
    <n v="0.74137931034482762"/>
    <n v="155"/>
    <n v="559"/>
    <n v="59"/>
    <x v="0"/>
    <x v="3"/>
    <x v="15"/>
    <x v="0"/>
  </r>
  <r>
    <x v="116"/>
    <x v="0"/>
    <n v="5"/>
    <x v="103"/>
    <s v="05-08-2016"/>
    <x v="5"/>
    <x v="5"/>
    <x v="5"/>
    <x v="3"/>
    <n v="10"/>
    <x v="5"/>
    <s v="IA"/>
    <s v="12-08-2016"/>
    <n v="707"/>
    <n v="563"/>
    <n v="79.632248939179632"/>
    <n v="6.9533239038189532"/>
    <n v="4916"/>
    <n v="7.2998585572843"/>
    <n v="245"/>
    <n v="5161"/>
    <n v="64"/>
    <x v="0"/>
    <x v="0"/>
    <x v="4"/>
    <x v="0"/>
  </r>
  <r>
    <x v="117"/>
    <x v="0"/>
    <n v="6"/>
    <x v="104"/>
    <s v="09-08-2016"/>
    <x v="5"/>
    <x v="6"/>
    <x v="6"/>
    <x v="4"/>
    <n v="10"/>
    <x v="6"/>
    <s v="IN"/>
    <s v="16-08-2016"/>
    <n v="455"/>
    <n v="206"/>
    <n v="45.274725274725277"/>
    <n v="14.782417582417583"/>
    <n v="6726"/>
    <n v="15.843956043956045"/>
    <n v="483"/>
    <n v="7209"/>
    <n v="65"/>
    <x v="0"/>
    <x v="1"/>
    <x v="4"/>
    <x v="0"/>
  </r>
  <r>
    <x v="118"/>
    <x v="2"/>
    <n v="4"/>
    <x v="105"/>
    <s v="09-08-2016"/>
    <x v="5"/>
    <x v="12"/>
    <x v="12"/>
    <x v="3"/>
    <n v="10"/>
    <x v="12"/>
    <s v="MI"/>
    <s v="22-08-2016"/>
    <n v="225"/>
    <n v="225"/>
    <n v="100"/>
    <n v="31.995555555555555"/>
    <n v="7199"/>
    <n v="19.493333333333332"/>
    <n v="-2813"/>
    <n v="4386"/>
    <n v="66"/>
    <x v="0"/>
    <x v="1"/>
    <x v="15"/>
    <x v="0"/>
  </r>
  <r>
    <x v="119"/>
    <x v="0"/>
    <n v="5"/>
    <x v="106"/>
    <s v="06-03-2016"/>
    <x v="1"/>
    <x v="16"/>
    <x v="16"/>
    <x v="4"/>
    <n v="10"/>
    <x v="16"/>
    <s v="MI"/>
    <s v="21-03-2016"/>
    <n v="824"/>
    <n v="545"/>
    <n v="66.140776699029118"/>
    <n v="9.4720873786407775"/>
    <n v="7805"/>
    <n v="10.452669902912621"/>
    <n v="808"/>
    <n v="8613"/>
    <n v="76"/>
    <x v="0"/>
    <x v="9"/>
    <x v="25"/>
    <x v="0"/>
  </r>
  <r>
    <x v="120"/>
    <x v="2"/>
    <n v="2"/>
    <x v="107"/>
    <s v="22-03-2016"/>
    <x v="1"/>
    <x v="18"/>
    <x v="18"/>
    <x v="1"/>
    <n v="10"/>
    <x v="18"/>
    <s v="IN"/>
    <s v="01-04-2016"/>
    <n v="601"/>
    <n v="365"/>
    <n v="60.732113144758735"/>
    <n v="1.3361064891846921"/>
    <n v="803"/>
    <n v="2.9367720465890184"/>
    <n v="962"/>
    <n v="1765"/>
    <n v="50"/>
    <x v="0"/>
    <x v="0"/>
    <x v="0"/>
    <x v="0"/>
  </r>
  <r>
    <x v="121"/>
    <x v="2"/>
    <n v="1"/>
    <x v="93"/>
    <s v="02-04-2016"/>
    <x v="0"/>
    <x v="5"/>
    <x v="5"/>
    <x v="3"/>
    <n v="10"/>
    <x v="5"/>
    <s v="IA"/>
    <s v="09-04-2016"/>
    <n v="497"/>
    <n v="216"/>
    <n v="43.460764587525155"/>
    <n v="16.08651911468813"/>
    <n v="7995"/>
    <n v="23.197183098591548"/>
    <n v="3534"/>
    <n v="11529"/>
    <n v="63"/>
    <x v="0"/>
    <x v="5"/>
    <x v="4"/>
    <x v="0"/>
  </r>
  <r>
    <x v="122"/>
    <x v="0"/>
    <n v="5"/>
    <x v="72"/>
    <s v="18-03-2016"/>
    <x v="1"/>
    <x v="2"/>
    <x v="2"/>
    <x v="1"/>
    <n v="10"/>
    <x v="2"/>
    <s v="IL"/>
    <s v="28-03-2016"/>
    <n v="660"/>
    <n v="660"/>
    <n v="100"/>
    <n v="5.4196969696969699"/>
    <n v="3577"/>
    <n v="6.7121212121212119"/>
    <n v="853"/>
    <n v="4430"/>
    <n v="78"/>
    <x v="0"/>
    <x v="3"/>
    <x v="0"/>
    <x v="0"/>
  </r>
  <r>
    <x v="123"/>
    <x v="2"/>
    <n v="5"/>
    <x v="108"/>
    <s v="10-04-2016"/>
    <x v="0"/>
    <x v="3"/>
    <x v="3"/>
    <x v="2"/>
    <n v="10"/>
    <x v="3"/>
    <s v="IL"/>
    <s v="20-04-2016"/>
    <n v="474"/>
    <n v="474"/>
    <n v="100"/>
    <n v="8.0506329113924053"/>
    <n v="3816"/>
    <n v="8.9599156118143455"/>
    <n v="431"/>
    <n v="4247"/>
    <n v="57"/>
    <x v="0"/>
    <x v="2"/>
    <x v="0"/>
    <x v="0"/>
  </r>
  <r>
    <x v="124"/>
    <x v="0"/>
    <n v="6"/>
    <x v="109"/>
    <s v="13-05-2016"/>
    <x v="7"/>
    <x v="3"/>
    <x v="3"/>
    <x v="2"/>
    <n v="10"/>
    <x v="3"/>
    <s v="IL"/>
    <s v="21-03-2016"/>
    <n v="613"/>
    <n v="312"/>
    <n v="50.897226753670481"/>
    <n v="12.732463295269168"/>
    <n v="7805"/>
    <n v="13.367047308319739"/>
    <n v="389"/>
    <n v="8194"/>
    <n v="86"/>
    <x v="0"/>
    <x v="4"/>
    <x v="26"/>
    <x v="1"/>
  </r>
  <r>
    <x v="125"/>
    <x v="0"/>
    <n v="4"/>
    <x v="110"/>
    <s v="09-08-2016"/>
    <x v="5"/>
    <x v="16"/>
    <x v="16"/>
    <x v="4"/>
    <n v="10"/>
    <x v="16"/>
    <s v="MI"/>
    <s v="19-08-2016"/>
    <n v="518"/>
    <n v="518"/>
    <n v="100"/>
    <n v="4.9478764478764479"/>
    <n v="2563"/>
    <n v="2.2220077220077221"/>
    <n v="-1412"/>
    <n v="1151"/>
    <n v="82"/>
    <x v="0"/>
    <x v="3"/>
    <x v="0"/>
    <x v="0"/>
  </r>
  <r>
    <x v="126"/>
    <x v="2"/>
    <n v="5"/>
    <x v="111"/>
    <s v="27-06-2016"/>
    <x v="6"/>
    <x v="14"/>
    <x v="14"/>
    <x v="1"/>
    <n v="10"/>
    <x v="14"/>
    <s v="IL"/>
    <s v="04-07-2016"/>
    <n v="530"/>
    <n v="343"/>
    <n v="64.716981132075475"/>
    <n v="8.9849056603773576"/>
    <n v="4762"/>
    <n v="10.339622641509434"/>
    <n v="718"/>
    <n v="5480"/>
    <n v="90"/>
    <x v="0"/>
    <x v="7"/>
    <x v="4"/>
    <x v="0"/>
  </r>
  <r>
    <x v="127"/>
    <x v="0"/>
    <n v="6"/>
    <x v="112"/>
    <s v="10-02-2016"/>
    <x v="2"/>
    <x v="0"/>
    <x v="0"/>
    <x v="0"/>
    <n v="10"/>
    <x v="0"/>
    <s v="MI"/>
    <s v="20-02-2016"/>
    <n v="579"/>
    <n v="522"/>
    <n v="90.155440414507765"/>
    <n v="4.7115716753022454"/>
    <n v="2728"/>
    <n v="6.3955094991364421"/>
    <n v="975"/>
    <n v="3703"/>
    <n v="91"/>
    <x v="0"/>
    <x v="1"/>
    <x v="0"/>
    <x v="0"/>
  </r>
  <r>
    <x v="128"/>
    <x v="2"/>
    <n v="6"/>
    <x v="113"/>
    <s v="29-03-2016"/>
    <x v="1"/>
    <x v="6"/>
    <x v="6"/>
    <x v="4"/>
    <n v="10"/>
    <x v="6"/>
    <s v="IN"/>
    <s v="05-04-2016"/>
    <n v="613"/>
    <n v="613"/>
    <n v="100"/>
    <n v="5.8939641109298533"/>
    <n v="3613"/>
    <n v="6.2349102773246328"/>
    <n v="209"/>
    <n v="3822"/>
    <n v="70"/>
    <x v="0"/>
    <x v="7"/>
    <x v="4"/>
    <x v="0"/>
  </r>
  <r>
    <x v="129"/>
    <x v="0"/>
    <n v="5"/>
    <x v="114"/>
    <s v="11-04-2016"/>
    <x v="0"/>
    <x v="22"/>
    <x v="22"/>
    <x v="0"/>
    <n v="10"/>
    <x v="22"/>
    <s v="IL"/>
    <s v="21-04-2016"/>
    <n v="1007"/>
    <n v="781"/>
    <n v="77.557100297914587"/>
    <n v="0.61271102284011913"/>
    <n v="617"/>
    <n v="1.4011916583912611"/>
    <n v="794"/>
    <n v="1411"/>
    <n v="59"/>
    <x v="0"/>
    <x v="7"/>
    <x v="0"/>
    <x v="0"/>
  </r>
  <r>
    <x v="130"/>
    <x v="2"/>
    <n v="6"/>
    <x v="20"/>
    <s v="12-02-2016"/>
    <x v="2"/>
    <x v="9"/>
    <x v="9"/>
    <x v="3"/>
    <n v="10"/>
    <x v="9"/>
    <s v="IN"/>
    <s v="19-02-2016"/>
    <n v="721"/>
    <n v="619"/>
    <n v="85.852981969486819"/>
    <n v="1.3869625520110958"/>
    <n v="1000"/>
    <n v="1.8890429958391124"/>
    <n v="362"/>
    <n v="1362"/>
    <n v="68"/>
    <x v="0"/>
    <x v="3"/>
    <x v="4"/>
    <x v="0"/>
  </r>
  <r>
    <x v="131"/>
    <x v="1"/>
    <n v="5"/>
    <x v="115"/>
    <s v="19-04-2016"/>
    <x v="0"/>
    <x v="8"/>
    <x v="8"/>
    <x v="3"/>
    <n v="9"/>
    <x v="8"/>
    <s v="OH"/>
    <s v="26-04-2016"/>
    <n v="328"/>
    <n v="328"/>
    <n v="100"/>
    <n v="0.11280487804878049"/>
    <n v="37"/>
    <n v="2.2439024390243905"/>
    <n v="699"/>
    <n v="736"/>
    <n v="94"/>
    <x v="0"/>
    <x v="4"/>
    <x v="4"/>
    <x v="0"/>
  </r>
  <r>
    <x v="132"/>
    <x v="0"/>
    <n v="8"/>
    <x v="39"/>
    <s v="23-07-2016"/>
    <x v="3"/>
    <x v="0"/>
    <x v="0"/>
    <x v="0"/>
    <n v="9"/>
    <x v="0"/>
    <s v="MI"/>
    <s v="21-03-2016"/>
    <n v="1012"/>
    <n v="641"/>
    <n v="63.339920948616601"/>
    <n v="7.9693675889328066"/>
    <n v="8065"/>
    <n v="8.5009881422924902"/>
    <n v="538"/>
    <n v="8603"/>
    <n v="81"/>
    <x v="0"/>
    <x v="9"/>
    <x v="27"/>
    <x v="1"/>
  </r>
  <r>
    <x v="133"/>
    <x v="0"/>
    <n v="5"/>
    <x v="116"/>
    <s v="27-08-2016"/>
    <x v="5"/>
    <x v="14"/>
    <x v="14"/>
    <x v="1"/>
    <n v="9"/>
    <x v="14"/>
    <s v="IL"/>
    <s v="05-09-2016"/>
    <n v="1166"/>
    <n v="250"/>
    <n v="21.440823327615778"/>
    <n v="2.4502572898799313"/>
    <n v="2857"/>
    <n v="2.8473413379073755"/>
    <n v="463"/>
    <n v="3320"/>
    <n v="54"/>
    <x v="0"/>
    <x v="8"/>
    <x v="2"/>
    <x v="0"/>
  </r>
  <r>
    <x v="134"/>
    <x v="0"/>
    <n v="7"/>
    <x v="103"/>
    <s v="29-02-2016"/>
    <x v="2"/>
    <x v="21"/>
    <x v="21"/>
    <x v="2"/>
    <n v="9"/>
    <x v="21"/>
    <s v="IL"/>
    <s v="06-03-2016"/>
    <n v="1130"/>
    <n v="462"/>
    <n v="40.884955752212385"/>
    <n v="5.4053097345132741"/>
    <n v="6108"/>
    <n v="6.0734513274336281"/>
    <n v="755"/>
    <n v="6863"/>
    <n v="89"/>
    <x v="0"/>
    <x v="2"/>
    <x v="28"/>
    <x v="0"/>
  </r>
  <r>
    <x v="135"/>
    <x v="1"/>
    <n v="4"/>
    <x v="117"/>
    <s v="22-03-2016"/>
    <x v="1"/>
    <x v="17"/>
    <x v="17"/>
    <x v="3"/>
    <n v="9"/>
    <x v="17"/>
    <s v="OH"/>
    <s v="31-03-2016"/>
    <n v="563"/>
    <n v="563"/>
    <n v="100"/>
    <n v="9.8525754884547077"/>
    <n v="5547"/>
    <n v="5.8987566607460034"/>
    <n v="-2226"/>
    <n v="3321"/>
    <n v="65"/>
    <x v="0"/>
    <x v="4"/>
    <x v="2"/>
    <x v="0"/>
  </r>
  <r>
    <x v="136"/>
    <x v="0"/>
    <n v="6"/>
    <x v="118"/>
    <s v="27-03-2016"/>
    <x v="1"/>
    <x v="8"/>
    <x v="8"/>
    <x v="3"/>
    <n v="9"/>
    <x v="8"/>
    <s v="OH"/>
    <s v="05-04-2016"/>
    <n v="248"/>
    <n v="248"/>
    <n v="100"/>
    <n v="6.8548387096774188E-2"/>
    <n v="17"/>
    <n v="0.53629032258064513"/>
    <n v="116"/>
    <n v="133"/>
    <n v="62"/>
    <x v="0"/>
    <x v="7"/>
    <x v="2"/>
    <x v="0"/>
  </r>
  <r>
    <x v="137"/>
    <x v="1"/>
    <n v="5"/>
    <x v="119"/>
    <s v="29-08-2016"/>
    <x v="5"/>
    <x v="20"/>
    <x v="20"/>
    <x v="1"/>
    <n v="9"/>
    <x v="20"/>
    <s v="IL"/>
    <s v="21-03-2016"/>
    <n v="771"/>
    <n v="601"/>
    <n v="77.950713359273678"/>
    <n v="2.5343709468223086"/>
    <n v="1954"/>
    <n v="3.5564202334630348"/>
    <n v="788"/>
    <n v="2742"/>
    <n v="87"/>
    <x v="0"/>
    <x v="2"/>
    <x v="29"/>
    <x v="1"/>
  </r>
  <r>
    <x v="138"/>
    <x v="1"/>
    <n v="4"/>
    <x v="104"/>
    <s v="23-01-2016"/>
    <x v="4"/>
    <x v="15"/>
    <x v="15"/>
    <x v="4"/>
    <n v="9"/>
    <x v="15"/>
    <s v="IL"/>
    <s v="01-02-2016"/>
    <n v="1170"/>
    <n v="444"/>
    <n v="37.948717948717949"/>
    <n v="3.9264957264957263"/>
    <n v="4594"/>
    <n v="2.911111111111111"/>
    <n v="-1188"/>
    <n v="3406"/>
    <n v="61"/>
    <x v="0"/>
    <x v="1"/>
    <x v="2"/>
    <x v="0"/>
  </r>
  <r>
    <x v="139"/>
    <x v="1"/>
    <n v="8"/>
    <x v="120"/>
    <s v="27-07-2016"/>
    <x v="3"/>
    <x v="3"/>
    <x v="3"/>
    <x v="2"/>
    <n v="9"/>
    <x v="3"/>
    <s v="IL"/>
    <s v="05-08-2016"/>
    <n v="981"/>
    <n v="679"/>
    <n v="69.215086646279318"/>
    <n v="7.8929663608562688"/>
    <n v="7743"/>
    <n v="8.8735983690112139"/>
    <n v="962"/>
    <n v="8705"/>
    <n v="79"/>
    <x v="0"/>
    <x v="9"/>
    <x v="2"/>
    <x v="0"/>
  </r>
  <r>
    <x v="140"/>
    <x v="0"/>
    <n v="5"/>
    <x v="121"/>
    <s v="30-06-2016"/>
    <x v="6"/>
    <x v="17"/>
    <x v="17"/>
    <x v="3"/>
    <n v="9"/>
    <x v="17"/>
    <s v="OH"/>
    <s v="09-07-2016"/>
    <n v="365"/>
    <n v="365"/>
    <n v="100"/>
    <n v="13.402739726027397"/>
    <n v="4892"/>
    <n v="14.87945205479452"/>
    <n v="539"/>
    <n v="5431"/>
    <n v="58"/>
    <x v="0"/>
    <x v="4"/>
    <x v="2"/>
    <x v="0"/>
  </r>
  <r>
    <x v="141"/>
    <x v="0"/>
    <n v="5"/>
    <x v="122"/>
    <s v="16-01-2016"/>
    <x v="4"/>
    <x v="9"/>
    <x v="9"/>
    <x v="3"/>
    <n v="9"/>
    <x v="9"/>
    <s v="IN"/>
    <s v="24-01-2016"/>
    <n v="530"/>
    <n v="530"/>
    <n v="100"/>
    <n v="7.6811320754716981"/>
    <n v="4071"/>
    <n v="8.584905660377359"/>
    <n v="479"/>
    <n v="4550"/>
    <n v="87"/>
    <x v="0"/>
    <x v="3"/>
    <x v="5"/>
    <x v="0"/>
  </r>
  <r>
    <x v="142"/>
    <x v="0"/>
    <n v="7"/>
    <x v="123"/>
    <s v="13-07-2016"/>
    <x v="3"/>
    <x v="13"/>
    <x v="13"/>
    <x v="1"/>
    <n v="9"/>
    <x v="13"/>
    <s v="OH"/>
    <s v="22-07-2016"/>
    <n v="819"/>
    <n v="503"/>
    <n v="61.416361416361418"/>
    <n v="5.5286935286935286"/>
    <n v="4528"/>
    <n v="6.4847374847374848"/>
    <n v="783"/>
    <n v="5311"/>
    <n v="67"/>
    <x v="0"/>
    <x v="1"/>
    <x v="2"/>
    <x v="0"/>
  </r>
  <r>
    <x v="143"/>
    <x v="0"/>
    <n v="6"/>
    <x v="124"/>
    <s v="19-02-2016"/>
    <x v="2"/>
    <x v="6"/>
    <x v="6"/>
    <x v="4"/>
    <n v="9"/>
    <x v="6"/>
    <s v="IN"/>
    <s v="28-02-2016"/>
    <n v="879"/>
    <n v="765"/>
    <n v="87.030716723549489"/>
    <n v="9.6450511945392492"/>
    <n v="8478"/>
    <n v="10.224118316268488"/>
    <n v="509"/>
    <n v="8987"/>
    <n v="75"/>
    <x v="0"/>
    <x v="5"/>
    <x v="2"/>
    <x v="0"/>
  </r>
  <r>
    <x v="144"/>
    <x v="0"/>
    <n v="8"/>
    <x v="125"/>
    <s v="07-03-2016"/>
    <x v="1"/>
    <x v="18"/>
    <x v="18"/>
    <x v="1"/>
    <n v="9"/>
    <x v="18"/>
    <s v="IN"/>
    <s v="16-03-2016"/>
    <n v="411"/>
    <n v="411"/>
    <n v="100"/>
    <n v="9.4038929440389296"/>
    <n v="3865"/>
    <n v="10.150851581508515"/>
    <n v="307"/>
    <n v="4172"/>
    <n v="79"/>
    <x v="0"/>
    <x v="5"/>
    <x v="2"/>
    <x v="0"/>
  </r>
  <r>
    <x v="145"/>
    <x v="1"/>
    <n v="5"/>
    <x v="126"/>
    <s v="15-08-2016"/>
    <x v="5"/>
    <x v="6"/>
    <x v="6"/>
    <x v="4"/>
    <n v="9"/>
    <x v="6"/>
    <s v="IN"/>
    <s v="22-08-2016"/>
    <n v="942"/>
    <n v="682"/>
    <n v="72.399150743099781"/>
    <n v="6.3057324840764331"/>
    <n v="5940"/>
    <n v="6.5562632696390661"/>
    <n v="236"/>
    <n v="6176"/>
    <n v="86"/>
    <x v="0"/>
    <x v="4"/>
    <x v="4"/>
    <x v="0"/>
  </r>
  <r>
    <x v="146"/>
    <x v="0"/>
    <n v="6"/>
    <x v="127"/>
    <s v="07-04-2016"/>
    <x v="0"/>
    <x v="10"/>
    <x v="10"/>
    <x v="1"/>
    <n v="9"/>
    <x v="10"/>
    <s v="IL"/>
    <s v="16-04-2016"/>
    <n v="806"/>
    <n v="262"/>
    <n v="32.506203473945412"/>
    <n v="7.8796526054590572"/>
    <n v="6351"/>
    <n v="8.2133995037220835"/>
    <n v="269"/>
    <n v="6620"/>
    <n v="91"/>
    <x v="0"/>
    <x v="7"/>
    <x v="2"/>
    <x v="0"/>
  </r>
  <r>
    <x v="147"/>
    <x v="1"/>
    <n v="8"/>
    <x v="116"/>
    <s v="29-03-2016"/>
    <x v="1"/>
    <x v="5"/>
    <x v="5"/>
    <x v="3"/>
    <n v="9"/>
    <x v="5"/>
    <s v="IA"/>
    <s v="04-04-2016"/>
    <n v="661"/>
    <n v="514"/>
    <n v="77.760968229954614"/>
    <n v="0.4114977307110439"/>
    <n v="272"/>
    <n v="1.3101361573373675"/>
    <n v="594"/>
    <n v="866"/>
    <n v="66"/>
    <x v="0"/>
    <x v="7"/>
    <x v="28"/>
    <x v="0"/>
  </r>
  <r>
    <x v="148"/>
    <x v="1"/>
    <n v="7"/>
    <x v="128"/>
    <s v="18-01-2016"/>
    <x v="4"/>
    <x v="9"/>
    <x v="9"/>
    <x v="3"/>
    <n v="9"/>
    <x v="9"/>
    <s v="IN"/>
    <s v="27-01-2016"/>
    <n v="754"/>
    <n v="754"/>
    <n v="100"/>
    <n v="8.1564986737400531"/>
    <n v="6150"/>
    <n v="8.588859416445624"/>
    <n v="326"/>
    <n v="6476"/>
    <n v="68"/>
    <x v="0"/>
    <x v="2"/>
    <x v="2"/>
    <x v="0"/>
  </r>
  <r>
    <x v="149"/>
    <x v="0"/>
    <n v="8"/>
    <x v="129"/>
    <s v="23-06-2016"/>
    <x v="6"/>
    <x v="19"/>
    <x v="19"/>
    <x v="0"/>
    <n v="9"/>
    <x v="19"/>
    <s v="WI"/>
    <s v="02-07-2016"/>
    <n v="412"/>
    <n v="412"/>
    <n v="100"/>
    <n v="18.956310679611651"/>
    <n v="7810"/>
    <n v="20.303398058252426"/>
    <n v="555"/>
    <n v="8365"/>
    <n v="70"/>
    <x v="0"/>
    <x v="7"/>
    <x v="2"/>
    <x v="0"/>
  </r>
  <r>
    <x v="150"/>
    <x v="0"/>
    <n v="5"/>
    <x v="130"/>
    <s v="13-03-2016"/>
    <x v="1"/>
    <x v="6"/>
    <x v="6"/>
    <x v="4"/>
    <n v="9"/>
    <x v="6"/>
    <s v="IN"/>
    <s v="19-03-2016"/>
    <n v="1076"/>
    <n v="699"/>
    <n v="64.962825278810413"/>
    <n v="0.3503717472118959"/>
    <n v="377"/>
    <n v="0.50743494423791824"/>
    <n v="169"/>
    <n v="546"/>
    <n v="90"/>
    <x v="0"/>
    <x v="6"/>
    <x v="28"/>
    <x v="0"/>
  </r>
  <r>
    <x v="151"/>
    <x v="1"/>
    <n v="7"/>
    <x v="131"/>
    <s v="04-05-2016"/>
    <x v="7"/>
    <x v="19"/>
    <x v="19"/>
    <x v="0"/>
    <n v="9"/>
    <x v="19"/>
    <s v="WI"/>
    <s v="12-05-2016"/>
    <n v="370"/>
    <n v="316"/>
    <n v="85.405405405405403"/>
    <n v="1.5540540540540539"/>
    <n v="575"/>
    <n v="2.4945945945945946"/>
    <n v="348"/>
    <n v="923"/>
    <n v="91"/>
    <x v="0"/>
    <x v="4"/>
    <x v="5"/>
    <x v="0"/>
  </r>
  <r>
    <x v="152"/>
    <x v="0"/>
    <n v="4"/>
    <x v="132"/>
    <s v="20-06-2016"/>
    <x v="6"/>
    <x v="14"/>
    <x v="14"/>
    <x v="1"/>
    <n v="9"/>
    <x v="14"/>
    <s v="IL"/>
    <s v="26-06-2016"/>
    <n v="266"/>
    <n v="266"/>
    <n v="100"/>
    <n v="14.052631578947368"/>
    <n v="3738"/>
    <n v="4.8007518796992485"/>
    <n v="-2461"/>
    <n v="1277"/>
    <n v="98"/>
    <x v="0"/>
    <x v="0"/>
    <x v="28"/>
    <x v="0"/>
  </r>
  <r>
    <x v="153"/>
    <x v="1"/>
    <n v="5"/>
    <x v="133"/>
    <s v="23-01-2016"/>
    <x v="4"/>
    <x v="21"/>
    <x v="21"/>
    <x v="2"/>
    <n v="9"/>
    <x v="21"/>
    <s v="IL"/>
    <s v="01-02-2016"/>
    <n v="266"/>
    <n v="266"/>
    <n v="100"/>
    <n v="23.515037593984964"/>
    <n v="6255"/>
    <n v="25.022556390977442"/>
    <n v="401"/>
    <n v="6656"/>
    <n v="88"/>
    <x v="0"/>
    <x v="8"/>
    <x v="2"/>
    <x v="0"/>
  </r>
  <r>
    <x v="154"/>
    <x v="0"/>
    <n v="4"/>
    <x v="134"/>
    <s v="28-03-2016"/>
    <x v="1"/>
    <x v="18"/>
    <x v="18"/>
    <x v="1"/>
    <n v="9"/>
    <x v="18"/>
    <s v="IN"/>
    <s v="06-04-2016"/>
    <n v="280"/>
    <n v="280"/>
    <n v="100"/>
    <n v="21.110714285714284"/>
    <n v="5911"/>
    <n v="11.735714285714286"/>
    <n v="-2625"/>
    <n v="3286"/>
    <n v="69"/>
    <x v="0"/>
    <x v="3"/>
    <x v="2"/>
    <x v="0"/>
  </r>
  <r>
    <x v="155"/>
    <x v="0"/>
    <n v="8"/>
    <x v="135"/>
    <s v="18-03-2016"/>
    <x v="1"/>
    <x v="8"/>
    <x v="8"/>
    <x v="3"/>
    <n v="9"/>
    <x v="8"/>
    <s v="OH"/>
    <s v="25-03-2016"/>
    <n v="265"/>
    <n v="265"/>
    <n v="100"/>
    <n v="3.030188679245283"/>
    <n v="803"/>
    <n v="3.6905660377358491"/>
    <n v="175"/>
    <n v="978"/>
    <n v="51"/>
    <x v="0"/>
    <x v="5"/>
    <x v="4"/>
    <x v="0"/>
  </r>
  <r>
    <x v="156"/>
    <x v="1"/>
    <n v="6"/>
    <x v="136"/>
    <s v="22-07-2016"/>
    <x v="3"/>
    <x v="14"/>
    <x v="14"/>
    <x v="1"/>
    <n v="9"/>
    <x v="14"/>
    <s v="IL"/>
    <s v="31-07-2016"/>
    <n v="1179"/>
    <n v="286"/>
    <n v="24.257845631891435"/>
    <n v="1.8524173027989821"/>
    <n v="2184"/>
    <n v="1.9770992366412214"/>
    <n v="147"/>
    <n v="2331"/>
    <n v="57"/>
    <x v="0"/>
    <x v="7"/>
    <x v="2"/>
    <x v="0"/>
  </r>
  <r>
    <x v="157"/>
    <x v="1"/>
    <n v="7"/>
    <x v="137"/>
    <s v="09-08-2016"/>
    <x v="5"/>
    <x v="2"/>
    <x v="2"/>
    <x v="1"/>
    <n v="9"/>
    <x v="2"/>
    <s v="IL"/>
    <s v="21-03-2016"/>
    <n v="565"/>
    <n v="215"/>
    <n v="38.053097345132741"/>
    <n v="9.6477876106194689"/>
    <n v="5451"/>
    <n v="11.079646017699115"/>
    <n v="809"/>
    <n v="6260"/>
    <n v="90"/>
    <x v="0"/>
    <x v="8"/>
    <x v="30"/>
    <x v="1"/>
  </r>
  <r>
    <x v="158"/>
    <x v="1"/>
    <n v="8"/>
    <x v="138"/>
    <s v="07-07-2016"/>
    <x v="3"/>
    <x v="20"/>
    <x v="20"/>
    <x v="1"/>
    <n v="9"/>
    <x v="20"/>
    <s v="IL"/>
    <s v="16-07-2016"/>
    <n v="937"/>
    <n v="229"/>
    <n v="24.439701173959445"/>
    <n v="6.5859124866595522"/>
    <n v="6171"/>
    <n v="6.8420490928495195"/>
    <n v="240"/>
    <n v="6411"/>
    <n v="99"/>
    <x v="0"/>
    <x v="3"/>
    <x v="2"/>
    <x v="0"/>
  </r>
  <r>
    <x v="159"/>
    <x v="0"/>
    <n v="7"/>
    <x v="74"/>
    <s v="27-04-2016"/>
    <x v="0"/>
    <x v="3"/>
    <x v="3"/>
    <x v="2"/>
    <n v="9"/>
    <x v="3"/>
    <s v="IL"/>
    <s v="21-03-2016"/>
    <n v="1017"/>
    <n v="421"/>
    <n v="41.396263520157326"/>
    <n v="4.943952802359882"/>
    <n v="5028"/>
    <n v="5.2527040314650932"/>
    <n v="314"/>
    <n v="5342"/>
    <n v="86"/>
    <x v="0"/>
    <x v="3"/>
    <x v="31"/>
    <x v="1"/>
  </r>
  <r>
    <x v="160"/>
    <x v="1"/>
    <n v="4"/>
    <x v="139"/>
    <s v="16-01-2016"/>
    <x v="4"/>
    <x v="8"/>
    <x v="8"/>
    <x v="3"/>
    <n v="9"/>
    <x v="8"/>
    <s v="OH"/>
    <s v="25-01-2016"/>
    <n v="1032"/>
    <n v="409"/>
    <n v="39.631782945736433"/>
    <n v="5.295542635658915"/>
    <n v="5465"/>
    <n v="3.373062015503876"/>
    <n v="-1984"/>
    <n v="3481"/>
    <n v="90"/>
    <x v="0"/>
    <x v="5"/>
    <x v="2"/>
    <x v="0"/>
  </r>
  <r>
    <x v="161"/>
    <x v="0"/>
    <n v="4"/>
    <x v="140"/>
    <s v="21-01-2016"/>
    <x v="4"/>
    <x v="13"/>
    <x v="13"/>
    <x v="1"/>
    <n v="9"/>
    <x v="13"/>
    <s v="OH"/>
    <s v="30-01-2016"/>
    <n v="1165"/>
    <n v="437"/>
    <n v="37.510729613733908"/>
    <n v="2.7175965665236053"/>
    <n v="3166"/>
    <n v="1.0626609442060087"/>
    <n v="-1928"/>
    <n v="1238"/>
    <n v="71"/>
    <x v="0"/>
    <x v="1"/>
    <x v="2"/>
    <x v="0"/>
  </r>
  <r>
    <x v="162"/>
    <x v="1"/>
    <n v="4"/>
    <x v="61"/>
    <s v="11-07-2016"/>
    <x v="3"/>
    <x v="19"/>
    <x v="19"/>
    <x v="0"/>
    <n v="9"/>
    <x v="19"/>
    <s v="WI"/>
    <s v="20-07-2016"/>
    <n v="778"/>
    <n v="485"/>
    <n v="62.339331619537276"/>
    <n v="4.0141388174807195"/>
    <n v="3123"/>
    <n v="0.7005141388174807"/>
    <n v="-2578"/>
    <n v="545"/>
    <n v="54"/>
    <x v="0"/>
    <x v="1"/>
    <x v="2"/>
    <x v="0"/>
  </r>
  <r>
    <x v="163"/>
    <x v="1"/>
    <n v="4"/>
    <x v="141"/>
    <s v="26-01-2016"/>
    <x v="4"/>
    <x v="23"/>
    <x v="23"/>
    <x v="1"/>
    <n v="9"/>
    <x v="23"/>
    <s v="WI"/>
    <s v="04-02-2016"/>
    <n v="1046"/>
    <n v="572"/>
    <n v="54.684512428298284"/>
    <n v="6.6118546845124282"/>
    <n v="6916"/>
    <n v="5.0334608030592731"/>
    <n v="-1651"/>
    <n v="5265"/>
    <n v="58"/>
    <x v="0"/>
    <x v="1"/>
    <x v="2"/>
    <x v="0"/>
  </r>
  <r>
    <x v="164"/>
    <x v="1"/>
    <n v="8"/>
    <x v="142"/>
    <s v="22-06-2016"/>
    <x v="6"/>
    <x v="10"/>
    <x v="10"/>
    <x v="1"/>
    <n v="9"/>
    <x v="10"/>
    <s v="IL"/>
    <s v="01-07-2016"/>
    <n v="614"/>
    <n v="521"/>
    <n v="84.853420195439739"/>
    <n v="2.3127035830618894"/>
    <n v="1420"/>
    <n v="3.2866449511400653"/>
    <n v="598"/>
    <n v="2018"/>
    <n v="68"/>
    <x v="0"/>
    <x v="2"/>
    <x v="2"/>
    <x v="0"/>
  </r>
  <r>
    <x v="165"/>
    <x v="0"/>
    <n v="7"/>
    <x v="143"/>
    <s v="28-07-2016"/>
    <x v="3"/>
    <x v="14"/>
    <x v="14"/>
    <x v="1"/>
    <n v="9"/>
    <x v="14"/>
    <s v="IL"/>
    <s v="06-08-2016"/>
    <n v="630"/>
    <n v="214"/>
    <n v="33.968253968253968"/>
    <n v="5.1888888888888891"/>
    <n v="3269"/>
    <n v="5.647619047619048"/>
    <n v="289"/>
    <n v="3558"/>
    <n v="63"/>
    <x v="0"/>
    <x v="1"/>
    <x v="2"/>
    <x v="0"/>
  </r>
  <r>
    <x v="166"/>
    <x v="0"/>
    <n v="6"/>
    <x v="21"/>
    <s v="11-03-2016"/>
    <x v="1"/>
    <x v="10"/>
    <x v="10"/>
    <x v="1"/>
    <n v="9"/>
    <x v="10"/>
    <s v="IL"/>
    <s v="17-03-2016"/>
    <n v="682"/>
    <n v="636"/>
    <n v="93.255131964809379"/>
    <n v="1.7551319648093842"/>
    <n v="1197"/>
    <n v="2.2331378299120233"/>
    <n v="326"/>
    <n v="1523"/>
    <n v="63"/>
    <x v="0"/>
    <x v="2"/>
    <x v="28"/>
    <x v="0"/>
  </r>
  <r>
    <x v="167"/>
    <x v="0"/>
    <n v="4"/>
    <x v="144"/>
    <s v="01-04-2016"/>
    <x v="0"/>
    <x v="22"/>
    <x v="22"/>
    <x v="0"/>
    <n v="9"/>
    <x v="22"/>
    <s v="IL"/>
    <s v="10-04-2016"/>
    <n v="1090"/>
    <n v="278"/>
    <n v="25.504587155963304"/>
    <n v="3.2155963302752295"/>
    <n v="3505"/>
    <n v="1.0073394495412844"/>
    <n v="-2407"/>
    <n v="1098"/>
    <n v="92"/>
    <x v="0"/>
    <x v="5"/>
    <x v="2"/>
    <x v="0"/>
  </r>
  <r>
    <x v="168"/>
    <x v="1"/>
    <n v="8"/>
    <x v="23"/>
    <s v="26-08-2016"/>
    <x v="5"/>
    <x v="21"/>
    <x v="21"/>
    <x v="2"/>
    <n v="9"/>
    <x v="21"/>
    <s v="IL"/>
    <s v="03-09-2016"/>
    <n v="1093"/>
    <n v="715"/>
    <n v="65.416285452881979"/>
    <n v="2.5507776761207683"/>
    <n v="2788"/>
    <n v="2.6477584629460202"/>
    <n v="106"/>
    <n v="2894"/>
    <n v="77"/>
    <x v="0"/>
    <x v="9"/>
    <x v="5"/>
    <x v="0"/>
  </r>
  <r>
    <x v="169"/>
    <x v="0"/>
    <n v="6"/>
    <x v="145"/>
    <s v="17-03-2016"/>
    <x v="1"/>
    <x v="17"/>
    <x v="17"/>
    <x v="3"/>
    <n v="9"/>
    <x v="17"/>
    <s v="OH"/>
    <s v="26-03-2016"/>
    <n v="633"/>
    <n v="220"/>
    <n v="34.755134281200633"/>
    <n v="4.3775671406003163"/>
    <n v="2771"/>
    <n v="5.2022116903633489"/>
    <n v="522"/>
    <n v="3293"/>
    <n v="71"/>
    <x v="0"/>
    <x v="5"/>
    <x v="2"/>
    <x v="0"/>
  </r>
  <r>
    <x v="170"/>
    <x v="0"/>
    <n v="6"/>
    <x v="146"/>
    <s v="11-02-2016"/>
    <x v="2"/>
    <x v="11"/>
    <x v="11"/>
    <x v="2"/>
    <n v="9"/>
    <x v="11"/>
    <s v="MI"/>
    <s v="20-02-2016"/>
    <n v="1086"/>
    <n v="336"/>
    <n v="30.939226519337016"/>
    <n v="6.4226519337016574"/>
    <n v="6975"/>
    <n v="6.5488029465930016"/>
    <n v="137"/>
    <n v="7112"/>
    <n v="66"/>
    <x v="0"/>
    <x v="0"/>
    <x v="2"/>
    <x v="0"/>
  </r>
  <r>
    <x v="171"/>
    <x v="0"/>
    <n v="7"/>
    <x v="147"/>
    <s v="06-05-2016"/>
    <x v="7"/>
    <x v="12"/>
    <x v="12"/>
    <x v="3"/>
    <n v="9"/>
    <x v="12"/>
    <s v="MI"/>
    <s v="12-05-2016"/>
    <n v="1091"/>
    <n v="527"/>
    <n v="48.304307974335472"/>
    <n v="2.4702108157653528"/>
    <n v="2695"/>
    <n v="2.9349220898258479"/>
    <n v="507"/>
    <n v="3202"/>
    <n v="68"/>
    <x v="0"/>
    <x v="9"/>
    <x v="28"/>
    <x v="0"/>
  </r>
  <r>
    <x v="172"/>
    <x v="1"/>
    <n v="4"/>
    <x v="11"/>
    <s v="23-03-2016"/>
    <x v="1"/>
    <x v="0"/>
    <x v="0"/>
    <x v="0"/>
    <n v="9"/>
    <x v="0"/>
    <s v="MI"/>
    <s v="01-04-2016"/>
    <n v="267"/>
    <n v="267"/>
    <n v="100"/>
    <n v="13.842696629213483"/>
    <n v="3696"/>
    <n v="7.2322097378277155"/>
    <n v="-1765"/>
    <n v="1931"/>
    <n v="63"/>
    <x v="0"/>
    <x v="2"/>
    <x v="2"/>
    <x v="0"/>
  </r>
  <r>
    <x v="173"/>
    <x v="1"/>
    <n v="5"/>
    <x v="136"/>
    <s v="05-06-2016"/>
    <x v="6"/>
    <x v="5"/>
    <x v="5"/>
    <x v="3"/>
    <n v="9"/>
    <x v="5"/>
    <s v="IA"/>
    <s v="11-06-2016"/>
    <n v="863"/>
    <n v="288"/>
    <n v="33.371958285052145"/>
    <n v="5.6060254924681345"/>
    <n v="4838"/>
    <n v="6.3661645422943218"/>
    <n v="656"/>
    <n v="5494"/>
    <n v="80"/>
    <x v="0"/>
    <x v="9"/>
    <x v="28"/>
    <x v="0"/>
  </r>
  <r>
    <x v="174"/>
    <x v="1"/>
    <n v="6"/>
    <x v="76"/>
    <s v="18-04-2016"/>
    <x v="0"/>
    <x v="7"/>
    <x v="7"/>
    <x v="5"/>
    <n v="9"/>
    <x v="7"/>
    <s v="WI"/>
    <s v="27-04-2016"/>
    <n v="348"/>
    <n v="348"/>
    <n v="100"/>
    <n v="17.505747126436781"/>
    <n v="6092"/>
    <n v="19.089080459770116"/>
    <n v="551"/>
    <n v="6643"/>
    <n v="66"/>
    <x v="0"/>
    <x v="9"/>
    <x v="2"/>
    <x v="0"/>
  </r>
  <r>
    <x v="175"/>
    <x v="1"/>
    <n v="6"/>
    <x v="14"/>
    <s v="03-01-2016"/>
    <x v="4"/>
    <x v="16"/>
    <x v="16"/>
    <x v="4"/>
    <n v="9"/>
    <x v="16"/>
    <s v="MI"/>
    <s v="12-01-2016"/>
    <n v="933"/>
    <n v="390"/>
    <n v="41.80064308681672"/>
    <n v="8.0664523043944261"/>
    <n v="7526"/>
    <n v="8.590568060021436"/>
    <n v="489"/>
    <n v="8015"/>
    <n v="86"/>
    <x v="0"/>
    <x v="8"/>
    <x v="2"/>
    <x v="0"/>
  </r>
  <r>
    <x v="176"/>
    <x v="0"/>
    <n v="7"/>
    <x v="148"/>
    <s v="25-03-2016"/>
    <x v="1"/>
    <x v="13"/>
    <x v="13"/>
    <x v="1"/>
    <n v="9"/>
    <x v="13"/>
    <s v="OH"/>
    <s v="03-04-2016"/>
    <n v="721"/>
    <n v="312"/>
    <n v="43.273231622746181"/>
    <n v="3.5436893203883497"/>
    <n v="2555"/>
    <n v="3.7239944521497921"/>
    <n v="130"/>
    <n v="2685"/>
    <n v="80"/>
    <x v="0"/>
    <x v="7"/>
    <x v="2"/>
    <x v="0"/>
  </r>
  <r>
    <x v="177"/>
    <x v="0"/>
    <n v="1"/>
    <x v="149"/>
    <s v="04-08-2016"/>
    <x v="5"/>
    <x v="20"/>
    <x v="20"/>
    <x v="1"/>
    <n v="9"/>
    <x v="20"/>
    <s v="IL"/>
    <s v="13-08-2016"/>
    <n v="203"/>
    <n v="203"/>
    <n v="100"/>
    <n v="9.4088669950738915"/>
    <n v="1910"/>
    <n v="28.497536945812808"/>
    <n v="3875"/>
    <n v="5785"/>
    <n v="60"/>
    <x v="0"/>
    <x v="8"/>
    <x v="2"/>
    <x v="0"/>
  </r>
  <r>
    <x v="178"/>
    <x v="2"/>
    <n v="5"/>
    <x v="150"/>
    <s v="14-05-2016"/>
    <x v="7"/>
    <x v="16"/>
    <x v="16"/>
    <x v="4"/>
    <n v="9"/>
    <x v="16"/>
    <s v="MI"/>
    <s v="23-05-2016"/>
    <n v="1149"/>
    <n v="663"/>
    <n v="57.702349869451695"/>
    <n v="5.1766753698868584"/>
    <n v="5948"/>
    <n v="5.2889469103568318"/>
    <n v="129"/>
    <n v="6077"/>
    <n v="53"/>
    <x v="0"/>
    <x v="1"/>
    <x v="2"/>
    <x v="0"/>
  </r>
  <r>
    <x v="179"/>
    <x v="2"/>
    <n v="1"/>
    <x v="90"/>
    <s v="16-01-2016"/>
    <x v="4"/>
    <x v="10"/>
    <x v="10"/>
    <x v="1"/>
    <n v="9"/>
    <x v="10"/>
    <s v="IL"/>
    <s v="25-01-2016"/>
    <n v="778"/>
    <n v="614"/>
    <n v="78.920308483290498"/>
    <n v="4.5784061696658096"/>
    <n v="3562"/>
    <n v="10.109254498714654"/>
    <n v="4303"/>
    <n v="7865"/>
    <n v="72"/>
    <x v="0"/>
    <x v="8"/>
    <x v="2"/>
    <x v="0"/>
  </r>
  <r>
    <x v="180"/>
    <x v="0"/>
    <n v="2"/>
    <x v="151"/>
    <s v="13-05-2016"/>
    <x v="7"/>
    <x v="20"/>
    <x v="20"/>
    <x v="1"/>
    <n v="9"/>
    <x v="20"/>
    <s v="IL"/>
    <s v="22-05-2016"/>
    <n v="216"/>
    <n v="216"/>
    <n v="100"/>
    <n v="10.986111111111111"/>
    <n v="2373"/>
    <n v="15.328703703703704"/>
    <n v="938"/>
    <n v="3311"/>
    <n v="59"/>
    <x v="0"/>
    <x v="5"/>
    <x v="2"/>
    <x v="0"/>
  </r>
  <r>
    <x v="181"/>
    <x v="0"/>
    <n v="5"/>
    <x v="152"/>
    <s v="13-02-2016"/>
    <x v="2"/>
    <x v="8"/>
    <x v="8"/>
    <x v="3"/>
    <n v="9"/>
    <x v="8"/>
    <s v="OH"/>
    <s v="22-02-2016"/>
    <n v="986"/>
    <n v="450"/>
    <n v="45.638945233265723"/>
    <n v="1.0385395537525355"/>
    <n v="1024"/>
    <n v="1.2109533468559839"/>
    <n v="170"/>
    <n v="1194"/>
    <n v="55"/>
    <x v="0"/>
    <x v="7"/>
    <x v="2"/>
    <x v="0"/>
  </r>
  <r>
    <x v="182"/>
    <x v="2"/>
    <n v="3"/>
    <x v="153"/>
    <s v="27-02-2016"/>
    <x v="2"/>
    <x v="11"/>
    <x v="11"/>
    <x v="2"/>
    <n v="9"/>
    <x v="11"/>
    <s v="MI"/>
    <s v="07-03-2016"/>
    <n v="461"/>
    <n v="328"/>
    <n v="71.149674620390456"/>
    <n v="3.8459869848156183"/>
    <n v="1773"/>
    <n v="4.3709327548806938"/>
    <n v="242"/>
    <n v="2015"/>
    <n v="73"/>
    <x v="0"/>
    <x v="5"/>
    <x v="2"/>
    <x v="0"/>
  </r>
  <r>
    <x v="183"/>
    <x v="0"/>
    <n v="3"/>
    <x v="154"/>
    <s v="29-04-2016"/>
    <x v="0"/>
    <x v="12"/>
    <x v="12"/>
    <x v="3"/>
    <n v="9"/>
    <x v="12"/>
    <s v="MI"/>
    <s v="05-05-2016"/>
    <n v="484"/>
    <n v="484"/>
    <n v="100"/>
    <n v="5.8574380165289259"/>
    <n v="2835"/>
    <n v="7.4173553719008263"/>
    <n v="755"/>
    <n v="3590"/>
    <n v="83"/>
    <x v="0"/>
    <x v="1"/>
    <x v="28"/>
    <x v="0"/>
  </r>
  <r>
    <x v="184"/>
    <x v="0"/>
    <n v="1"/>
    <x v="54"/>
    <s v="19-01-2016"/>
    <x v="4"/>
    <x v="7"/>
    <x v="7"/>
    <x v="5"/>
    <n v="9"/>
    <x v="7"/>
    <s v="WI"/>
    <s v="26-01-2016"/>
    <n v="448"/>
    <n v="448"/>
    <n v="100"/>
    <n v="11.1875"/>
    <n v="5012"/>
    <n v="21.104910714285715"/>
    <n v="4443"/>
    <n v="9455"/>
    <n v="98"/>
    <x v="0"/>
    <x v="8"/>
    <x v="4"/>
    <x v="0"/>
  </r>
  <r>
    <x v="185"/>
    <x v="2"/>
    <n v="1"/>
    <x v="95"/>
    <s v="20-06-2016"/>
    <x v="6"/>
    <x v="21"/>
    <x v="21"/>
    <x v="2"/>
    <n v="9"/>
    <x v="21"/>
    <s v="IL"/>
    <s v="29-06-2016"/>
    <n v="950"/>
    <n v="284"/>
    <n v="29.894736842105264"/>
    <n v="6.2052631578947368"/>
    <n v="5895"/>
    <n v="11.354736842105263"/>
    <n v="4892"/>
    <n v="10787"/>
    <n v="62"/>
    <x v="0"/>
    <x v="7"/>
    <x v="2"/>
    <x v="0"/>
  </r>
  <r>
    <x v="186"/>
    <x v="2"/>
    <n v="3"/>
    <x v="32"/>
    <s v="23-04-2016"/>
    <x v="0"/>
    <x v="3"/>
    <x v="3"/>
    <x v="2"/>
    <n v="9"/>
    <x v="3"/>
    <s v="IL"/>
    <s v="02-05-2016"/>
    <n v="384"/>
    <n v="361"/>
    <n v="94.010416666666657"/>
    <n v="1.296875"/>
    <n v="498"/>
    <n v="3.8151041666666665"/>
    <n v="967"/>
    <n v="1465"/>
    <n v="57"/>
    <x v="0"/>
    <x v="5"/>
    <x v="2"/>
    <x v="0"/>
  </r>
  <r>
    <x v="187"/>
    <x v="0"/>
    <n v="6"/>
    <x v="155"/>
    <s v="11-04-2016"/>
    <x v="0"/>
    <x v="20"/>
    <x v="20"/>
    <x v="1"/>
    <n v="9"/>
    <x v="20"/>
    <s v="IL"/>
    <s v="20-04-2016"/>
    <n v="483"/>
    <n v="211"/>
    <n v="43.685300207039333"/>
    <n v="10.008281573498964"/>
    <n v="4834"/>
    <n v="10.67287784679089"/>
    <n v="321"/>
    <n v="5155"/>
    <n v="93"/>
    <x v="0"/>
    <x v="8"/>
    <x v="2"/>
    <x v="0"/>
  </r>
  <r>
    <x v="188"/>
    <x v="2"/>
    <n v="5"/>
    <x v="156"/>
    <s v="12-08-2016"/>
    <x v="5"/>
    <x v="12"/>
    <x v="12"/>
    <x v="3"/>
    <n v="9"/>
    <x v="12"/>
    <s v="MI"/>
    <s v="21-08-2016"/>
    <n v="376"/>
    <n v="376"/>
    <n v="100"/>
    <n v="20.36436170212766"/>
    <n v="7657"/>
    <n v="21.066489361702128"/>
    <n v="264"/>
    <n v="7921"/>
    <n v="58"/>
    <x v="0"/>
    <x v="9"/>
    <x v="2"/>
    <x v="0"/>
  </r>
  <r>
    <x v="189"/>
    <x v="2"/>
    <n v="6"/>
    <x v="63"/>
    <s v="23-08-2016"/>
    <x v="5"/>
    <x v="8"/>
    <x v="8"/>
    <x v="3"/>
    <n v="9"/>
    <x v="8"/>
    <s v="OH"/>
    <s v="31-08-2016"/>
    <n v="320"/>
    <n v="238"/>
    <n v="74.375"/>
    <n v="3.5375000000000001"/>
    <n v="1132"/>
    <n v="5.8718750000000002"/>
    <n v="747"/>
    <n v="1879"/>
    <n v="73"/>
    <x v="0"/>
    <x v="6"/>
    <x v="5"/>
    <x v="0"/>
  </r>
  <r>
    <x v="190"/>
    <x v="2"/>
    <n v="4"/>
    <x v="157"/>
    <s v="18-03-2016"/>
    <x v="1"/>
    <x v="5"/>
    <x v="5"/>
    <x v="3"/>
    <n v="9"/>
    <x v="5"/>
    <s v="IA"/>
    <s v="26-03-2016"/>
    <n v="876"/>
    <n v="547"/>
    <n v="62.442922374429223"/>
    <n v="6.7488584474885842"/>
    <n v="5912"/>
    <n v="4.2260273972602738"/>
    <n v="-2210"/>
    <n v="3702"/>
    <n v="57"/>
    <x v="0"/>
    <x v="6"/>
    <x v="5"/>
    <x v="0"/>
  </r>
  <r>
    <x v="191"/>
    <x v="0"/>
    <n v="2"/>
    <x v="102"/>
    <s v="14-02-2016"/>
    <x v="2"/>
    <x v="9"/>
    <x v="9"/>
    <x v="3"/>
    <n v="9"/>
    <x v="9"/>
    <s v="IN"/>
    <s v="23-02-2016"/>
    <n v="582"/>
    <n v="582"/>
    <n v="100"/>
    <n v="8.8247422680412377"/>
    <n v="5136"/>
    <n v="9.0927835051546388"/>
    <n v="156"/>
    <n v="5292"/>
    <n v="82"/>
    <x v="0"/>
    <x v="7"/>
    <x v="2"/>
    <x v="0"/>
  </r>
  <r>
    <x v="192"/>
    <x v="2"/>
    <n v="5"/>
    <x v="103"/>
    <s v="18-05-2016"/>
    <x v="7"/>
    <x v="14"/>
    <x v="14"/>
    <x v="1"/>
    <n v="9"/>
    <x v="14"/>
    <s v="IL"/>
    <s v="27-05-2016"/>
    <n v="357"/>
    <n v="357"/>
    <n v="100"/>
    <n v="6.3473389355742293"/>
    <n v="2266"/>
    <n v="7.742296918767507"/>
    <n v="498"/>
    <n v="2764"/>
    <n v="81"/>
    <x v="0"/>
    <x v="1"/>
    <x v="2"/>
    <x v="0"/>
  </r>
  <r>
    <x v="193"/>
    <x v="0"/>
    <n v="2"/>
    <x v="158"/>
    <s v="05-07-2016"/>
    <x v="3"/>
    <x v="21"/>
    <x v="21"/>
    <x v="2"/>
    <n v="9"/>
    <x v="21"/>
    <s v="IL"/>
    <s v="12-07-2016"/>
    <n v="1173"/>
    <n v="719"/>
    <n v="61.295822676896847"/>
    <n v="3.1884057971014492"/>
    <n v="3740"/>
    <n v="3.3086104006820118"/>
    <n v="141"/>
    <n v="3881"/>
    <n v="65"/>
    <x v="0"/>
    <x v="6"/>
    <x v="4"/>
    <x v="0"/>
  </r>
  <r>
    <x v="194"/>
    <x v="2"/>
    <n v="5"/>
    <x v="159"/>
    <s v="23-08-2016"/>
    <x v="5"/>
    <x v="16"/>
    <x v="16"/>
    <x v="4"/>
    <n v="9"/>
    <x v="16"/>
    <s v="MI"/>
    <s v="01-09-2016"/>
    <n v="357"/>
    <n v="357"/>
    <n v="100"/>
    <n v="9.9607843137254903"/>
    <n v="3556"/>
    <n v="12.532212885154062"/>
    <n v="918"/>
    <n v="4474"/>
    <n v="51"/>
    <x v="0"/>
    <x v="1"/>
    <x v="2"/>
    <x v="0"/>
  </r>
  <r>
    <x v="195"/>
    <x v="0"/>
    <n v="5"/>
    <x v="160"/>
    <s v="09-01-2016"/>
    <x v="4"/>
    <x v="15"/>
    <x v="15"/>
    <x v="4"/>
    <n v="9"/>
    <x v="15"/>
    <s v="IL"/>
    <s v="18-01-2016"/>
    <n v="866"/>
    <n v="200"/>
    <n v="23.094688221709006"/>
    <n v="0.88799076212471129"/>
    <n v="769"/>
    <n v="2.0277136258660509"/>
    <n v="987"/>
    <n v="1756"/>
    <n v="61"/>
    <x v="0"/>
    <x v="8"/>
    <x v="2"/>
    <x v="0"/>
  </r>
  <r>
    <x v="196"/>
    <x v="0"/>
    <n v="4"/>
    <x v="161"/>
    <s v="23-07-2016"/>
    <x v="3"/>
    <x v="5"/>
    <x v="5"/>
    <x v="3"/>
    <n v="9"/>
    <x v="5"/>
    <s v="IA"/>
    <s v="29-07-2016"/>
    <n v="714"/>
    <n v="334"/>
    <n v="46.778711484593835"/>
    <n v="6.2549019607843137"/>
    <n v="4466"/>
    <n v="4.7857142857142856"/>
    <n v="-1049"/>
    <n v="3417"/>
    <n v="92"/>
    <x v="0"/>
    <x v="6"/>
    <x v="28"/>
    <x v="0"/>
  </r>
  <r>
    <x v="197"/>
    <x v="2"/>
    <n v="6"/>
    <x v="162"/>
    <s v="13-01-2016"/>
    <x v="4"/>
    <x v="6"/>
    <x v="6"/>
    <x v="4"/>
    <n v="9"/>
    <x v="6"/>
    <s v="IN"/>
    <s v="21-01-2016"/>
    <n v="333"/>
    <n v="333"/>
    <n v="100"/>
    <n v="24.612612612612612"/>
    <n v="8196"/>
    <n v="26.108108108108109"/>
    <n v="498"/>
    <n v="8694"/>
    <n v="96"/>
    <x v="0"/>
    <x v="9"/>
    <x v="5"/>
    <x v="0"/>
  </r>
  <r>
    <x v="198"/>
    <x v="0"/>
    <n v="6"/>
    <x v="138"/>
    <s v="16-02-2016"/>
    <x v="2"/>
    <x v="20"/>
    <x v="20"/>
    <x v="1"/>
    <n v="9"/>
    <x v="20"/>
    <s v="IL"/>
    <s v="21-03-2016"/>
    <n v="630"/>
    <n v="341"/>
    <n v="54.126984126984127"/>
    <n v="5.0650793650793648"/>
    <n v="3191"/>
    <n v="6.4476190476190478"/>
    <n v="871"/>
    <n v="4062"/>
    <n v="63"/>
    <x v="0"/>
    <x v="3"/>
    <x v="32"/>
    <x v="0"/>
  </r>
  <r>
    <x v="199"/>
    <x v="2"/>
    <n v="6"/>
    <x v="13"/>
    <s v="02-08-2016"/>
    <x v="5"/>
    <x v="4"/>
    <x v="4"/>
    <x v="2"/>
    <n v="9"/>
    <x v="4"/>
    <s v="MI"/>
    <s v="11-08-2016"/>
    <n v="611"/>
    <n v="242"/>
    <n v="39.607201309328971"/>
    <n v="2.2945990180032734"/>
    <n v="1402"/>
    <n v="3.7086743044189854"/>
    <n v="864"/>
    <n v="2266"/>
    <n v="71"/>
    <x v="0"/>
    <x v="1"/>
    <x v="2"/>
    <x v="0"/>
  </r>
  <r>
    <x v="200"/>
    <x v="2"/>
    <n v="2"/>
    <x v="163"/>
    <s v="01-07-2016"/>
    <x v="3"/>
    <x v="5"/>
    <x v="5"/>
    <x v="3"/>
    <n v="9"/>
    <x v="5"/>
    <s v="IA"/>
    <s v="08-07-2016"/>
    <n v="362"/>
    <n v="362"/>
    <n v="100"/>
    <n v="6.6629834254143647"/>
    <n v="2412"/>
    <n v="8.1160220994475143"/>
    <n v="526"/>
    <n v="2938"/>
    <n v="78"/>
    <x v="0"/>
    <x v="1"/>
    <x v="4"/>
    <x v="0"/>
  </r>
  <r>
    <x v="201"/>
    <x v="2"/>
    <n v="3"/>
    <x v="164"/>
    <s v="08-06-2016"/>
    <x v="6"/>
    <x v="2"/>
    <x v="2"/>
    <x v="1"/>
    <n v="9"/>
    <x v="2"/>
    <s v="IL"/>
    <s v="17-06-2016"/>
    <n v="801"/>
    <n v="273"/>
    <n v="34.082397003745321"/>
    <n v="6.8339575530586769"/>
    <n v="5474"/>
    <n v="7.0337078651685392"/>
    <n v="160"/>
    <n v="5634"/>
    <n v="65"/>
    <x v="0"/>
    <x v="9"/>
    <x v="2"/>
    <x v="0"/>
  </r>
  <r>
    <x v="202"/>
    <x v="0"/>
    <n v="1"/>
    <x v="165"/>
    <s v="15-05-2016"/>
    <x v="7"/>
    <x v="23"/>
    <x v="23"/>
    <x v="1"/>
    <n v="9"/>
    <x v="23"/>
    <s v="WI"/>
    <s v="24-05-2016"/>
    <n v="932"/>
    <n v="662"/>
    <n v="71.030042918454939"/>
    <n v="1.4409871244635193"/>
    <n v="1343"/>
    <n v="5.7006437768240339"/>
    <n v="3970"/>
    <n v="5313"/>
    <n v="71"/>
    <x v="0"/>
    <x v="1"/>
    <x v="2"/>
    <x v="0"/>
  </r>
  <r>
    <x v="203"/>
    <x v="2"/>
    <n v="4"/>
    <x v="166"/>
    <s v="12-03-2016"/>
    <x v="1"/>
    <x v="10"/>
    <x v="10"/>
    <x v="1"/>
    <n v="9"/>
    <x v="10"/>
    <s v="IL"/>
    <s v="21-03-2016"/>
    <n v="769"/>
    <n v="448"/>
    <n v="58.25747724317295"/>
    <n v="8.1482444733420021"/>
    <n v="6266"/>
    <n v="6.4057217165149547"/>
    <n v="-1340"/>
    <n v="4926"/>
    <n v="99"/>
    <x v="0"/>
    <x v="1"/>
    <x v="2"/>
    <x v="0"/>
  </r>
  <r>
    <x v="204"/>
    <x v="2"/>
    <n v="4"/>
    <x v="167"/>
    <s v="11-04-2016"/>
    <x v="0"/>
    <x v="4"/>
    <x v="4"/>
    <x v="2"/>
    <n v="9"/>
    <x v="4"/>
    <s v="MI"/>
    <s v="18-04-2016"/>
    <n v="1040"/>
    <n v="448"/>
    <n v="43.07692307692308"/>
    <n v="5.8990384615384617"/>
    <n v="6135"/>
    <n v="3.9423076923076925"/>
    <n v="-2035"/>
    <n v="4100"/>
    <n v="52"/>
    <x v="0"/>
    <x v="5"/>
    <x v="4"/>
    <x v="0"/>
  </r>
  <r>
    <x v="205"/>
    <x v="0"/>
    <n v="2"/>
    <x v="113"/>
    <s v="29-06-2016"/>
    <x v="6"/>
    <x v="7"/>
    <x v="7"/>
    <x v="5"/>
    <n v="9"/>
    <x v="7"/>
    <s v="WI"/>
    <s v="11-07-2016"/>
    <n v="382"/>
    <n v="303"/>
    <n v="79.319371727748688"/>
    <n v="20.808900523560208"/>
    <n v="7949"/>
    <n v="21.465968586387433"/>
    <n v="251"/>
    <n v="8200"/>
    <n v="72"/>
    <x v="0"/>
    <x v="3"/>
    <x v="23"/>
    <x v="0"/>
  </r>
  <r>
    <x v="206"/>
    <x v="2"/>
    <n v="5"/>
    <x v="168"/>
    <s v="12-03-2016"/>
    <x v="1"/>
    <x v="3"/>
    <x v="3"/>
    <x v="2"/>
    <n v="9"/>
    <x v="3"/>
    <s v="IL"/>
    <s v="21-03-2016"/>
    <n v="481"/>
    <n v="481"/>
    <n v="100"/>
    <n v="3.5114345114345116"/>
    <n v="1689"/>
    <n v="4.8814968814968811"/>
    <n v="659"/>
    <n v="2348"/>
    <n v="76"/>
    <x v="0"/>
    <x v="7"/>
    <x v="2"/>
    <x v="0"/>
  </r>
  <r>
    <x v="207"/>
    <x v="2"/>
    <n v="2"/>
    <x v="169"/>
    <s v="30-08-2016"/>
    <x v="5"/>
    <x v="14"/>
    <x v="14"/>
    <x v="1"/>
    <n v="9"/>
    <x v="14"/>
    <s v="IL"/>
    <s v="07-09-2016"/>
    <n v="641"/>
    <n v="641"/>
    <n v="100"/>
    <n v="2.0514820592823715"/>
    <n v="1315"/>
    <n v="2.4336973478939159"/>
    <n v="245"/>
    <n v="1560"/>
    <n v="95"/>
    <x v="0"/>
    <x v="2"/>
    <x v="5"/>
    <x v="0"/>
  </r>
  <r>
    <x v="208"/>
    <x v="2"/>
    <n v="5"/>
    <x v="170"/>
    <s v="09-02-2016"/>
    <x v="2"/>
    <x v="15"/>
    <x v="15"/>
    <x v="4"/>
    <n v="9"/>
    <x v="15"/>
    <s v="IL"/>
    <s v="19-02-2016"/>
    <n v="1076"/>
    <n v="759"/>
    <n v="70.539033457249062"/>
    <n v="5.8039033457249074"/>
    <n v="6245"/>
    <n v="5.9321561338289959"/>
    <n v="138"/>
    <n v="6383"/>
    <n v="84"/>
    <x v="0"/>
    <x v="8"/>
    <x v="0"/>
    <x v="0"/>
  </r>
  <r>
    <x v="209"/>
    <x v="2"/>
    <n v="2"/>
    <x v="4"/>
    <s v="03-02-2016"/>
    <x v="2"/>
    <x v="8"/>
    <x v="8"/>
    <x v="3"/>
    <n v="9"/>
    <x v="8"/>
    <s v="OH"/>
    <s v="11-02-2016"/>
    <n v="755"/>
    <n v="407"/>
    <n v="53.907284768211916"/>
    <n v="2.5205298013245034"/>
    <n v="1903"/>
    <n v="3.4397350993377485"/>
    <n v="694"/>
    <n v="2597"/>
    <n v="54"/>
    <x v="0"/>
    <x v="1"/>
    <x v="5"/>
    <x v="0"/>
  </r>
  <r>
    <x v="210"/>
    <x v="2"/>
    <n v="1"/>
    <x v="171"/>
    <s v="29-03-2016"/>
    <x v="1"/>
    <x v="11"/>
    <x v="11"/>
    <x v="2"/>
    <n v="9"/>
    <x v="11"/>
    <s v="MI"/>
    <s v="06-04-2016"/>
    <n v="749"/>
    <n v="432"/>
    <n v="57.676902536715623"/>
    <n v="1.9546061415220293"/>
    <n v="1464"/>
    <n v="8.9706275033377842"/>
    <n v="5255"/>
    <n v="6719"/>
    <n v="57"/>
    <x v="0"/>
    <x v="3"/>
    <x v="5"/>
    <x v="0"/>
  </r>
  <r>
    <x v="211"/>
    <x v="2"/>
    <n v="2"/>
    <x v="172"/>
    <s v="19-02-2016"/>
    <x v="2"/>
    <x v="14"/>
    <x v="14"/>
    <x v="1"/>
    <n v="9"/>
    <x v="14"/>
    <s v="IL"/>
    <s v="29-02-2016"/>
    <n v="460"/>
    <n v="206"/>
    <n v="44.782608695652179"/>
    <n v="14.504347826086956"/>
    <n v="6672"/>
    <n v="15.402173913043478"/>
    <n v="413"/>
    <n v="7085"/>
    <n v="74"/>
    <x v="0"/>
    <x v="2"/>
    <x v="0"/>
    <x v="0"/>
  </r>
  <r>
    <x v="212"/>
    <x v="0"/>
    <n v="3"/>
    <x v="119"/>
    <s v="02-01-2016"/>
    <x v="4"/>
    <x v="2"/>
    <x v="2"/>
    <x v="1"/>
    <n v="9"/>
    <x v="2"/>
    <s v="IL"/>
    <s v="21-03-2016"/>
    <n v="1167"/>
    <n v="294"/>
    <n v="25.192802056555269"/>
    <n v="6.9323050556983716"/>
    <n v="8090"/>
    <n v="7.5904027420736933"/>
    <n v="768"/>
    <n v="8858"/>
    <n v="76"/>
    <x v="0"/>
    <x v="0"/>
    <x v="8"/>
    <x v="0"/>
  </r>
  <r>
    <x v="213"/>
    <x v="2"/>
    <n v="1"/>
    <x v="6"/>
    <s v="28-03-2016"/>
    <x v="1"/>
    <x v="20"/>
    <x v="20"/>
    <x v="1"/>
    <n v="9"/>
    <x v="20"/>
    <s v="IL"/>
    <s v="21-03-2016"/>
    <n v="969"/>
    <n v="216"/>
    <n v="22.291021671826623"/>
    <n v="1.2033023735810113"/>
    <n v="1166"/>
    <n v="5.6904024767801857"/>
    <n v="4348"/>
    <n v="5514"/>
    <n v="83"/>
    <x v="0"/>
    <x v="6"/>
    <x v="33"/>
    <x v="1"/>
  </r>
  <r>
    <x v="214"/>
    <x v="0"/>
    <n v="2"/>
    <x v="9"/>
    <s v="26-05-2016"/>
    <x v="7"/>
    <x v="7"/>
    <x v="7"/>
    <x v="5"/>
    <n v="9"/>
    <x v="7"/>
    <s v="WI"/>
    <s v="03-06-2016"/>
    <n v="779"/>
    <n v="764"/>
    <n v="98.074454428754805"/>
    <n v="4.985879332477535"/>
    <n v="3884"/>
    <n v="5.3222079589216946"/>
    <n v="262"/>
    <n v="4146"/>
    <n v="69"/>
    <x v="0"/>
    <x v="7"/>
    <x v="5"/>
    <x v="0"/>
  </r>
  <r>
    <x v="215"/>
    <x v="0"/>
    <n v="1"/>
    <x v="173"/>
    <s v="15-08-2016"/>
    <x v="5"/>
    <x v="6"/>
    <x v="6"/>
    <x v="4"/>
    <n v="9"/>
    <x v="6"/>
    <s v="IN"/>
    <s v="21-08-2016"/>
    <n v="825"/>
    <n v="268"/>
    <n v="32.484848484848484"/>
    <n v="3.7393939393939393"/>
    <n v="3085"/>
    <n v="8.7842424242424251"/>
    <n v="4162"/>
    <n v="7247"/>
    <n v="77"/>
    <x v="0"/>
    <x v="8"/>
    <x v="28"/>
    <x v="0"/>
  </r>
  <r>
    <x v="216"/>
    <x v="0"/>
    <n v="5"/>
    <x v="174"/>
    <s v="21-01-2016"/>
    <x v="4"/>
    <x v="10"/>
    <x v="10"/>
    <x v="1"/>
    <n v="9"/>
    <x v="10"/>
    <s v="IL"/>
    <s v="30-01-2016"/>
    <n v="721"/>
    <n v="457"/>
    <n v="63.384188626907076"/>
    <n v="10.776699029126213"/>
    <n v="7770"/>
    <n v="11.83495145631068"/>
    <n v="763"/>
    <n v="8533"/>
    <n v="95"/>
    <x v="0"/>
    <x v="3"/>
    <x v="2"/>
    <x v="0"/>
  </r>
  <r>
    <x v="217"/>
    <x v="2"/>
    <n v="1"/>
    <x v="175"/>
    <s v="31-01-2016"/>
    <x v="4"/>
    <x v="4"/>
    <x v="4"/>
    <x v="2"/>
    <n v="9"/>
    <x v="4"/>
    <s v="MI"/>
    <s v="07-02-2016"/>
    <n v="378"/>
    <n v="378"/>
    <n v="100"/>
    <n v="10.93915343915344"/>
    <n v="4135"/>
    <n v="21.222222222222221"/>
    <n v="3887"/>
    <n v="8022"/>
    <n v="77"/>
    <x v="0"/>
    <x v="3"/>
    <x v="4"/>
    <x v="0"/>
  </r>
  <r>
    <x v="218"/>
    <x v="2"/>
    <n v="3"/>
    <x v="176"/>
    <s v="24-02-2016"/>
    <x v="2"/>
    <x v="9"/>
    <x v="9"/>
    <x v="3"/>
    <n v="9"/>
    <x v="9"/>
    <s v="IN"/>
    <s v="03-03-2016"/>
    <n v="806"/>
    <n v="458"/>
    <n v="56.823821339950378"/>
    <n v="5.806451612903226"/>
    <n v="4680"/>
    <n v="6.5980148883374694"/>
    <n v="638"/>
    <n v="5318"/>
    <n v="81"/>
    <x v="0"/>
    <x v="2"/>
    <x v="5"/>
    <x v="0"/>
  </r>
  <r>
    <x v="219"/>
    <x v="0"/>
    <n v="3"/>
    <x v="12"/>
    <s v="16-06-2016"/>
    <x v="6"/>
    <x v="19"/>
    <x v="19"/>
    <x v="0"/>
    <n v="9"/>
    <x v="19"/>
    <s v="WI"/>
    <s v="23-06-2016"/>
    <n v="312"/>
    <n v="297"/>
    <n v="95.192307692307693"/>
    <n v="5.8205128205128203"/>
    <n v="1816"/>
    <n v="7.3237179487179489"/>
    <n v="469"/>
    <n v="2285"/>
    <n v="73"/>
    <x v="0"/>
    <x v="0"/>
    <x v="4"/>
    <x v="0"/>
  </r>
  <r>
    <x v="220"/>
    <x v="2"/>
    <n v="6"/>
    <x v="13"/>
    <s v="23-02-2016"/>
    <x v="2"/>
    <x v="10"/>
    <x v="10"/>
    <x v="1"/>
    <n v="9"/>
    <x v="10"/>
    <s v="IL"/>
    <s v="02-03-2016"/>
    <n v="571"/>
    <n v="555"/>
    <n v="97.197898423817861"/>
    <n v="6.4308231173380035"/>
    <n v="3672"/>
    <n v="7.0332749562171628"/>
    <n v="344"/>
    <n v="4016"/>
    <n v="55"/>
    <x v="0"/>
    <x v="5"/>
    <x v="5"/>
    <x v="0"/>
  </r>
  <r>
    <x v="221"/>
    <x v="2"/>
    <n v="2"/>
    <x v="177"/>
    <s v="11-02-2016"/>
    <x v="2"/>
    <x v="1"/>
    <x v="1"/>
    <x v="1"/>
    <n v="9"/>
    <x v="1"/>
    <s v="WI"/>
    <s v="20-02-2016"/>
    <n v="434"/>
    <n v="310"/>
    <n v="71.428571428571431"/>
    <n v="6.112903225806452"/>
    <n v="2653"/>
    <n v="7.2142857142857144"/>
    <n v="478"/>
    <n v="3131"/>
    <n v="97"/>
    <x v="0"/>
    <x v="9"/>
    <x v="2"/>
    <x v="0"/>
  </r>
  <r>
    <x v="222"/>
    <x v="0"/>
    <n v="4"/>
    <x v="127"/>
    <s v="06-06-2016"/>
    <x v="6"/>
    <x v="4"/>
    <x v="4"/>
    <x v="2"/>
    <n v="9"/>
    <x v="4"/>
    <s v="MI"/>
    <s v="15-06-2016"/>
    <n v="638"/>
    <n v="416"/>
    <n v="65.203761755485885"/>
    <n v="8.8871473354231973"/>
    <n v="5670"/>
    <n v="5.3213166144200628"/>
    <n v="-2275"/>
    <n v="3395"/>
    <n v="70"/>
    <x v="0"/>
    <x v="0"/>
    <x v="2"/>
    <x v="0"/>
  </r>
  <r>
    <x v="223"/>
    <x v="2"/>
    <n v="6"/>
    <x v="178"/>
    <s v="31-07-2016"/>
    <x v="3"/>
    <x v="18"/>
    <x v="18"/>
    <x v="1"/>
    <n v="9"/>
    <x v="18"/>
    <s v="IN"/>
    <s v="09-08-2016"/>
    <n v="736"/>
    <n v="515"/>
    <n v="69.972826086956516"/>
    <n v="5.5815217391304346"/>
    <n v="4108"/>
    <n v="6.1073369565217392"/>
    <n v="387"/>
    <n v="4495"/>
    <n v="78"/>
    <x v="0"/>
    <x v="3"/>
    <x v="2"/>
    <x v="0"/>
  </r>
  <r>
    <x v="224"/>
    <x v="2"/>
    <n v="2"/>
    <x v="179"/>
    <s v="15-01-2016"/>
    <x v="4"/>
    <x v="9"/>
    <x v="9"/>
    <x v="3"/>
    <n v="9"/>
    <x v="9"/>
    <s v="IN"/>
    <s v="24-01-2016"/>
    <n v="376"/>
    <n v="376"/>
    <n v="100"/>
    <n v="20.74468085106383"/>
    <n v="7800"/>
    <n v="22.292553191489361"/>
    <n v="582"/>
    <n v="8382"/>
    <n v="66"/>
    <x v="0"/>
    <x v="2"/>
    <x v="2"/>
    <x v="0"/>
  </r>
  <r>
    <x v="225"/>
    <x v="2"/>
    <n v="6"/>
    <x v="180"/>
    <s v="07-02-2016"/>
    <x v="2"/>
    <x v="3"/>
    <x v="3"/>
    <x v="2"/>
    <n v="9"/>
    <x v="3"/>
    <s v="IL"/>
    <s v="16-02-2016"/>
    <n v="1200"/>
    <n v="485"/>
    <n v="40.416666666666664"/>
    <n v="2.1524999999999999"/>
    <n v="2583"/>
    <n v="2.4874999999999998"/>
    <n v="402"/>
    <n v="2985"/>
    <n v="76"/>
    <x v="0"/>
    <x v="3"/>
    <x v="2"/>
    <x v="0"/>
  </r>
  <r>
    <x v="226"/>
    <x v="0"/>
    <n v="6"/>
    <x v="181"/>
    <s v="04-07-2016"/>
    <x v="3"/>
    <x v="22"/>
    <x v="22"/>
    <x v="0"/>
    <n v="8"/>
    <x v="22"/>
    <s v="IL"/>
    <s v="12-07-2016"/>
    <n v="1170"/>
    <n v="729"/>
    <n v="62.307692307692307"/>
    <n v="6.1393162393162397"/>
    <n v="7183"/>
    <n v="6.4247863247863251"/>
    <n v="334"/>
    <n v="7517"/>
    <n v="78"/>
    <x v="0"/>
    <x v="9"/>
    <x v="5"/>
    <x v="0"/>
  </r>
  <r>
    <x v="227"/>
    <x v="0"/>
    <n v="5"/>
    <x v="182"/>
    <s v="16-05-2016"/>
    <x v="7"/>
    <x v="12"/>
    <x v="12"/>
    <x v="3"/>
    <n v="8"/>
    <x v="12"/>
    <s v="MI"/>
    <s v="24-05-2016"/>
    <n v="1044"/>
    <n v="564"/>
    <n v="54.022988505747129"/>
    <n v="0.4061302681992337"/>
    <n v="424"/>
    <n v="0.91762452107279691"/>
    <n v="534"/>
    <n v="958"/>
    <n v="50"/>
    <x v="0"/>
    <x v="7"/>
    <x v="5"/>
    <x v="0"/>
  </r>
  <r>
    <x v="228"/>
    <x v="1"/>
    <n v="5"/>
    <x v="131"/>
    <s v="15-05-2016"/>
    <x v="7"/>
    <x v="6"/>
    <x v="6"/>
    <x v="4"/>
    <n v="8"/>
    <x v="6"/>
    <s v="IN"/>
    <s v="23-05-2016"/>
    <n v="610"/>
    <n v="600"/>
    <n v="98.360655737704917"/>
    <n v="2.057377049180328"/>
    <n v="1255"/>
    <n v="2.7"/>
    <n v="392"/>
    <n v="1647"/>
    <n v="50"/>
    <x v="0"/>
    <x v="8"/>
    <x v="5"/>
    <x v="0"/>
  </r>
  <r>
    <x v="229"/>
    <x v="1"/>
    <n v="7"/>
    <x v="50"/>
    <s v="25-08-2016"/>
    <x v="5"/>
    <x v="16"/>
    <x v="16"/>
    <x v="4"/>
    <n v="8"/>
    <x v="16"/>
    <s v="MI"/>
    <s v="21-03-2016"/>
    <n v="782"/>
    <n v="563"/>
    <n v="71.994884910485936"/>
    <n v="4.7851662404092075"/>
    <n v="3742"/>
    <n v="5.8465473145780047"/>
    <n v="830"/>
    <n v="4572"/>
    <n v="66"/>
    <x v="0"/>
    <x v="8"/>
    <x v="34"/>
    <x v="1"/>
  </r>
  <r>
    <x v="230"/>
    <x v="0"/>
    <n v="6"/>
    <x v="89"/>
    <s v="19-03-2016"/>
    <x v="1"/>
    <x v="8"/>
    <x v="8"/>
    <x v="3"/>
    <n v="8"/>
    <x v="8"/>
    <s v="OH"/>
    <s v="26-03-2016"/>
    <n v="284"/>
    <n v="284"/>
    <n v="100"/>
    <n v="7.774647887323944"/>
    <n v="2208"/>
    <n v="10.598591549295774"/>
    <n v="802"/>
    <n v="3010"/>
    <n v="60"/>
    <x v="0"/>
    <x v="8"/>
    <x v="4"/>
    <x v="0"/>
  </r>
  <r>
    <x v="231"/>
    <x v="0"/>
    <n v="5"/>
    <x v="183"/>
    <s v="14-08-2016"/>
    <x v="5"/>
    <x v="11"/>
    <x v="11"/>
    <x v="2"/>
    <n v="8"/>
    <x v="11"/>
    <s v="MI"/>
    <s v="21-08-2016"/>
    <n v="986"/>
    <n v="654"/>
    <n v="66.328600405679509"/>
    <n v="0.39452332657200812"/>
    <n v="389"/>
    <n v="1.0121703853955375"/>
    <n v="609"/>
    <n v="998"/>
    <n v="57"/>
    <x v="0"/>
    <x v="8"/>
    <x v="4"/>
    <x v="0"/>
  </r>
  <r>
    <x v="232"/>
    <x v="1"/>
    <n v="7"/>
    <x v="28"/>
    <s v="25-07-2016"/>
    <x v="3"/>
    <x v="14"/>
    <x v="14"/>
    <x v="1"/>
    <n v="8"/>
    <x v="14"/>
    <s v="IL"/>
    <s v="02-08-2016"/>
    <n v="1160"/>
    <n v="564"/>
    <n v="48.620689655172413"/>
    <n v="6.2629310344827589"/>
    <n v="7265"/>
    <n v="6.7706896551724141"/>
    <n v="589"/>
    <n v="7854"/>
    <n v="85"/>
    <x v="0"/>
    <x v="5"/>
    <x v="5"/>
    <x v="0"/>
  </r>
  <r>
    <x v="233"/>
    <x v="1"/>
    <n v="6"/>
    <x v="29"/>
    <s v="30-05-2016"/>
    <x v="7"/>
    <x v="7"/>
    <x v="7"/>
    <x v="5"/>
    <n v="8"/>
    <x v="7"/>
    <s v="WI"/>
    <s v="07-06-2016"/>
    <n v="725"/>
    <n v="641"/>
    <n v="88.413793103448285"/>
    <n v="5.0110344827586211"/>
    <n v="3633"/>
    <n v="5.1558620689655168"/>
    <n v="105"/>
    <n v="3738"/>
    <n v="89"/>
    <x v="0"/>
    <x v="7"/>
    <x v="5"/>
    <x v="0"/>
  </r>
  <r>
    <x v="234"/>
    <x v="0"/>
    <n v="6"/>
    <x v="53"/>
    <s v="16-05-2016"/>
    <x v="7"/>
    <x v="20"/>
    <x v="20"/>
    <x v="1"/>
    <n v="8"/>
    <x v="20"/>
    <s v="IL"/>
    <s v="21-03-2016"/>
    <n v="413"/>
    <n v="291"/>
    <n v="70.460048426150124"/>
    <n v="5.4963680387409202"/>
    <n v="2270"/>
    <n v="6.101694915254237"/>
    <n v="250"/>
    <n v="2520"/>
    <n v="57"/>
    <x v="0"/>
    <x v="5"/>
    <x v="35"/>
    <x v="1"/>
  </r>
  <r>
    <x v="235"/>
    <x v="0"/>
    <n v="5"/>
    <x v="184"/>
    <s v="11-05-2016"/>
    <x v="7"/>
    <x v="23"/>
    <x v="23"/>
    <x v="1"/>
    <n v="8"/>
    <x v="23"/>
    <s v="WI"/>
    <s v="19-05-2016"/>
    <n v="975"/>
    <n v="279"/>
    <n v="28.615384615384613"/>
    <n v="1.0010256410256411"/>
    <n v="976"/>
    <n v="1.1158974358974358"/>
    <n v="112"/>
    <n v="1088"/>
    <n v="77"/>
    <x v="0"/>
    <x v="3"/>
    <x v="5"/>
    <x v="0"/>
  </r>
  <r>
    <x v="236"/>
    <x v="1"/>
    <n v="8"/>
    <x v="185"/>
    <s v="01-08-2016"/>
    <x v="5"/>
    <x v="11"/>
    <x v="11"/>
    <x v="2"/>
    <n v="8"/>
    <x v="11"/>
    <s v="MI"/>
    <s v="07-08-2016"/>
    <n v="529"/>
    <n v="529"/>
    <n v="100"/>
    <n v="13.279773156899811"/>
    <n v="7025"/>
    <n v="14.555765595463138"/>
    <n v="675"/>
    <n v="7700"/>
    <n v="71"/>
    <x v="0"/>
    <x v="8"/>
    <x v="28"/>
    <x v="0"/>
  </r>
  <r>
    <x v="237"/>
    <x v="1"/>
    <n v="4"/>
    <x v="35"/>
    <s v="30-01-2016"/>
    <x v="4"/>
    <x v="14"/>
    <x v="14"/>
    <x v="1"/>
    <n v="8"/>
    <x v="14"/>
    <s v="IL"/>
    <s v="07-02-2016"/>
    <n v="1103"/>
    <n v="565"/>
    <n v="51.223934723481413"/>
    <n v="6.8150498640072525"/>
    <n v="7517"/>
    <n v="4.5448776065276517"/>
    <n v="-2504"/>
    <n v="5013"/>
    <n v="99"/>
    <x v="0"/>
    <x v="6"/>
    <x v="5"/>
    <x v="0"/>
  </r>
  <r>
    <x v="238"/>
    <x v="0"/>
    <n v="7"/>
    <x v="186"/>
    <s v="21-02-2016"/>
    <x v="2"/>
    <x v="2"/>
    <x v="2"/>
    <x v="1"/>
    <n v="8"/>
    <x v="2"/>
    <s v="IL"/>
    <s v="21-03-2016"/>
    <n v="976"/>
    <n v="369"/>
    <n v="37.807377049180332"/>
    <n v="1.8637295081967213"/>
    <n v="1819"/>
    <n v="2.5102459016393444"/>
    <n v="631"/>
    <n v="2450"/>
    <n v="54"/>
    <x v="0"/>
    <x v="7"/>
    <x v="36"/>
    <x v="0"/>
  </r>
  <r>
    <x v="239"/>
    <x v="1"/>
    <n v="8"/>
    <x v="187"/>
    <s v="28-06-2016"/>
    <x v="6"/>
    <x v="7"/>
    <x v="7"/>
    <x v="5"/>
    <n v="8"/>
    <x v="7"/>
    <s v="WI"/>
    <s v="06-07-2016"/>
    <n v="950"/>
    <n v="502"/>
    <n v="52.84210526315789"/>
    <n v="2.168421052631579"/>
    <n v="2060"/>
    <n v="3.1894736842105265"/>
    <n v="970"/>
    <n v="3030"/>
    <n v="60"/>
    <x v="0"/>
    <x v="7"/>
    <x v="5"/>
    <x v="0"/>
  </r>
  <r>
    <x v="240"/>
    <x v="1"/>
    <n v="4"/>
    <x v="180"/>
    <s v="28-04-2016"/>
    <x v="0"/>
    <x v="16"/>
    <x v="16"/>
    <x v="4"/>
    <n v="8"/>
    <x v="16"/>
    <s v="MI"/>
    <s v="06-05-2016"/>
    <n v="580"/>
    <n v="580"/>
    <n v="100"/>
    <n v="11.227586206896552"/>
    <n v="6512"/>
    <n v="7.4620689655172416"/>
    <n v="-2184"/>
    <n v="4328"/>
    <n v="58"/>
    <x v="0"/>
    <x v="0"/>
    <x v="5"/>
    <x v="0"/>
  </r>
  <r>
    <x v="241"/>
    <x v="0"/>
    <n v="5"/>
    <x v="188"/>
    <s v="10-05-2016"/>
    <x v="7"/>
    <x v="8"/>
    <x v="8"/>
    <x v="3"/>
    <n v="8"/>
    <x v="8"/>
    <s v="OH"/>
    <s v="18-05-2016"/>
    <n v="426"/>
    <n v="357"/>
    <n v="83.802816901408448"/>
    <n v="8.8779342723004699"/>
    <n v="3782"/>
    <n v="9.112676056338028"/>
    <n v="100"/>
    <n v="3882"/>
    <n v="55"/>
    <x v="0"/>
    <x v="7"/>
    <x v="5"/>
    <x v="0"/>
  </r>
  <r>
    <x v="242"/>
    <x v="0"/>
    <n v="6"/>
    <x v="189"/>
    <s v="10-01-2016"/>
    <x v="4"/>
    <x v="14"/>
    <x v="14"/>
    <x v="1"/>
    <n v="8"/>
    <x v="14"/>
    <s v="IL"/>
    <s v="16-01-2016"/>
    <n v="482"/>
    <n v="217"/>
    <n v="45.020746887966808"/>
    <n v="6.2385892116182573"/>
    <n v="3007"/>
    <n v="7.7489626556016598"/>
    <n v="728"/>
    <n v="3735"/>
    <n v="85"/>
    <x v="0"/>
    <x v="5"/>
    <x v="28"/>
    <x v="0"/>
  </r>
  <r>
    <x v="243"/>
    <x v="0"/>
    <n v="6"/>
    <x v="190"/>
    <s v="02-06-2016"/>
    <x v="6"/>
    <x v="6"/>
    <x v="6"/>
    <x v="4"/>
    <n v="8"/>
    <x v="6"/>
    <s v="IN"/>
    <s v="10-06-2016"/>
    <n v="1116"/>
    <n v="388"/>
    <n v="34.767025089605738"/>
    <n v="3.7141577060931898"/>
    <n v="4145"/>
    <n v="4.1863799283154126"/>
    <n v="527"/>
    <n v="4672"/>
    <n v="84"/>
    <x v="0"/>
    <x v="4"/>
    <x v="5"/>
    <x v="0"/>
  </r>
  <r>
    <x v="244"/>
    <x v="0"/>
    <n v="8"/>
    <x v="149"/>
    <s v="23-07-2016"/>
    <x v="3"/>
    <x v="1"/>
    <x v="1"/>
    <x v="1"/>
    <n v="8"/>
    <x v="1"/>
    <s v="WI"/>
    <s v="21-03-2016"/>
    <n v="208"/>
    <n v="208"/>
    <n v="100"/>
    <n v="35.79807692307692"/>
    <n v="7446"/>
    <n v="37.778846153846153"/>
    <n v="412"/>
    <n v="7858"/>
    <n v="85"/>
    <x v="0"/>
    <x v="5"/>
    <x v="27"/>
    <x v="1"/>
  </r>
  <r>
    <x v="245"/>
    <x v="1"/>
    <n v="5"/>
    <x v="83"/>
    <s v="23-05-2016"/>
    <x v="7"/>
    <x v="2"/>
    <x v="2"/>
    <x v="1"/>
    <n v="8"/>
    <x v="2"/>
    <s v="IL"/>
    <s v="31-05-2016"/>
    <n v="1002"/>
    <n v="778"/>
    <n v="77.644710578842307"/>
    <n v="0.32335329341317365"/>
    <n v="324"/>
    <n v="0.75349301397205593"/>
    <n v="431"/>
    <n v="755"/>
    <n v="93"/>
    <x v="0"/>
    <x v="4"/>
    <x v="5"/>
    <x v="0"/>
  </r>
  <r>
    <x v="246"/>
    <x v="0"/>
    <n v="5"/>
    <x v="150"/>
    <s v="13-01-2016"/>
    <x v="4"/>
    <x v="0"/>
    <x v="0"/>
    <x v="0"/>
    <n v="8"/>
    <x v="0"/>
    <s v="MI"/>
    <s v="21-03-2016"/>
    <n v="944"/>
    <n v="702"/>
    <n v="74.364406779661024"/>
    <n v="1.465042372881356"/>
    <n v="1383"/>
    <n v="2.0847457627118646"/>
    <n v="585"/>
    <n v="1968"/>
    <n v="77"/>
    <x v="0"/>
    <x v="0"/>
    <x v="37"/>
    <x v="0"/>
  </r>
  <r>
    <x v="247"/>
    <x v="1"/>
    <n v="8"/>
    <x v="182"/>
    <s v="10-05-2016"/>
    <x v="7"/>
    <x v="11"/>
    <x v="11"/>
    <x v="2"/>
    <n v="8"/>
    <x v="11"/>
    <s v="MI"/>
    <s v="17-05-2016"/>
    <n v="1117"/>
    <n v="743"/>
    <n v="66.517457475380482"/>
    <n v="0.69561324977618622"/>
    <n v="777"/>
    <n v="1.2506714413607878"/>
    <n v="620"/>
    <n v="1397"/>
    <n v="53"/>
    <x v="0"/>
    <x v="3"/>
    <x v="4"/>
    <x v="0"/>
  </r>
  <r>
    <x v="248"/>
    <x v="0"/>
    <n v="6"/>
    <x v="191"/>
    <s v="31-07-2016"/>
    <x v="3"/>
    <x v="2"/>
    <x v="2"/>
    <x v="1"/>
    <n v="8"/>
    <x v="2"/>
    <s v="IL"/>
    <s v="21-03-2016"/>
    <n v="283"/>
    <n v="274"/>
    <n v="96.81978798586573"/>
    <n v="10.76678445229682"/>
    <n v="3047"/>
    <n v="13.678445229681978"/>
    <n v="824"/>
    <n v="3871"/>
    <n v="53"/>
    <x v="0"/>
    <x v="7"/>
    <x v="6"/>
    <x v="1"/>
  </r>
  <r>
    <x v="249"/>
    <x v="1"/>
    <n v="5"/>
    <x v="118"/>
    <s v="01-02-2016"/>
    <x v="2"/>
    <x v="4"/>
    <x v="4"/>
    <x v="2"/>
    <n v="8"/>
    <x v="4"/>
    <s v="MI"/>
    <s v="08-02-2016"/>
    <n v="450"/>
    <n v="341"/>
    <n v="75.777777777777771"/>
    <n v="18.34"/>
    <n v="8253"/>
    <n v="18.897777777777776"/>
    <n v="251"/>
    <n v="8504"/>
    <n v="60"/>
    <x v="0"/>
    <x v="2"/>
    <x v="4"/>
    <x v="0"/>
  </r>
  <r>
    <x v="250"/>
    <x v="0"/>
    <n v="6"/>
    <x v="192"/>
    <s v="20-05-2016"/>
    <x v="7"/>
    <x v="7"/>
    <x v="7"/>
    <x v="5"/>
    <n v="8"/>
    <x v="7"/>
    <s v="WI"/>
    <s v="28-05-2016"/>
    <n v="222"/>
    <n v="222"/>
    <n v="100"/>
    <n v="30.121621621621621"/>
    <n v="6687"/>
    <n v="33.373873873873876"/>
    <n v="722"/>
    <n v="7409"/>
    <n v="76"/>
    <x v="0"/>
    <x v="1"/>
    <x v="5"/>
    <x v="0"/>
  </r>
  <r>
    <x v="251"/>
    <x v="0"/>
    <n v="6"/>
    <x v="24"/>
    <s v="27-03-2016"/>
    <x v="1"/>
    <x v="6"/>
    <x v="6"/>
    <x v="4"/>
    <n v="8"/>
    <x v="6"/>
    <s v="IN"/>
    <s v="04-04-2016"/>
    <n v="434"/>
    <n v="206"/>
    <n v="47.465437788018434"/>
    <n v="7.2142857142857144"/>
    <n v="3131"/>
    <n v="8.4838709677419359"/>
    <n v="551"/>
    <n v="3682"/>
    <n v="97"/>
    <x v="0"/>
    <x v="7"/>
    <x v="5"/>
    <x v="0"/>
  </r>
  <r>
    <x v="252"/>
    <x v="0"/>
    <n v="5"/>
    <x v="193"/>
    <s v="23-04-2016"/>
    <x v="0"/>
    <x v="16"/>
    <x v="16"/>
    <x v="4"/>
    <n v="8"/>
    <x v="16"/>
    <s v="MI"/>
    <s v="21-03-2016"/>
    <n v="865"/>
    <n v="238"/>
    <n v="27.51445086705202"/>
    <n v="2.8786127167630058"/>
    <n v="2490"/>
    <n v="3.0867052023121389"/>
    <n v="180"/>
    <n v="2670"/>
    <n v="71"/>
    <x v="0"/>
    <x v="8"/>
    <x v="38"/>
    <x v="1"/>
  </r>
  <r>
    <x v="253"/>
    <x v="0"/>
    <n v="8"/>
    <x v="194"/>
    <s v="19-07-2016"/>
    <x v="3"/>
    <x v="19"/>
    <x v="19"/>
    <x v="0"/>
    <n v="8"/>
    <x v="19"/>
    <s v="WI"/>
    <s v="27-07-2016"/>
    <n v="516"/>
    <n v="516"/>
    <n v="100"/>
    <n v="10.883720930232558"/>
    <n v="5616"/>
    <n v="12.356589147286822"/>
    <n v="760"/>
    <n v="6376"/>
    <n v="57"/>
    <x v="0"/>
    <x v="7"/>
    <x v="5"/>
    <x v="0"/>
  </r>
  <r>
    <x v="254"/>
    <x v="1"/>
    <n v="4"/>
    <x v="195"/>
    <s v="03-05-2016"/>
    <x v="7"/>
    <x v="23"/>
    <x v="23"/>
    <x v="1"/>
    <n v="8"/>
    <x v="23"/>
    <s v="WI"/>
    <s v="11-05-2016"/>
    <n v="552"/>
    <n v="552"/>
    <n v="100"/>
    <n v="6.7681159420289854"/>
    <n v="3736"/>
    <n v="3.0398550724637681"/>
    <n v="-2058"/>
    <n v="1678"/>
    <n v="74"/>
    <x v="0"/>
    <x v="6"/>
    <x v="5"/>
    <x v="0"/>
  </r>
  <r>
    <x v="255"/>
    <x v="1"/>
    <n v="5"/>
    <x v="196"/>
    <s v="11-06-2016"/>
    <x v="6"/>
    <x v="11"/>
    <x v="11"/>
    <x v="2"/>
    <n v="8"/>
    <x v="11"/>
    <s v="MI"/>
    <s v="17-06-2016"/>
    <n v="1195"/>
    <n v="586"/>
    <n v="49.037656903765694"/>
    <n v="4.2987447698744772"/>
    <n v="5137"/>
    <n v="4.5221757322175735"/>
    <n v="267"/>
    <n v="5404"/>
    <n v="79"/>
    <x v="0"/>
    <x v="7"/>
    <x v="28"/>
    <x v="0"/>
  </r>
  <r>
    <x v="256"/>
    <x v="0"/>
    <n v="8"/>
    <x v="197"/>
    <s v="02-08-2016"/>
    <x v="5"/>
    <x v="12"/>
    <x v="12"/>
    <x v="3"/>
    <n v="8"/>
    <x v="12"/>
    <s v="MI"/>
    <s v="09-08-2016"/>
    <n v="1168"/>
    <n v="466"/>
    <n v="39.897260273972599"/>
    <n v="2.235445205479452"/>
    <n v="2611"/>
    <n v="2.9606164383561642"/>
    <n v="847"/>
    <n v="3458"/>
    <n v="57"/>
    <x v="0"/>
    <x v="4"/>
    <x v="4"/>
    <x v="0"/>
  </r>
  <r>
    <x v="257"/>
    <x v="1"/>
    <n v="5"/>
    <x v="198"/>
    <s v="25-08-2016"/>
    <x v="5"/>
    <x v="18"/>
    <x v="18"/>
    <x v="1"/>
    <n v="8"/>
    <x v="18"/>
    <s v="IN"/>
    <s v="02-09-2016"/>
    <n v="859"/>
    <n v="730"/>
    <n v="84.982537834691513"/>
    <n v="6.8731082654249125"/>
    <n v="5904"/>
    <n v="7.6006984866123402"/>
    <n v="625"/>
    <n v="6529"/>
    <n v="50"/>
    <x v="0"/>
    <x v="1"/>
    <x v="5"/>
    <x v="0"/>
  </r>
  <r>
    <x v="258"/>
    <x v="0"/>
    <n v="7"/>
    <x v="199"/>
    <s v="06-04-2016"/>
    <x v="0"/>
    <x v="0"/>
    <x v="0"/>
    <x v="0"/>
    <n v="8"/>
    <x v="0"/>
    <s v="MI"/>
    <s v="21-03-2016"/>
    <n v="560"/>
    <n v="560"/>
    <n v="100"/>
    <n v="0.18035714285714285"/>
    <n v="101"/>
    <n v="1.0249999999999999"/>
    <n v="473"/>
    <n v="574"/>
    <n v="63"/>
    <x v="0"/>
    <x v="8"/>
    <x v="39"/>
    <x v="1"/>
  </r>
  <r>
    <x v="259"/>
    <x v="1"/>
    <n v="8"/>
    <x v="187"/>
    <s v="03-05-2016"/>
    <x v="7"/>
    <x v="6"/>
    <x v="6"/>
    <x v="4"/>
    <n v="8"/>
    <x v="6"/>
    <s v="IN"/>
    <s v="09-05-2016"/>
    <n v="1175"/>
    <n v="420"/>
    <n v="35.744680851063833"/>
    <n v="2.0825531914893616"/>
    <n v="2447"/>
    <n v="2.6791489361702125"/>
    <n v="701"/>
    <n v="3148"/>
    <n v="79"/>
    <x v="0"/>
    <x v="3"/>
    <x v="28"/>
    <x v="0"/>
  </r>
  <r>
    <x v="260"/>
    <x v="0"/>
    <n v="5"/>
    <x v="200"/>
    <s v="26-08-2016"/>
    <x v="5"/>
    <x v="22"/>
    <x v="22"/>
    <x v="0"/>
    <n v="8"/>
    <x v="22"/>
    <s v="IL"/>
    <s v="03-09-2016"/>
    <n v="991"/>
    <n v="656"/>
    <n v="66.195761856710391"/>
    <n v="0.42482341069626639"/>
    <n v="421"/>
    <n v="0.58728557013118066"/>
    <n v="161"/>
    <n v="582"/>
    <n v="62"/>
    <x v="0"/>
    <x v="5"/>
    <x v="5"/>
    <x v="0"/>
  </r>
  <r>
    <x v="261"/>
    <x v="0"/>
    <n v="7"/>
    <x v="201"/>
    <s v="12-07-2016"/>
    <x v="3"/>
    <x v="2"/>
    <x v="2"/>
    <x v="1"/>
    <n v="8"/>
    <x v="2"/>
    <s v="IL"/>
    <s v="21-03-2016"/>
    <n v="794"/>
    <n v="575"/>
    <n v="72.418136020151138"/>
    <n v="1.8110831234256928"/>
    <n v="1438"/>
    <n v="1.9760705289672544"/>
    <n v="131"/>
    <n v="1569"/>
    <n v="61"/>
    <x v="0"/>
    <x v="5"/>
    <x v="40"/>
    <x v="1"/>
  </r>
  <r>
    <x v="262"/>
    <x v="0"/>
    <n v="5"/>
    <x v="19"/>
    <s v="09-07-2016"/>
    <x v="3"/>
    <x v="9"/>
    <x v="9"/>
    <x v="3"/>
    <n v="8"/>
    <x v="9"/>
    <s v="IN"/>
    <s v="15-07-2016"/>
    <n v="535"/>
    <n v="442"/>
    <n v="82.616822429906549"/>
    <n v="8.4130841121495319"/>
    <n v="4501"/>
    <n v="8.8317757009345801"/>
    <n v="224"/>
    <n v="4725"/>
    <n v="66"/>
    <x v="0"/>
    <x v="6"/>
    <x v="28"/>
    <x v="0"/>
  </r>
  <r>
    <x v="263"/>
    <x v="0"/>
    <n v="5"/>
    <x v="202"/>
    <s v="08-03-2016"/>
    <x v="1"/>
    <x v="13"/>
    <x v="13"/>
    <x v="1"/>
    <n v="8"/>
    <x v="13"/>
    <s v="OH"/>
    <s v="16-03-2016"/>
    <n v="529"/>
    <n v="450"/>
    <n v="85.066162570888466"/>
    <n v="11.368620037807183"/>
    <n v="6014"/>
    <n v="12.359168241965973"/>
    <n v="524"/>
    <n v="6538"/>
    <n v="53"/>
    <x v="0"/>
    <x v="2"/>
    <x v="5"/>
    <x v="0"/>
  </r>
  <r>
    <x v="264"/>
    <x v="0"/>
    <n v="8"/>
    <x v="128"/>
    <s v="16-05-2016"/>
    <x v="7"/>
    <x v="12"/>
    <x v="12"/>
    <x v="3"/>
    <n v="8"/>
    <x v="12"/>
    <s v="MI"/>
    <s v="21-05-2016"/>
    <n v="868"/>
    <n v="235"/>
    <n v="27.073732718894011"/>
    <n v="9.0264976958525338"/>
    <n v="7835"/>
    <n v="9.5023041474654377"/>
    <n v="413"/>
    <n v="8248"/>
    <n v="93"/>
    <x v="0"/>
    <x v="9"/>
    <x v="41"/>
    <x v="0"/>
  </r>
  <r>
    <x v="265"/>
    <x v="0"/>
    <n v="7"/>
    <x v="129"/>
    <s v="17-01-2016"/>
    <x v="4"/>
    <x v="7"/>
    <x v="7"/>
    <x v="5"/>
    <n v="8"/>
    <x v="7"/>
    <s v="WI"/>
    <s v="24-01-2016"/>
    <n v="970"/>
    <n v="497"/>
    <n v="51.237113402061851"/>
    <n v="7.9814432989690722"/>
    <n v="7742"/>
    <n v="8.9556701030927837"/>
    <n v="945"/>
    <n v="8687"/>
    <n v="63"/>
    <x v="0"/>
    <x v="8"/>
    <x v="4"/>
    <x v="0"/>
  </r>
  <r>
    <x v="266"/>
    <x v="1"/>
    <n v="8"/>
    <x v="203"/>
    <s v="01-08-2016"/>
    <x v="5"/>
    <x v="14"/>
    <x v="14"/>
    <x v="1"/>
    <n v="8"/>
    <x v="14"/>
    <s v="IL"/>
    <s v="09-08-2016"/>
    <n v="369"/>
    <n v="320"/>
    <n v="86.72086720867209"/>
    <n v="15.59349593495935"/>
    <n v="5754"/>
    <n v="17.208672086720867"/>
    <n v="596"/>
    <n v="6350"/>
    <n v="82"/>
    <x v="0"/>
    <x v="4"/>
    <x v="5"/>
    <x v="0"/>
  </r>
  <r>
    <x v="267"/>
    <x v="1"/>
    <n v="5"/>
    <x v="26"/>
    <s v="02-05-2016"/>
    <x v="7"/>
    <x v="9"/>
    <x v="9"/>
    <x v="3"/>
    <n v="8"/>
    <x v="9"/>
    <s v="IN"/>
    <s v="07-05-2016"/>
    <n v="1152"/>
    <n v="312"/>
    <n v="27.083333333333332"/>
    <n v="1.0494791666666667"/>
    <n v="1209"/>
    <n v="1.7005208333333333"/>
    <n v="750"/>
    <n v="1959"/>
    <n v="78"/>
    <x v="0"/>
    <x v="3"/>
    <x v="41"/>
    <x v="0"/>
  </r>
  <r>
    <x v="268"/>
    <x v="1"/>
    <n v="5"/>
    <x v="204"/>
    <s v="14-08-2016"/>
    <x v="5"/>
    <x v="5"/>
    <x v="5"/>
    <x v="3"/>
    <n v="8"/>
    <x v="5"/>
    <s v="IA"/>
    <s v="22-08-2016"/>
    <n v="468"/>
    <n v="294"/>
    <n v="62.820512820512818"/>
    <n v="1.6196581196581197"/>
    <n v="758"/>
    <n v="3.7029914529914532"/>
    <n v="975"/>
    <n v="1733"/>
    <n v="59"/>
    <x v="0"/>
    <x v="6"/>
    <x v="5"/>
    <x v="0"/>
  </r>
  <r>
    <x v="269"/>
    <x v="0"/>
    <n v="5"/>
    <x v="205"/>
    <s v="02-03-2016"/>
    <x v="1"/>
    <x v="6"/>
    <x v="6"/>
    <x v="4"/>
    <n v="8"/>
    <x v="6"/>
    <s v="IN"/>
    <s v="10-03-2016"/>
    <n v="754"/>
    <n v="350"/>
    <n v="46.419098143236077"/>
    <n v="6.0623342175066313"/>
    <n v="4571"/>
    <n v="6.316976127320955"/>
    <n v="192"/>
    <n v="4763"/>
    <n v="92"/>
    <x v="0"/>
    <x v="1"/>
    <x v="5"/>
    <x v="0"/>
  </r>
  <r>
    <x v="270"/>
    <x v="0"/>
    <n v="6"/>
    <x v="206"/>
    <s v="06-05-2016"/>
    <x v="7"/>
    <x v="15"/>
    <x v="15"/>
    <x v="4"/>
    <n v="8"/>
    <x v="15"/>
    <s v="IL"/>
    <s v="14-05-2016"/>
    <n v="1138"/>
    <n v="356"/>
    <n v="31.282952548330407"/>
    <n v="1.6968365553602811"/>
    <n v="1931"/>
    <n v="1.9323374340949033"/>
    <n v="268"/>
    <n v="2199"/>
    <n v="78"/>
    <x v="0"/>
    <x v="0"/>
    <x v="5"/>
    <x v="0"/>
  </r>
  <r>
    <x v="271"/>
    <x v="0"/>
    <n v="4"/>
    <x v="207"/>
    <s v="17-04-2016"/>
    <x v="0"/>
    <x v="23"/>
    <x v="23"/>
    <x v="1"/>
    <n v="8"/>
    <x v="23"/>
    <s v="WI"/>
    <s v="25-04-2016"/>
    <n v="312"/>
    <n v="312"/>
    <n v="100"/>
    <n v="24.891025641025642"/>
    <n v="7766"/>
    <n v="20.147435897435898"/>
    <n v="-1480"/>
    <n v="6286"/>
    <n v="97"/>
    <x v="0"/>
    <x v="4"/>
    <x v="5"/>
    <x v="0"/>
  </r>
  <r>
    <x v="272"/>
    <x v="1"/>
    <n v="7"/>
    <x v="208"/>
    <s v="01-02-2016"/>
    <x v="2"/>
    <x v="10"/>
    <x v="10"/>
    <x v="1"/>
    <n v="8"/>
    <x v="10"/>
    <s v="IL"/>
    <s v="09-02-2016"/>
    <n v="1192"/>
    <n v="663"/>
    <n v="55.62080536912751"/>
    <n v="3.1224832214765099"/>
    <n v="3722"/>
    <n v="3.9068791946308723"/>
    <n v="935"/>
    <n v="4657"/>
    <n v="85"/>
    <x v="0"/>
    <x v="3"/>
    <x v="5"/>
    <x v="0"/>
  </r>
  <r>
    <x v="273"/>
    <x v="1"/>
    <n v="7"/>
    <x v="209"/>
    <s v="11-05-2016"/>
    <x v="7"/>
    <x v="22"/>
    <x v="22"/>
    <x v="0"/>
    <n v="8"/>
    <x v="22"/>
    <s v="IL"/>
    <s v="19-05-2016"/>
    <n v="246"/>
    <n v="246"/>
    <n v="100"/>
    <n v="21.752032520325205"/>
    <n v="5351"/>
    <n v="23.150406504065042"/>
    <n v="344"/>
    <n v="5695"/>
    <n v="81"/>
    <x v="0"/>
    <x v="9"/>
    <x v="5"/>
    <x v="0"/>
  </r>
  <r>
    <x v="274"/>
    <x v="0"/>
    <n v="4"/>
    <x v="210"/>
    <s v="25-06-2016"/>
    <x v="6"/>
    <x v="3"/>
    <x v="3"/>
    <x v="2"/>
    <n v="8"/>
    <x v="3"/>
    <s v="IL"/>
    <s v="21-03-2016"/>
    <n v="452"/>
    <n v="452"/>
    <n v="100"/>
    <n v="6.0088495575221241"/>
    <n v="2716"/>
    <n v="8.8495575221238937E-2"/>
    <n v="-2676"/>
    <n v="40"/>
    <n v="88"/>
    <x v="0"/>
    <x v="0"/>
    <x v="42"/>
    <x v="1"/>
  </r>
  <r>
    <x v="275"/>
    <x v="0"/>
    <n v="5"/>
    <x v="164"/>
    <s v="24-02-2016"/>
    <x v="2"/>
    <x v="20"/>
    <x v="20"/>
    <x v="1"/>
    <n v="8"/>
    <x v="20"/>
    <s v="IL"/>
    <s v="21-03-2016"/>
    <n v="703"/>
    <n v="703"/>
    <n v="100"/>
    <n v="7.4338549075391178"/>
    <n v="5226"/>
    <n v="7.9644381223328589"/>
    <n v="373"/>
    <n v="5599"/>
    <n v="76"/>
    <x v="0"/>
    <x v="8"/>
    <x v="43"/>
    <x v="0"/>
  </r>
  <r>
    <x v="276"/>
    <x v="1"/>
    <n v="4"/>
    <x v="211"/>
    <s v="18-04-2016"/>
    <x v="0"/>
    <x v="10"/>
    <x v="10"/>
    <x v="1"/>
    <n v="8"/>
    <x v="10"/>
    <s v="IL"/>
    <s v="24-04-2016"/>
    <n v="379"/>
    <n v="379"/>
    <n v="100"/>
    <n v="8.9208443271767806"/>
    <n v="3381"/>
    <n v="4.7414248021108181"/>
    <n v="-1584"/>
    <n v="1797"/>
    <n v="62"/>
    <x v="0"/>
    <x v="2"/>
    <x v="28"/>
    <x v="0"/>
  </r>
  <r>
    <x v="277"/>
    <x v="1"/>
    <n v="4"/>
    <x v="212"/>
    <s v="29-03-2016"/>
    <x v="1"/>
    <x v="14"/>
    <x v="14"/>
    <x v="1"/>
    <n v="8"/>
    <x v="14"/>
    <s v="IL"/>
    <s v="05-04-2016"/>
    <n v="716"/>
    <n v="445"/>
    <n v="62.150837988826815"/>
    <n v="11.615921787709498"/>
    <n v="8317"/>
    <n v="8.460893854748603"/>
    <n v="-2259"/>
    <n v="6058"/>
    <n v="64"/>
    <x v="0"/>
    <x v="9"/>
    <x v="4"/>
    <x v="0"/>
  </r>
  <r>
    <x v="278"/>
    <x v="1"/>
    <n v="4"/>
    <x v="213"/>
    <s v="02-06-2016"/>
    <x v="6"/>
    <x v="11"/>
    <x v="11"/>
    <x v="2"/>
    <n v="8"/>
    <x v="11"/>
    <s v="MI"/>
    <s v="10-06-2016"/>
    <n v="332"/>
    <n v="310"/>
    <n v="93.373493975903614"/>
    <n v="16.807228915662652"/>
    <n v="5580"/>
    <n v="11.945783132530121"/>
    <n v="-1614"/>
    <n v="3966"/>
    <n v="54"/>
    <x v="0"/>
    <x v="8"/>
    <x v="5"/>
    <x v="0"/>
  </r>
  <r>
    <x v="279"/>
    <x v="1"/>
    <n v="5"/>
    <x v="214"/>
    <s v="28-03-2016"/>
    <x v="1"/>
    <x v="18"/>
    <x v="18"/>
    <x v="1"/>
    <n v="8"/>
    <x v="18"/>
    <s v="IN"/>
    <s v="05-04-2016"/>
    <n v="213"/>
    <n v="213"/>
    <n v="100"/>
    <n v="10.065727699530516"/>
    <n v="2144"/>
    <n v="13.309859154929578"/>
    <n v="691"/>
    <n v="2835"/>
    <n v="69"/>
    <x v="0"/>
    <x v="8"/>
    <x v="5"/>
    <x v="0"/>
  </r>
  <r>
    <x v="280"/>
    <x v="0"/>
    <n v="6"/>
    <x v="215"/>
    <s v="22-05-2016"/>
    <x v="7"/>
    <x v="23"/>
    <x v="23"/>
    <x v="1"/>
    <n v="8"/>
    <x v="23"/>
    <s v="WI"/>
    <s v="30-05-2016"/>
    <n v="1148"/>
    <n v="701"/>
    <n v="61.062717770034844"/>
    <n v="1.2012195121951219"/>
    <n v="1379"/>
    <n v="1.382404181184669"/>
    <n v="208"/>
    <n v="1587"/>
    <n v="98"/>
    <x v="0"/>
    <x v="8"/>
    <x v="5"/>
    <x v="0"/>
  </r>
  <r>
    <x v="281"/>
    <x v="0"/>
    <n v="2"/>
    <x v="40"/>
    <s v="31-03-2016"/>
    <x v="1"/>
    <x v="4"/>
    <x v="4"/>
    <x v="2"/>
    <n v="8"/>
    <x v="4"/>
    <s v="MI"/>
    <s v="05-04-2016"/>
    <n v="1149"/>
    <n v="435"/>
    <n v="37.859007832898172"/>
    <n v="1.6092254134029591"/>
    <n v="1849"/>
    <n v="2.2402088772845952"/>
    <n v="725"/>
    <n v="2574"/>
    <n v="95"/>
    <x v="0"/>
    <x v="4"/>
    <x v="41"/>
    <x v="0"/>
  </r>
  <r>
    <x v="282"/>
    <x v="2"/>
    <n v="6"/>
    <x v="41"/>
    <s v="12-06-2016"/>
    <x v="6"/>
    <x v="21"/>
    <x v="21"/>
    <x v="2"/>
    <n v="8"/>
    <x v="21"/>
    <s v="IL"/>
    <s v="17-06-2016"/>
    <n v="801"/>
    <n v="730"/>
    <n v="91.136079900124841"/>
    <n v="9.191011235955056"/>
    <n v="7362"/>
    <n v="9.4631710362047432"/>
    <n v="218"/>
    <n v="7580"/>
    <n v="67"/>
    <x v="0"/>
    <x v="3"/>
    <x v="41"/>
    <x v="0"/>
  </r>
  <r>
    <x v="283"/>
    <x v="2"/>
    <n v="5"/>
    <x v="216"/>
    <s v="16-04-2016"/>
    <x v="0"/>
    <x v="20"/>
    <x v="20"/>
    <x v="1"/>
    <n v="8"/>
    <x v="20"/>
    <s v="IL"/>
    <s v="21-03-2016"/>
    <n v="937"/>
    <n v="794"/>
    <n v="84.738527214514406"/>
    <n v="7.9754535752401283"/>
    <n v="7473"/>
    <n v="9.0341515474919962"/>
    <n v="992"/>
    <n v="8465"/>
    <n v="57"/>
    <x v="0"/>
    <x v="5"/>
    <x v="44"/>
    <x v="1"/>
  </r>
  <r>
    <x v="284"/>
    <x v="0"/>
    <n v="3"/>
    <x v="217"/>
    <s v="16-04-2016"/>
    <x v="0"/>
    <x v="7"/>
    <x v="7"/>
    <x v="5"/>
    <n v="8"/>
    <x v="7"/>
    <s v="WI"/>
    <s v="23-04-2016"/>
    <n v="886"/>
    <n v="724"/>
    <n v="81.715575620767495"/>
    <n v="5.9988713318284423"/>
    <n v="5315"/>
    <n v="6.9751693002257333"/>
    <n v="865"/>
    <n v="6180"/>
    <n v="67"/>
    <x v="0"/>
    <x v="9"/>
    <x v="4"/>
    <x v="0"/>
  </r>
  <r>
    <x v="285"/>
    <x v="0"/>
    <n v="1"/>
    <x v="87"/>
    <s v="11-07-2016"/>
    <x v="3"/>
    <x v="21"/>
    <x v="21"/>
    <x v="2"/>
    <n v="8"/>
    <x v="21"/>
    <s v="IL"/>
    <s v="19-07-2016"/>
    <n v="1108"/>
    <n v="346"/>
    <n v="31.227436823104693"/>
    <n v="3.3140794223826715"/>
    <n v="3672"/>
    <n v="7.2057761732851988"/>
    <n v="4312"/>
    <n v="7984"/>
    <n v="51"/>
    <x v="0"/>
    <x v="6"/>
    <x v="5"/>
    <x v="0"/>
  </r>
  <r>
    <x v="286"/>
    <x v="0"/>
    <n v="2"/>
    <x v="218"/>
    <s v="09-08-2016"/>
    <x v="5"/>
    <x v="8"/>
    <x v="8"/>
    <x v="3"/>
    <n v="8"/>
    <x v="8"/>
    <s v="OH"/>
    <s v="14-08-2016"/>
    <n v="561"/>
    <n v="372"/>
    <n v="66.310160427807489"/>
    <n v="2.0017825311942961"/>
    <n v="1123"/>
    <n v="3.2317290552584672"/>
    <n v="690"/>
    <n v="1813"/>
    <n v="59"/>
    <x v="0"/>
    <x v="1"/>
    <x v="41"/>
    <x v="0"/>
  </r>
  <r>
    <x v="287"/>
    <x v="0"/>
    <n v="6"/>
    <x v="219"/>
    <s v="29-06-2016"/>
    <x v="6"/>
    <x v="11"/>
    <x v="11"/>
    <x v="2"/>
    <n v="8"/>
    <x v="11"/>
    <s v="MI"/>
    <s v="06-07-2016"/>
    <n v="845"/>
    <n v="554"/>
    <n v="65.562130177514788"/>
    <n v="7.6497041420118341"/>
    <n v="6464"/>
    <n v="7.9680473372781062"/>
    <n v="269"/>
    <n v="6733"/>
    <n v="100"/>
    <x v="0"/>
    <x v="7"/>
    <x v="4"/>
    <x v="0"/>
  </r>
  <r>
    <x v="288"/>
    <x v="0"/>
    <n v="1"/>
    <x v="193"/>
    <s v="29-06-2016"/>
    <x v="6"/>
    <x v="3"/>
    <x v="3"/>
    <x v="2"/>
    <n v="8"/>
    <x v="3"/>
    <s v="IL"/>
    <s v="07-07-2016"/>
    <n v="1002"/>
    <n v="350"/>
    <n v="34.930139720558884"/>
    <n v="6.1097804391217565"/>
    <n v="6122"/>
    <n v="9.6237524950099793"/>
    <n v="3521"/>
    <n v="9643"/>
    <n v="74"/>
    <x v="0"/>
    <x v="4"/>
    <x v="5"/>
    <x v="0"/>
  </r>
  <r>
    <x v="289"/>
    <x v="0"/>
    <n v="6"/>
    <x v="8"/>
    <s v="29-01-2016"/>
    <x v="4"/>
    <x v="2"/>
    <x v="2"/>
    <x v="1"/>
    <n v="8"/>
    <x v="2"/>
    <s v="IL"/>
    <s v="21-03-2016"/>
    <n v="831"/>
    <n v="490"/>
    <n v="58.96510228640193"/>
    <n v="10.167268351383875"/>
    <n v="8449"/>
    <n v="10.578820697954272"/>
    <n v="342"/>
    <n v="8791"/>
    <n v="51"/>
    <x v="0"/>
    <x v="7"/>
    <x v="45"/>
    <x v="0"/>
  </r>
  <r>
    <x v="290"/>
    <x v="0"/>
    <n v="1"/>
    <x v="220"/>
    <s v="07-08-2016"/>
    <x v="5"/>
    <x v="10"/>
    <x v="10"/>
    <x v="1"/>
    <n v="8"/>
    <x v="10"/>
    <s v="IL"/>
    <s v="13-08-2016"/>
    <n v="629"/>
    <n v="248"/>
    <n v="39.427662957074723"/>
    <n v="6.9014308426073132"/>
    <n v="4341"/>
    <n v="13.947535771065183"/>
    <n v="4432"/>
    <n v="8773"/>
    <n v="97"/>
    <x v="0"/>
    <x v="2"/>
    <x v="28"/>
    <x v="0"/>
  </r>
  <r>
    <x v="291"/>
    <x v="2"/>
    <n v="3"/>
    <x v="221"/>
    <s v="18-05-2016"/>
    <x v="7"/>
    <x v="15"/>
    <x v="15"/>
    <x v="4"/>
    <n v="8"/>
    <x v="15"/>
    <s v="IL"/>
    <s v="26-05-2016"/>
    <n v="499"/>
    <n v="366"/>
    <n v="73.346693386773538"/>
    <n v="14.364729458917836"/>
    <n v="7168"/>
    <n v="15.410821643286573"/>
    <n v="522"/>
    <n v="7690"/>
    <n v="59"/>
    <x v="0"/>
    <x v="3"/>
    <x v="5"/>
    <x v="0"/>
  </r>
  <r>
    <x v="292"/>
    <x v="2"/>
    <n v="3"/>
    <x v="222"/>
    <s v="19-04-2016"/>
    <x v="0"/>
    <x v="9"/>
    <x v="9"/>
    <x v="3"/>
    <n v="8"/>
    <x v="9"/>
    <s v="IN"/>
    <s v="27-04-2016"/>
    <n v="731"/>
    <n v="441"/>
    <n v="60.328317373461019"/>
    <n v="2.0150478796169629"/>
    <n v="1473"/>
    <n v="2.4445964432284542"/>
    <n v="314"/>
    <n v="1787"/>
    <n v="91"/>
    <x v="0"/>
    <x v="9"/>
    <x v="5"/>
    <x v="0"/>
  </r>
  <r>
    <x v="293"/>
    <x v="2"/>
    <n v="1"/>
    <x v="223"/>
    <s v="15-04-2016"/>
    <x v="0"/>
    <x v="11"/>
    <x v="11"/>
    <x v="2"/>
    <n v="8"/>
    <x v="11"/>
    <s v="MI"/>
    <s v="22-04-2016"/>
    <n v="704"/>
    <n v="330"/>
    <n v="46.875"/>
    <n v="7.6505681818181817"/>
    <n v="5386"/>
    <n v="13.866477272727273"/>
    <n v="4376"/>
    <n v="9762"/>
    <n v="57"/>
    <x v="0"/>
    <x v="8"/>
    <x v="4"/>
    <x v="0"/>
  </r>
  <r>
    <x v="294"/>
    <x v="2"/>
    <n v="5"/>
    <x v="224"/>
    <s v="30-07-2016"/>
    <x v="3"/>
    <x v="22"/>
    <x v="22"/>
    <x v="0"/>
    <n v="8"/>
    <x v="22"/>
    <s v="IL"/>
    <s v="07-08-2016"/>
    <n v="645"/>
    <n v="645"/>
    <n v="100"/>
    <n v="10.693023255813953"/>
    <n v="6897"/>
    <n v="11.431007751937985"/>
    <n v="476"/>
    <n v="7373"/>
    <n v="63"/>
    <x v="0"/>
    <x v="1"/>
    <x v="5"/>
    <x v="0"/>
  </r>
  <r>
    <x v="295"/>
    <x v="0"/>
    <n v="6"/>
    <x v="177"/>
    <s v="11-04-2016"/>
    <x v="0"/>
    <x v="2"/>
    <x v="2"/>
    <x v="1"/>
    <n v="8"/>
    <x v="2"/>
    <s v="IL"/>
    <s v="21-03-2016"/>
    <n v="279"/>
    <n v="262"/>
    <n v="93.906810035842298"/>
    <n v="28.168458781362006"/>
    <n v="7859"/>
    <n v="31.577060931899641"/>
    <n v="951"/>
    <n v="8810"/>
    <n v="68"/>
    <x v="0"/>
    <x v="9"/>
    <x v="46"/>
    <x v="1"/>
  </r>
  <r>
    <x v="296"/>
    <x v="0"/>
    <n v="4"/>
    <x v="58"/>
    <s v="08-02-2016"/>
    <x v="2"/>
    <x v="4"/>
    <x v="4"/>
    <x v="2"/>
    <n v="8"/>
    <x v="4"/>
    <s v="MI"/>
    <s v="15-02-2016"/>
    <n v="601"/>
    <n v="566"/>
    <n v="94.176372712146431"/>
    <n v="7.8569051580698837"/>
    <n v="4722"/>
    <n v="4.2379367720465888"/>
    <n v="-2175"/>
    <n v="2547"/>
    <n v="79"/>
    <x v="0"/>
    <x v="3"/>
    <x v="4"/>
    <x v="0"/>
  </r>
  <r>
    <x v="297"/>
    <x v="0"/>
    <n v="5"/>
    <x v="225"/>
    <s v="26-07-2016"/>
    <x v="3"/>
    <x v="17"/>
    <x v="17"/>
    <x v="3"/>
    <n v="8"/>
    <x v="17"/>
    <s v="OH"/>
    <s v="03-08-2016"/>
    <n v="778"/>
    <n v="336"/>
    <n v="43.18766066838046"/>
    <n v="3.4100257069408739"/>
    <n v="2653"/>
    <n v="3.9498714652956299"/>
    <n v="420"/>
    <n v="3073"/>
    <n v="51"/>
    <x v="0"/>
    <x v="9"/>
    <x v="5"/>
    <x v="0"/>
  </r>
  <r>
    <x v="298"/>
    <x v="2"/>
    <n v="1"/>
    <x v="226"/>
    <s v="22-01-2016"/>
    <x v="4"/>
    <x v="10"/>
    <x v="10"/>
    <x v="1"/>
    <n v="8"/>
    <x v="10"/>
    <s v="IL"/>
    <s v="28-01-2016"/>
    <n v="737"/>
    <n v="211"/>
    <n v="28.629579375848031"/>
    <n v="0.35549525101763907"/>
    <n v="262"/>
    <n v="7.2455902306648579"/>
    <n v="5078"/>
    <n v="5340"/>
    <n v="56"/>
    <x v="0"/>
    <x v="8"/>
    <x v="28"/>
    <x v="0"/>
  </r>
  <r>
    <x v="299"/>
    <x v="0"/>
    <n v="6"/>
    <x v="227"/>
    <s v="16-05-2016"/>
    <x v="7"/>
    <x v="14"/>
    <x v="14"/>
    <x v="1"/>
    <n v="8"/>
    <x v="14"/>
    <s v="IL"/>
    <s v="22-05-2016"/>
    <n v="358"/>
    <n v="358"/>
    <n v="100"/>
    <n v="22.558659217877096"/>
    <n v="8076"/>
    <n v="24.354748603351954"/>
    <n v="643"/>
    <n v="8719"/>
    <n v="52"/>
    <x v="0"/>
    <x v="7"/>
    <x v="28"/>
    <x v="0"/>
  </r>
  <r>
    <x v="300"/>
    <x v="2"/>
    <n v="2"/>
    <x v="228"/>
    <s v="24-01-2016"/>
    <x v="4"/>
    <x v="7"/>
    <x v="7"/>
    <x v="5"/>
    <n v="8"/>
    <x v="7"/>
    <s v="WI"/>
    <s v="31-01-2016"/>
    <n v="814"/>
    <n v="695"/>
    <n v="85.380835380835379"/>
    <n v="9.5073710073710078"/>
    <n v="7739"/>
    <n v="10.27027027027027"/>
    <n v="621"/>
    <n v="8360"/>
    <n v="64"/>
    <x v="0"/>
    <x v="0"/>
    <x v="4"/>
    <x v="0"/>
  </r>
  <r>
    <x v="301"/>
    <x v="2"/>
    <n v="3"/>
    <x v="229"/>
    <s v="18-07-2016"/>
    <x v="3"/>
    <x v="19"/>
    <x v="19"/>
    <x v="0"/>
    <n v="8"/>
    <x v="19"/>
    <s v="WI"/>
    <s v="26-07-2016"/>
    <n v="729"/>
    <n v="632"/>
    <n v="86.694101508916319"/>
    <n v="6.9780521262002742"/>
    <n v="5087"/>
    <n v="7.4320987654320989"/>
    <n v="331"/>
    <n v="5418"/>
    <n v="70"/>
    <x v="0"/>
    <x v="3"/>
    <x v="5"/>
    <x v="0"/>
  </r>
  <r>
    <x v="302"/>
    <x v="2"/>
    <n v="1"/>
    <x v="230"/>
    <s v="01-07-2016"/>
    <x v="3"/>
    <x v="6"/>
    <x v="6"/>
    <x v="4"/>
    <n v="8"/>
    <x v="6"/>
    <s v="IN"/>
    <s v="08-07-2016"/>
    <n v="830"/>
    <n v="647"/>
    <n v="77.951807228915655"/>
    <n v="0.40963855421686746"/>
    <n v="340"/>
    <n v="7.0096385542168678"/>
    <n v="5478"/>
    <n v="5818"/>
    <n v="58"/>
    <x v="0"/>
    <x v="1"/>
    <x v="4"/>
    <x v="0"/>
  </r>
  <r>
    <x v="303"/>
    <x v="2"/>
    <n v="5"/>
    <x v="231"/>
    <s v="09-05-2016"/>
    <x v="7"/>
    <x v="5"/>
    <x v="5"/>
    <x v="3"/>
    <n v="8"/>
    <x v="5"/>
    <s v="IA"/>
    <s v="17-05-2016"/>
    <n v="482"/>
    <n v="481"/>
    <n v="99.792531120331944"/>
    <n v="1.5394190871369295"/>
    <n v="742"/>
    <n v="3.4834024896265561"/>
    <n v="937"/>
    <n v="1679"/>
    <n v="54"/>
    <x v="0"/>
    <x v="1"/>
    <x v="5"/>
    <x v="0"/>
  </r>
  <r>
    <x v="304"/>
    <x v="0"/>
    <n v="6"/>
    <x v="232"/>
    <s v="25-05-2016"/>
    <x v="7"/>
    <x v="13"/>
    <x v="13"/>
    <x v="1"/>
    <n v="8"/>
    <x v="13"/>
    <s v="OH"/>
    <s v="02-06-2016"/>
    <n v="484"/>
    <n v="399"/>
    <n v="82.438016528925615"/>
    <n v="6.7252066115702478"/>
    <n v="3255"/>
    <n v="7.9028925619834709"/>
    <n v="570"/>
    <n v="3825"/>
    <n v="80"/>
    <x v="0"/>
    <x v="5"/>
    <x v="5"/>
    <x v="0"/>
  </r>
  <r>
    <x v="305"/>
    <x v="0"/>
    <n v="1"/>
    <x v="233"/>
    <s v="06-08-2016"/>
    <x v="5"/>
    <x v="20"/>
    <x v="20"/>
    <x v="1"/>
    <n v="8"/>
    <x v="20"/>
    <s v="IL"/>
    <s v="21-03-2016"/>
    <n v="700"/>
    <n v="388"/>
    <n v="55.428571428571431"/>
    <n v="3.907142857142857"/>
    <n v="2735"/>
    <n v="10.767142857142858"/>
    <n v="4802"/>
    <n v="7537"/>
    <n v="96"/>
    <x v="0"/>
    <x v="6"/>
    <x v="47"/>
    <x v="1"/>
  </r>
  <r>
    <x v="306"/>
    <x v="0"/>
    <n v="3"/>
    <x v="234"/>
    <s v="03-06-2016"/>
    <x v="6"/>
    <x v="1"/>
    <x v="1"/>
    <x v="1"/>
    <n v="8"/>
    <x v="1"/>
    <s v="WI"/>
    <s v="11-06-2016"/>
    <n v="365"/>
    <n v="333"/>
    <n v="91.232876712328775"/>
    <n v="7.161643835616438"/>
    <n v="2614"/>
    <n v="9.4767123287671229"/>
    <n v="845"/>
    <n v="3459"/>
    <n v="55"/>
    <x v="0"/>
    <x v="9"/>
    <x v="5"/>
    <x v="0"/>
  </r>
  <r>
    <x v="307"/>
    <x v="2"/>
    <n v="3"/>
    <x v="235"/>
    <s v="25-02-2016"/>
    <x v="2"/>
    <x v="16"/>
    <x v="16"/>
    <x v="4"/>
    <n v="8"/>
    <x v="16"/>
    <s v="MI"/>
    <s v="21-03-2016"/>
    <n v="883"/>
    <n v="326"/>
    <n v="36.919592298980746"/>
    <n v="5.2412231030577576"/>
    <n v="4628"/>
    <n v="6.0011325028312568"/>
    <n v="671"/>
    <n v="5299"/>
    <n v="60"/>
    <x v="0"/>
    <x v="8"/>
    <x v="48"/>
    <x v="0"/>
  </r>
  <r>
    <x v="308"/>
    <x v="2"/>
    <n v="3"/>
    <x v="69"/>
    <s v="24-05-2016"/>
    <x v="7"/>
    <x v="7"/>
    <x v="7"/>
    <x v="5"/>
    <n v="8"/>
    <x v="7"/>
    <s v="WI"/>
    <s v="31-05-2016"/>
    <n v="457"/>
    <n v="457"/>
    <n v="100"/>
    <n v="3.551422319474836"/>
    <n v="1623"/>
    <n v="4.3676148796498904"/>
    <n v="373"/>
    <n v="1996"/>
    <n v="56"/>
    <x v="0"/>
    <x v="3"/>
    <x v="4"/>
    <x v="0"/>
  </r>
  <r>
    <x v="309"/>
    <x v="0"/>
    <n v="2"/>
    <x v="236"/>
    <s v="01-07-2016"/>
    <x v="3"/>
    <x v="0"/>
    <x v="0"/>
    <x v="0"/>
    <n v="8"/>
    <x v="0"/>
    <s v="MI"/>
    <s v="09-07-2016"/>
    <n v="641"/>
    <n v="327"/>
    <n v="51.014040561622465"/>
    <n v="12.566302652106085"/>
    <n v="8055"/>
    <n v="12.840873634945398"/>
    <n v="176"/>
    <n v="8231"/>
    <n v="63"/>
    <x v="0"/>
    <x v="1"/>
    <x v="5"/>
    <x v="0"/>
  </r>
  <r>
    <x v="310"/>
    <x v="2"/>
    <n v="2"/>
    <x v="9"/>
    <s v="04-02-2016"/>
    <x v="2"/>
    <x v="19"/>
    <x v="19"/>
    <x v="0"/>
    <n v="8"/>
    <x v="19"/>
    <s v="WI"/>
    <s v="12-02-2016"/>
    <n v="810"/>
    <n v="212"/>
    <n v="26.172839506172842"/>
    <n v="0.29259259259259257"/>
    <n v="237"/>
    <n v="1.3407407407407408"/>
    <n v="849"/>
    <n v="1086"/>
    <n v="55"/>
    <x v="0"/>
    <x v="2"/>
    <x v="5"/>
    <x v="0"/>
  </r>
  <r>
    <x v="311"/>
    <x v="0"/>
    <n v="5"/>
    <x v="237"/>
    <s v="24-04-2016"/>
    <x v="0"/>
    <x v="20"/>
    <x v="20"/>
    <x v="1"/>
    <n v="8"/>
    <x v="20"/>
    <s v="IL"/>
    <s v="02-05-2016"/>
    <n v="339"/>
    <n v="266"/>
    <n v="78.466076696165189"/>
    <n v="19.466076696165192"/>
    <n v="6599"/>
    <n v="21.820058997050147"/>
    <n v="798"/>
    <n v="7397"/>
    <n v="54"/>
    <x v="0"/>
    <x v="4"/>
    <x v="5"/>
    <x v="0"/>
  </r>
  <r>
    <x v="312"/>
    <x v="0"/>
    <n v="6"/>
    <x v="238"/>
    <s v="27-07-2016"/>
    <x v="3"/>
    <x v="3"/>
    <x v="3"/>
    <x v="2"/>
    <n v="8"/>
    <x v="3"/>
    <s v="IL"/>
    <s v="21-03-2016"/>
    <n v="1027"/>
    <n v="658"/>
    <n v="64.070107108081785"/>
    <n v="2.5063291139240507"/>
    <n v="2574"/>
    <n v="3.0321324245374877"/>
    <n v="540"/>
    <n v="3114"/>
    <n v="66"/>
    <x v="0"/>
    <x v="4"/>
    <x v="49"/>
    <x v="1"/>
  </r>
  <r>
    <x v="313"/>
    <x v="2"/>
    <n v="5"/>
    <x v="175"/>
    <s v="09-04-2016"/>
    <x v="0"/>
    <x v="8"/>
    <x v="8"/>
    <x v="3"/>
    <n v="8"/>
    <x v="8"/>
    <s v="OH"/>
    <s v="17-04-2016"/>
    <n v="590"/>
    <n v="590"/>
    <n v="100"/>
    <n v="10.31864406779661"/>
    <n v="6088"/>
    <n v="10.505084745762712"/>
    <n v="110"/>
    <n v="6198"/>
    <n v="96"/>
    <x v="0"/>
    <x v="9"/>
    <x v="5"/>
    <x v="0"/>
  </r>
  <r>
    <x v="314"/>
    <x v="0"/>
    <n v="2"/>
    <x v="222"/>
    <s v="04-03-2016"/>
    <x v="1"/>
    <x v="12"/>
    <x v="12"/>
    <x v="3"/>
    <n v="8"/>
    <x v="12"/>
    <s v="MI"/>
    <s v="11-03-2016"/>
    <n v="721"/>
    <n v="419"/>
    <n v="58.113730929264904"/>
    <n v="2.8030513176144245"/>
    <n v="2021"/>
    <n v="3.4646324549237169"/>
    <n v="477"/>
    <n v="2498"/>
    <n v="80"/>
    <x v="0"/>
    <x v="1"/>
    <x v="4"/>
    <x v="0"/>
  </r>
  <r>
    <x v="315"/>
    <x v="0"/>
    <n v="2"/>
    <x v="111"/>
    <s v="05-04-2016"/>
    <x v="0"/>
    <x v="21"/>
    <x v="21"/>
    <x v="2"/>
    <n v="8"/>
    <x v="21"/>
    <s v="IL"/>
    <s v="13-04-2016"/>
    <n v="811"/>
    <n v="559"/>
    <n v="68.927250308261407"/>
    <n v="10.410604192355118"/>
    <n v="8443"/>
    <n v="11.018495684340321"/>
    <n v="493"/>
    <n v="8936"/>
    <n v="51"/>
    <x v="0"/>
    <x v="7"/>
    <x v="5"/>
    <x v="0"/>
  </r>
  <r>
    <x v="316"/>
    <x v="0"/>
    <n v="3"/>
    <x v="156"/>
    <s v="07-08-2016"/>
    <x v="5"/>
    <x v="11"/>
    <x v="11"/>
    <x v="2"/>
    <n v="8"/>
    <x v="11"/>
    <s v="MI"/>
    <s v="14-08-2016"/>
    <n v="1127"/>
    <n v="255"/>
    <n v="22.626441881100266"/>
    <n v="7.4285714285714288"/>
    <n v="8372"/>
    <n v="7.8606921029281276"/>
    <n v="487"/>
    <n v="8859"/>
    <n v="61"/>
    <x v="0"/>
    <x v="7"/>
    <x v="4"/>
    <x v="0"/>
  </r>
  <r>
    <x v="317"/>
    <x v="0"/>
    <n v="2"/>
    <x v="239"/>
    <s v="26-01-2016"/>
    <x v="4"/>
    <x v="20"/>
    <x v="20"/>
    <x v="1"/>
    <n v="8"/>
    <x v="20"/>
    <s v="IL"/>
    <s v="03-02-2016"/>
    <n v="1195"/>
    <n v="798"/>
    <n v="66.778242677824267"/>
    <n v="6.9481171548117153"/>
    <n v="8303"/>
    <n v="7.0602510460251047"/>
    <n v="134"/>
    <n v="8437"/>
    <n v="61"/>
    <x v="0"/>
    <x v="7"/>
    <x v="5"/>
    <x v="0"/>
  </r>
  <r>
    <x v="318"/>
    <x v="2"/>
    <n v="3"/>
    <x v="189"/>
    <s v="24-02-2016"/>
    <x v="2"/>
    <x v="5"/>
    <x v="5"/>
    <x v="3"/>
    <n v="8"/>
    <x v="5"/>
    <s v="IA"/>
    <s v="05-03-2016"/>
    <n v="576"/>
    <n v="299"/>
    <n v="51.909722222222221"/>
    <n v="1.8663194444444444"/>
    <n v="1075"/>
    <n v="2.5138888888888888"/>
    <n v="373"/>
    <n v="1448"/>
    <n v="53"/>
    <x v="0"/>
    <x v="3"/>
    <x v="0"/>
    <x v="0"/>
  </r>
  <r>
    <x v="319"/>
    <x v="0"/>
    <n v="1"/>
    <x v="1"/>
    <s v="09-05-2016"/>
    <x v="7"/>
    <x v="20"/>
    <x v="20"/>
    <x v="1"/>
    <n v="8"/>
    <x v="20"/>
    <s v="IL"/>
    <s v="21-03-2016"/>
    <n v="543"/>
    <n v="229"/>
    <n v="42.173112338858196"/>
    <n v="11.049723756906078"/>
    <n v="6000"/>
    <n v="19.600368324125231"/>
    <n v="4643"/>
    <n v="10643"/>
    <n v="89"/>
    <x v="0"/>
    <x v="7"/>
    <x v="50"/>
    <x v="1"/>
  </r>
  <r>
    <x v="320"/>
    <x v="2"/>
    <n v="6"/>
    <x v="2"/>
    <s v="15-07-2016"/>
    <x v="3"/>
    <x v="1"/>
    <x v="1"/>
    <x v="1"/>
    <n v="8"/>
    <x v="1"/>
    <s v="WI"/>
    <s v="24-07-2016"/>
    <n v="793"/>
    <n v="793"/>
    <n v="100"/>
    <n v="2.0630517023959647"/>
    <n v="1636"/>
    <n v="3.1210592686002521"/>
    <n v="839"/>
    <n v="2475"/>
    <n v="51"/>
    <x v="0"/>
    <x v="8"/>
    <x v="2"/>
    <x v="0"/>
  </r>
  <r>
    <x v="321"/>
    <x v="2"/>
    <n v="5"/>
    <x v="39"/>
    <s v="13-06-2016"/>
    <x v="6"/>
    <x v="16"/>
    <x v="16"/>
    <x v="4"/>
    <n v="8"/>
    <x v="16"/>
    <s v="MI"/>
    <s v="21-03-2016"/>
    <n v="905"/>
    <n v="370"/>
    <n v="40.883977900552487"/>
    <n v="6.2740331491712711"/>
    <n v="5678"/>
    <n v="7.183425414364641"/>
    <n v="823"/>
    <n v="6501"/>
    <n v="90"/>
    <x v="0"/>
    <x v="1"/>
    <x v="51"/>
    <x v="1"/>
  </r>
  <r>
    <x v="322"/>
    <x v="2"/>
    <n v="1"/>
    <x v="116"/>
    <s v="05-02-2016"/>
    <x v="2"/>
    <x v="21"/>
    <x v="21"/>
    <x v="2"/>
    <n v="8"/>
    <x v="21"/>
    <s v="IL"/>
    <s v="16-02-2016"/>
    <n v="612"/>
    <n v="389"/>
    <n v="63.562091503267972"/>
    <n v="13.263071895424837"/>
    <n v="8117"/>
    <n v="21.040849673202615"/>
    <n v="4760"/>
    <n v="12877"/>
    <n v="64"/>
    <x v="0"/>
    <x v="9"/>
    <x v="24"/>
    <x v="0"/>
  </r>
  <r>
    <x v="323"/>
    <x v="0"/>
    <n v="6"/>
    <x v="240"/>
    <s v="20-07-2016"/>
    <x v="3"/>
    <x v="3"/>
    <x v="3"/>
    <x v="2"/>
    <n v="8"/>
    <x v="3"/>
    <s v="IL"/>
    <s v="29-07-2016"/>
    <n v="1134"/>
    <n v="370"/>
    <n v="32.627865961199291"/>
    <n v="6.2619047619047619"/>
    <n v="7101"/>
    <n v="6.9611992945326282"/>
    <n v="793"/>
    <n v="7894"/>
    <n v="53"/>
    <x v="0"/>
    <x v="2"/>
    <x v="2"/>
    <x v="0"/>
  </r>
  <r>
    <x v="324"/>
    <x v="2"/>
    <n v="5"/>
    <x v="120"/>
    <s v="10-08-2016"/>
    <x v="5"/>
    <x v="0"/>
    <x v="0"/>
    <x v="0"/>
    <n v="8"/>
    <x v="0"/>
    <s v="MI"/>
    <s v="18-08-2016"/>
    <n v="245"/>
    <n v="245"/>
    <n v="100"/>
    <n v="24.685714285714287"/>
    <n v="6048"/>
    <n v="27.665306122448978"/>
    <n v="730"/>
    <n v="6778"/>
    <n v="67"/>
    <x v="0"/>
    <x v="4"/>
    <x v="5"/>
    <x v="0"/>
  </r>
  <r>
    <x v="325"/>
    <x v="0"/>
    <n v="1"/>
    <x v="135"/>
    <s v="07-06-2016"/>
    <x v="6"/>
    <x v="4"/>
    <x v="4"/>
    <x v="2"/>
    <n v="8"/>
    <x v="4"/>
    <s v="MI"/>
    <s v="15-06-2016"/>
    <n v="452"/>
    <n v="380"/>
    <n v="84.070796460176993"/>
    <n v="17.342920353982301"/>
    <n v="7839"/>
    <n v="28.752212389380531"/>
    <n v="5157"/>
    <n v="12996"/>
    <n v="53"/>
    <x v="0"/>
    <x v="7"/>
    <x v="5"/>
    <x v="0"/>
  </r>
  <r>
    <x v="326"/>
    <x v="2"/>
    <n v="1"/>
    <x v="28"/>
    <s v="29-02-2016"/>
    <x v="2"/>
    <x v="21"/>
    <x v="21"/>
    <x v="2"/>
    <n v="8"/>
    <x v="21"/>
    <s v="IL"/>
    <s v="08-03-2016"/>
    <n v="429"/>
    <n v="391"/>
    <n v="91.142191142191137"/>
    <n v="4.4708624708624711"/>
    <n v="1918"/>
    <n v="12.501165501165501"/>
    <n v="3445"/>
    <n v="5363"/>
    <n v="84"/>
    <x v="0"/>
    <x v="3"/>
    <x v="5"/>
    <x v="0"/>
  </r>
  <r>
    <x v="327"/>
    <x v="2"/>
    <n v="5"/>
    <x v="241"/>
    <s v="24-01-2016"/>
    <x v="4"/>
    <x v="1"/>
    <x v="1"/>
    <x v="1"/>
    <n v="8"/>
    <x v="1"/>
    <s v="WI"/>
    <s v="21-03-2016"/>
    <n v="790"/>
    <n v="501"/>
    <n v="63.417721518987349"/>
    <n v="10.088607594936709"/>
    <n v="7970"/>
    <n v="10.649367088607596"/>
    <n v="443"/>
    <n v="8413"/>
    <n v="89"/>
    <x v="0"/>
    <x v="4"/>
    <x v="52"/>
    <x v="0"/>
  </r>
  <r>
    <x v="328"/>
    <x v="2"/>
    <n v="2"/>
    <x v="29"/>
    <s v="27-04-2016"/>
    <x v="0"/>
    <x v="19"/>
    <x v="19"/>
    <x v="0"/>
    <n v="8"/>
    <x v="19"/>
    <s v="WI"/>
    <s v="05-05-2016"/>
    <n v="405"/>
    <n v="405"/>
    <n v="100"/>
    <n v="6.261728395061728"/>
    <n v="2536"/>
    <n v="7.1876543209876544"/>
    <n v="375"/>
    <n v="2911"/>
    <n v="75"/>
    <x v="0"/>
    <x v="6"/>
    <x v="5"/>
    <x v="0"/>
  </r>
  <r>
    <x v="329"/>
    <x v="2"/>
    <n v="2"/>
    <x v="121"/>
    <s v="26-02-2016"/>
    <x v="2"/>
    <x v="23"/>
    <x v="23"/>
    <x v="1"/>
    <n v="8"/>
    <x v="23"/>
    <s v="WI"/>
    <s v="05-03-2016"/>
    <n v="918"/>
    <n v="470"/>
    <n v="51.19825708061002"/>
    <n v="3.0925925925925926"/>
    <n v="2839"/>
    <n v="3.8169934640522878"/>
    <n v="665"/>
    <n v="3504"/>
    <n v="67"/>
    <x v="0"/>
    <x v="5"/>
    <x v="5"/>
    <x v="0"/>
  </r>
  <r>
    <x v="330"/>
    <x v="0"/>
    <n v="5"/>
    <x v="242"/>
    <s v="14-06-2016"/>
    <x v="6"/>
    <x v="14"/>
    <x v="14"/>
    <x v="1"/>
    <n v="8"/>
    <x v="14"/>
    <s v="IL"/>
    <s v="22-06-2016"/>
    <n v="751"/>
    <n v="529"/>
    <n v="70.43941411451398"/>
    <n v="8.8854860186418101"/>
    <n v="6673"/>
    <n v="9.7177097203728362"/>
    <n v="625"/>
    <n v="7298"/>
    <n v="69"/>
    <x v="0"/>
    <x v="6"/>
    <x v="5"/>
    <x v="0"/>
  </r>
  <r>
    <x v="331"/>
    <x v="2"/>
    <n v="2"/>
    <x v="243"/>
    <s v="13-05-2016"/>
    <x v="7"/>
    <x v="20"/>
    <x v="20"/>
    <x v="1"/>
    <n v="8"/>
    <x v="20"/>
    <s v="IL"/>
    <s v="21-05-2016"/>
    <n v="606"/>
    <n v="588"/>
    <n v="97.029702970297024"/>
    <n v="8.4009900990099009"/>
    <n v="5091"/>
    <n v="9.4158415841584162"/>
    <n v="615"/>
    <n v="5706"/>
    <n v="88"/>
    <x v="0"/>
    <x v="5"/>
    <x v="5"/>
    <x v="0"/>
  </r>
  <r>
    <x v="332"/>
    <x v="0"/>
    <n v="6"/>
    <x v="244"/>
    <s v="28-02-2016"/>
    <x v="2"/>
    <x v="12"/>
    <x v="12"/>
    <x v="3"/>
    <n v="8"/>
    <x v="12"/>
    <s v="MI"/>
    <s v="07-03-2016"/>
    <n v="1158"/>
    <n v="319"/>
    <n v="27.547495682210709"/>
    <n v="6.5129533678756477"/>
    <n v="7542"/>
    <n v="6.8696027633851466"/>
    <n v="413"/>
    <n v="7955"/>
    <n v="76"/>
    <x v="0"/>
    <x v="7"/>
    <x v="5"/>
    <x v="0"/>
  </r>
  <r>
    <x v="333"/>
    <x v="0"/>
    <n v="2"/>
    <x v="245"/>
    <s v="09-06-2016"/>
    <x v="6"/>
    <x v="17"/>
    <x v="17"/>
    <x v="3"/>
    <n v="8"/>
    <x v="17"/>
    <s v="OH"/>
    <s v="17-06-2016"/>
    <n v="744"/>
    <n v="464"/>
    <n v="62.365591397849464"/>
    <n v="3.8938172043010755"/>
    <n v="2897"/>
    <n v="4.508064516129032"/>
    <n v="457"/>
    <n v="3354"/>
    <n v="65"/>
    <x v="0"/>
    <x v="2"/>
    <x v="5"/>
    <x v="0"/>
  </r>
  <r>
    <x v="334"/>
    <x v="2"/>
    <n v="4"/>
    <x v="184"/>
    <s v="28-04-2016"/>
    <x v="0"/>
    <x v="15"/>
    <x v="15"/>
    <x v="4"/>
    <n v="8"/>
    <x v="15"/>
    <s v="IL"/>
    <s v="06-05-2016"/>
    <n v="555"/>
    <n v="207"/>
    <n v="37.297297297297298"/>
    <n v="11.911711711711712"/>
    <n v="6611"/>
    <n v="7.8090090090090092"/>
    <n v="-2277"/>
    <n v="4334"/>
    <n v="61"/>
    <x v="0"/>
    <x v="2"/>
    <x v="5"/>
    <x v="0"/>
  </r>
  <r>
    <x v="335"/>
    <x v="0"/>
    <n v="5"/>
    <x v="14"/>
    <s v="15-02-2016"/>
    <x v="2"/>
    <x v="16"/>
    <x v="16"/>
    <x v="4"/>
    <n v="8"/>
    <x v="16"/>
    <s v="MI"/>
    <s v="21-03-2016"/>
    <n v="521"/>
    <n v="521"/>
    <n v="100"/>
    <n v="4.8944337811900196"/>
    <n v="2550"/>
    <n v="5.3992322456813824"/>
    <n v="263"/>
    <n v="2813"/>
    <n v="55"/>
    <x v="0"/>
    <x v="6"/>
    <x v="53"/>
    <x v="0"/>
  </r>
  <r>
    <x v="336"/>
    <x v="2"/>
    <n v="6"/>
    <x v="185"/>
    <s v="23-04-2016"/>
    <x v="0"/>
    <x v="12"/>
    <x v="12"/>
    <x v="3"/>
    <n v="8"/>
    <x v="12"/>
    <s v="MI"/>
    <s v="29-04-2016"/>
    <n v="230"/>
    <n v="230"/>
    <n v="100"/>
    <n v="38.047826086956519"/>
    <n v="8751"/>
    <n v="38.565217391304351"/>
    <n v="119"/>
    <n v="8870"/>
    <n v="52"/>
    <x v="0"/>
    <x v="9"/>
    <x v="28"/>
    <x v="0"/>
  </r>
  <r>
    <x v="337"/>
    <x v="2"/>
    <n v="6"/>
    <x v="188"/>
    <s v="31-08-2016"/>
    <x v="5"/>
    <x v="10"/>
    <x v="10"/>
    <x v="1"/>
    <n v="8"/>
    <x v="10"/>
    <s v="IL"/>
    <s v="08-09-2016"/>
    <n v="881"/>
    <n v="456"/>
    <n v="51.759364358683314"/>
    <n v="2.8217934165720773"/>
    <n v="2486"/>
    <n v="3.8036322360953463"/>
    <n v="865"/>
    <n v="3351"/>
    <n v="75"/>
    <x v="0"/>
    <x v="2"/>
    <x v="5"/>
    <x v="0"/>
  </r>
  <r>
    <x v="338"/>
    <x v="0"/>
    <n v="2"/>
    <x v="62"/>
    <s v="06-03-2016"/>
    <x v="1"/>
    <x v="2"/>
    <x v="2"/>
    <x v="1"/>
    <n v="8"/>
    <x v="2"/>
    <s v="IL"/>
    <s v="21-03-2016"/>
    <n v="862"/>
    <n v="773"/>
    <n v="89.675174013921108"/>
    <n v="6.1728538283062644"/>
    <n v="5321"/>
    <n v="7.3027842227378192"/>
    <n v="974"/>
    <n v="6295"/>
    <n v="90"/>
    <x v="0"/>
    <x v="1"/>
    <x v="25"/>
    <x v="0"/>
  </r>
  <r>
    <x v="339"/>
    <x v="1"/>
    <n v="5"/>
    <x v="20"/>
    <s v="06-06-2016"/>
    <x v="6"/>
    <x v="9"/>
    <x v="9"/>
    <x v="3"/>
    <n v="7"/>
    <x v="9"/>
    <s v="IN"/>
    <s v="13-06-2016"/>
    <n v="694"/>
    <n v="243"/>
    <n v="35.014409221902014"/>
    <n v="7.4048991354466862"/>
    <n v="5139"/>
    <n v="8.7896253602305467"/>
    <n v="961"/>
    <n v="6100"/>
    <n v="68"/>
    <x v="0"/>
    <x v="1"/>
    <x v="4"/>
    <x v="0"/>
  </r>
  <r>
    <x v="340"/>
    <x v="1"/>
    <n v="7"/>
    <x v="102"/>
    <s v="13-04-2016"/>
    <x v="0"/>
    <x v="11"/>
    <x v="11"/>
    <x v="2"/>
    <n v="7"/>
    <x v="11"/>
    <s v="MI"/>
    <s v="18-04-2016"/>
    <n v="435"/>
    <n v="435"/>
    <n v="100"/>
    <n v="4.0505747126436784"/>
    <n v="1762"/>
    <n v="5.3839080459770114"/>
    <n v="580"/>
    <n v="2342"/>
    <n v="89"/>
    <x v="0"/>
    <x v="9"/>
    <x v="41"/>
    <x v="0"/>
  </r>
  <r>
    <x v="341"/>
    <x v="1"/>
    <n v="5"/>
    <x v="229"/>
    <s v="09-04-2016"/>
    <x v="0"/>
    <x v="6"/>
    <x v="6"/>
    <x v="4"/>
    <n v="7"/>
    <x v="6"/>
    <s v="IN"/>
    <s v="14-04-2016"/>
    <n v="220"/>
    <n v="220"/>
    <n v="100"/>
    <n v="22.654545454545456"/>
    <n v="4984"/>
    <n v="24.640909090909091"/>
    <n v="437"/>
    <n v="5421"/>
    <n v="71"/>
    <x v="0"/>
    <x v="8"/>
    <x v="41"/>
    <x v="0"/>
  </r>
  <r>
    <x v="342"/>
    <x v="0"/>
    <n v="4"/>
    <x v="22"/>
    <s v="02-04-2016"/>
    <x v="0"/>
    <x v="10"/>
    <x v="10"/>
    <x v="1"/>
    <n v="7"/>
    <x v="10"/>
    <s v="IL"/>
    <s v="09-04-2016"/>
    <n v="1187"/>
    <n v="742"/>
    <n v="62.510530749789382"/>
    <n v="5.090985678180286"/>
    <n v="6043"/>
    <n v="3.5846672283066554"/>
    <n v="-1788"/>
    <n v="4255"/>
    <n v="52"/>
    <x v="0"/>
    <x v="9"/>
    <x v="4"/>
    <x v="0"/>
  </r>
  <r>
    <x v="343"/>
    <x v="0"/>
    <n v="4"/>
    <x v="45"/>
    <s v="28-01-2016"/>
    <x v="4"/>
    <x v="3"/>
    <x v="3"/>
    <x v="2"/>
    <n v="7"/>
    <x v="3"/>
    <s v="IL"/>
    <s v="21-03-2016"/>
    <n v="239"/>
    <n v="239"/>
    <n v="100"/>
    <n v="9.6861924686192467"/>
    <n v="2315"/>
    <n v="2.4309623430962342"/>
    <n v="-1734"/>
    <n v="581"/>
    <n v="58"/>
    <x v="0"/>
    <x v="7"/>
    <x v="54"/>
    <x v="0"/>
  </r>
  <r>
    <x v="344"/>
    <x v="1"/>
    <n v="7"/>
    <x v="172"/>
    <s v="25-03-2016"/>
    <x v="1"/>
    <x v="5"/>
    <x v="5"/>
    <x v="3"/>
    <n v="7"/>
    <x v="5"/>
    <s v="IA"/>
    <s v="01-04-2016"/>
    <n v="400"/>
    <n v="400"/>
    <n v="100"/>
    <n v="17.352499999999999"/>
    <n v="6941"/>
    <n v="17.7575"/>
    <n v="162"/>
    <n v="7103"/>
    <n v="74"/>
    <x v="0"/>
    <x v="9"/>
    <x v="4"/>
    <x v="0"/>
  </r>
  <r>
    <x v="345"/>
    <x v="1"/>
    <n v="5"/>
    <x v="246"/>
    <s v="06-03-2016"/>
    <x v="1"/>
    <x v="7"/>
    <x v="7"/>
    <x v="5"/>
    <n v="7"/>
    <x v="7"/>
    <s v="WI"/>
    <s v="10-03-2016"/>
    <n v="988"/>
    <n v="333"/>
    <n v="33.704453441295549"/>
    <n v="0.30971659919028338"/>
    <n v="306"/>
    <n v="0.92813765182186236"/>
    <n v="611"/>
    <n v="917"/>
    <n v="80"/>
    <x v="0"/>
    <x v="9"/>
    <x v="1"/>
    <x v="0"/>
  </r>
  <r>
    <x v="346"/>
    <x v="1"/>
    <n v="4"/>
    <x v="247"/>
    <s v="24-05-2016"/>
    <x v="7"/>
    <x v="18"/>
    <x v="18"/>
    <x v="1"/>
    <n v="7"/>
    <x v="18"/>
    <s v="IN"/>
    <s v="31-05-2016"/>
    <n v="322"/>
    <n v="322"/>
    <n v="100"/>
    <n v="7.6770186335403725"/>
    <n v="2472"/>
    <n v="1.9006211180124224"/>
    <n v="-1860"/>
    <n v="612"/>
    <n v="63"/>
    <x v="0"/>
    <x v="3"/>
    <x v="4"/>
    <x v="0"/>
  </r>
  <r>
    <x v="347"/>
    <x v="0"/>
    <n v="7"/>
    <x v="248"/>
    <s v="22-05-2016"/>
    <x v="7"/>
    <x v="9"/>
    <x v="9"/>
    <x v="3"/>
    <n v="7"/>
    <x v="9"/>
    <s v="IN"/>
    <s v="29-05-2016"/>
    <n v="1114"/>
    <n v="294"/>
    <n v="26.391382405745063"/>
    <n v="7.2208258527827649"/>
    <n v="8044"/>
    <n v="7.3698384201077198"/>
    <n v="166"/>
    <n v="8210"/>
    <n v="68"/>
    <x v="0"/>
    <x v="9"/>
    <x v="4"/>
    <x v="0"/>
  </r>
  <r>
    <x v="348"/>
    <x v="0"/>
    <n v="8"/>
    <x v="249"/>
    <s v="31-08-2016"/>
    <x v="5"/>
    <x v="23"/>
    <x v="23"/>
    <x v="1"/>
    <n v="7"/>
    <x v="23"/>
    <s v="WI"/>
    <s v="07-09-2016"/>
    <n v="801"/>
    <n v="427"/>
    <n v="53.308364544319595"/>
    <n v="2.7702871410736578"/>
    <n v="2219"/>
    <n v="3.303370786516854"/>
    <n v="427"/>
    <n v="2646"/>
    <n v="84"/>
    <x v="0"/>
    <x v="3"/>
    <x v="4"/>
    <x v="0"/>
  </r>
  <r>
    <x v="349"/>
    <x v="1"/>
    <n v="4"/>
    <x v="106"/>
    <s v="11-03-2016"/>
    <x v="1"/>
    <x v="0"/>
    <x v="0"/>
    <x v="0"/>
    <n v="7"/>
    <x v="0"/>
    <s v="MI"/>
    <s v="21-03-2016"/>
    <n v="697"/>
    <n v="495"/>
    <n v="71.018651362984215"/>
    <n v="3.7216642754662841"/>
    <n v="2594"/>
    <n v="1.2697274031563845"/>
    <n v="-1709"/>
    <n v="885"/>
    <n v="56"/>
    <x v="0"/>
    <x v="0"/>
    <x v="0"/>
    <x v="0"/>
  </r>
  <r>
    <x v="350"/>
    <x v="0"/>
    <n v="4"/>
    <x v="107"/>
    <s v="07-03-2016"/>
    <x v="1"/>
    <x v="22"/>
    <x v="22"/>
    <x v="0"/>
    <n v="7"/>
    <x v="22"/>
    <s v="IL"/>
    <s v="14-03-2016"/>
    <n v="393"/>
    <n v="379"/>
    <n v="96.437659033078887"/>
    <n v="4.9007633587786259"/>
    <n v="1926"/>
    <n v="0.361323155216285"/>
    <n v="-1784"/>
    <n v="142"/>
    <n v="52"/>
    <x v="0"/>
    <x v="6"/>
    <x v="4"/>
    <x v="0"/>
  </r>
  <r>
    <x v="351"/>
    <x v="1"/>
    <n v="4"/>
    <x v="241"/>
    <s v="13-08-2016"/>
    <x v="5"/>
    <x v="2"/>
    <x v="2"/>
    <x v="1"/>
    <n v="7"/>
    <x v="2"/>
    <s v="IL"/>
    <s v="21-03-2016"/>
    <n v="1146"/>
    <n v="787"/>
    <n v="68.673647469458984"/>
    <n v="1.9930191972076789"/>
    <n v="2284"/>
    <n v="0.76265270506108207"/>
    <n v="-1410"/>
    <n v="874"/>
    <n v="98"/>
    <x v="0"/>
    <x v="1"/>
    <x v="55"/>
    <x v="1"/>
  </r>
  <r>
    <x v="352"/>
    <x v="1"/>
    <n v="5"/>
    <x v="93"/>
    <s v="01-04-2016"/>
    <x v="0"/>
    <x v="21"/>
    <x v="21"/>
    <x v="2"/>
    <n v="7"/>
    <x v="21"/>
    <s v="IL"/>
    <s v="06-04-2016"/>
    <n v="329"/>
    <n v="329"/>
    <n v="100"/>
    <n v="13.541033434650457"/>
    <n v="4455"/>
    <n v="16.580547112462007"/>
    <n v="1000"/>
    <n v="5455"/>
    <n v="90"/>
    <x v="0"/>
    <x v="9"/>
    <x v="41"/>
    <x v="0"/>
  </r>
  <r>
    <x v="353"/>
    <x v="1"/>
    <n v="7"/>
    <x v="242"/>
    <s v="29-03-2016"/>
    <x v="1"/>
    <x v="5"/>
    <x v="5"/>
    <x v="3"/>
    <n v="7"/>
    <x v="5"/>
    <s v="IA"/>
    <s v="05-04-2016"/>
    <n v="211"/>
    <n v="211"/>
    <n v="100"/>
    <n v="29.014218009478672"/>
    <n v="6122"/>
    <n v="33.639810426540286"/>
    <n v="976"/>
    <n v="7098"/>
    <n v="53"/>
    <x v="0"/>
    <x v="9"/>
    <x v="4"/>
    <x v="0"/>
  </r>
  <r>
    <x v="354"/>
    <x v="0"/>
    <n v="6"/>
    <x v="175"/>
    <s v="25-04-2016"/>
    <x v="0"/>
    <x v="10"/>
    <x v="10"/>
    <x v="1"/>
    <n v="7"/>
    <x v="10"/>
    <s v="IL"/>
    <s v="01-05-2016"/>
    <n v="735"/>
    <n v="735"/>
    <n v="100"/>
    <n v="1.1183673469387756"/>
    <n v="822"/>
    <n v="2.3469387755102042"/>
    <n v="903"/>
    <n v="1725"/>
    <n v="78"/>
    <x v="0"/>
    <x v="3"/>
    <x v="28"/>
    <x v="0"/>
  </r>
  <r>
    <x v="355"/>
    <x v="1"/>
    <n v="5"/>
    <x v="109"/>
    <s v="08-06-2016"/>
    <x v="6"/>
    <x v="16"/>
    <x v="16"/>
    <x v="4"/>
    <n v="7"/>
    <x v="16"/>
    <s v="MI"/>
    <s v="21-03-2016"/>
    <n v="1146"/>
    <n v="670"/>
    <n v="58.464223385689351"/>
    <n v="5.9930191972076789"/>
    <n v="6868"/>
    <n v="6.2251308900523563"/>
    <n v="266"/>
    <n v="7134"/>
    <n v="92"/>
    <x v="0"/>
    <x v="9"/>
    <x v="56"/>
    <x v="1"/>
  </r>
  <r>
    <x v="356"/>
    <x v="0"/>
    <n v="8"/>
    <x v="30"/>
    <s v="30-05-2016"/>
    <x v="7"/>
    <x v="21"/>
    <x v="21"/>
    <x v="2"/>
    <n v="7"/>
    <x v="21"/>
    <s v="IL"/>
    <s v="06-06-2016"/>
    <n v="489"/>
    <n v="437"/>
    <n v="89.366053169734144"/>
    <n v="3.1676891615541924"/>
    <n v="1549"/>
    <n v="3.7648261758691208"/>
    <n v="292"/>
    <n v="1841"/>
    <n v="100"/>
    <x v="0"/>
    <x v="8"/>
    <x v="4"/>
    <x v="0"/>
  </r>
  <r>
    <x v="357"/>
    <x v="1"/>
    <n v="8"/>
    <x v="197"/>
    <s v="21-06-2016"/>
    <x v="6"/>
    <x v="9"/>
    <x v="9"/>
    <x v="3"/>
    <n v="7"/>
    <x v="9"/>
    <s v="IN"/>
    <s v="28-06-2016"/>
    <n v="658"/>
    <n v="658"/>
    <n v="100"/>
    <n v="7.9984802431610946"/>
    <n v="5263"/>
    <n v="8.9255319148936163"/>
    <n v="610"/>
    <n v="5873"/>
    <n v="77"/>
    <x v="0"/>
    <x v="7"/>
    <x v="4"/>
    <x v="0"/>
  </r>
  <r>
    <x v="358"/>
    <x v="0"/>
    <n v="4"/>
    <x v="250"/>
    <s v="06-01-2016"/>
    <x v="4"/>
    <x v="0"/>
    <x v="0"/>
    <x v="0"/>
    <n v="7"/>
    <x v="0"/>
    <s v="MI"/>
    <s v="13-01-2016"/>
    <n v="352"/>
    <n v="352"/>
    <n v="100"/>
    <n v="13.838068181818182"/>
    <n v="4871"/>
    <n v="8.6818181818181817"/>
    <n v="-1815"/>
    <n v="3056"/>
    <n v="62"/>
    <x v="0"/>
    <x v="1"/>
    <x v="4"/>
    <x v="0"/>
  </r>
  <r>
    <x v="359"/>
    <x v="1"/>
    <n v="6"/>
    <x v="251"/>
    <s v="28-08-2016"/>
    <x v="5"/>
    <x v="18"/>
    <x v="18"/>
    <x v="1"/>
    <n v="7"/>
    <x v="18"/>
    <s v="IN"/>
    <s v="04-09-2016"/>
    <n v="575"/>
    <n v="575"/>
    <n v="100"/>
    <n v="4.8660869565217393"/>
    <n v="2798"/>
    <n v="6.4521739130434783"/>
    <n v="912"/>
    <n v="3710"/>
    <n v="55"/>
    <x v="0"/>
    <x v="9"/>
    <x v="4"/>
    <x v="0"/>
  </r>
  <r>
    <x v="360"/>
    <x v="0"/>
    <n v="6"/>
    <x v="252"/>
    <s v="06-07-2016"/>
    <x v="3"/>
    <x v="23"/>
    <x v="23"/>
    <x v="1"/>
    <n v="7"/>
    <x v="23"/>
    <s v="WI"/>
    <s v="13-07-2016"/>
    <n v="464"/>
    <n v="275"/>
    <n v="59.267241379310342"/>
    <n v="2.896551724137931"/>
    <n v="1344"/>
    <n v="3.6120689655172415"/>
    <n v="332"/>
    <n v="1676"/>
    <n v="100"/>
    <x v="0"/>
    <x v="5"/>
    <x v="4"/>
    <x v="0"/>
  </r>
  <r>
    <x v="361"/>
    <x v="0"/>
    <n v="7"/>
    <x v="233"/>
    <s v="18-04-2016"/>
    <x v="0"/>
    <x v="20"/>
    <x v="20"/>
    <x v="1"/>
    <n v="7"/>
    <x v="20"/>
    <s v="IL"/>
    <s v="25-04-2016"/>
    <n v="834"/>
    <n v="569"/>
    <n v="68.225419664268586"/>
    <n v="0.684652278177458"/>
    <n v="571"/>
    <n v="1.6726618705035972"/>
    <n v="824"/>
    <n v="1395"/>
    <n v="95"/>
    <x v="0"/>
    <x v="3"/>
    <x v="4"/>
    <x v="0"/>
  </r>
  <r>
    <x v="362"/>
    <x v="0"/>
    <n v="4"/>
    <x v="49"/>
    <s v="11-05-2016"/>
    <x v="7"/>
    <x v="12"/>
    <x v="12"/>
    <x v="3"/>
    <n v="7"/>
    <x v="12"/>
    <s v="MI"/>
    <s v="18-05-2016"/>
    <n v="297"/>
    <n v="297"/>
    <n v="100"/>
    <n v="14.218855218855218"/>
    <n v="4223"/>
    <n v="7.9090909090909092"/>
    <n v="-1874"/>
    <n v="2349"/>
    <n v="68"/>
    <x v="0"/>
    <x v="2"/>
    <x v="4"/>
    <x v="0"/>
  </r>
  <r>
    <x v="363"/>
    <x v="1"/>
    <n v="7"/>
    <x v="253"/>
    <s v="27-05-2016"/>
    <x v="7"/>
    <x v="17"/>
    <x v="17"/>
    <x v="3"/>
    <n v="7"/>
    <x v="17"/>
    <s v="OH"/>
    <s v="03-06-2016"/>
    <n v="200"/>
    <n v="200"/>
    <n v="100"/>
    <n v="10.11"/>
    <n v="2022"/>
    <n v="12.695"/>
    <n v="517"/>
    <n v="2539"/>
    <n v="92"/>
    <x v="0"/>
    <x v="9"/>
    <x v="4"/>
    <x v="0"/>
  </r>
  <r>
    <x v="364"/>
    <x v="1"/>
    <n v="4"/>
    <x v="105"/>
    <s v="15-07-2016"/>
    <x v="3"/>
    <x v="9"/>
    <x v="9"/>
    <x v="3"/>
    <n v="7"/>
    <x v="9"/>
    <s v="IN"/>
    <s v="20-07-2016"/>
    <n v="835"/>
    <n v="497"/>
    <n v="59.520958083832333"/>
    <n v="5.5365269461077844"/>
    <n v="4623"/>
    <n v="3.1185628742514968"/>
    <n v="-2019"/>
    <n v="2604"/>
    <n v="98"/>
    <x v="0"/>
    <x v="1"/>
    <x v="41"/>
    <x v="0"/>
  </r>
  <r>
    <x v="365"/>
    <x v="1"/>
    <n v="4"/>
    <x v="254"/>
    <s v="07-02-2016"/>
    <x v="2"/>
    <x v="8"/>
    <x v="8"/>
    <x v="3"/>
    <n v="7"/>
    <x v="8"/>
    <s v="OH"/>
    <s v="14-02-2016"/>
    <n v="706"/>
    <n v="436"/>
    <n v="61.756373937677054"/>
    <n v="7.951841359773371"/>
    <n v="5614"/>
    <n v="5.2308781869688383"/>
    <n v="-1921"/>
    <n v="3693"/>
    <n v="72"/>
    <x v="0"/>
    <x v="0"/>
    <x v="4"/>
    <x v="0"/>
  </r>
  <r>
    <x v="366"/>
    <x v="1"/>
    <n v="4"/>
    <x v="255"/>
    <s v="05-06-2016"/>
    <x v="6"/>
    <x v="15"/>
    <x v="15"/>
    <x v="4"/>
    <n v="7"/>
    <x v="15"/>
    <s v="IL"/>
    <s v="12-06-2016"/>
    <n v="923"/>
    <n v="527"/>
    <n v="57.096424702058499"/>
    <n v="2.6868905742145177"/>
    <n v="2480"/>
    <n v="0.29144095341278442"/>
    <n v="-2211"/>
    <n v="269"/>
    <n v="73"/>
    <x v="0"/>
    <x v="8"/>
    <x v="4"/>
    <x v="0"/>
  </r>
  <r>
    <x v="367"/>
    <x v="0"/>
    <n v="5"/>
    <x v="248"/>
    <s v="25-01-2016"/>
    <x v="4"/>
    <x v="12"/>
    <x v="12"/>
    <x v="3"/>
    <n v="7"/>
    <x v="12"/>
    <s v="MI"/>
    <s v="31-01-2016"/>
    <n v="487"/>
    <n v="426"/>
    <n v="87.474332648870629"/>
    <n v="4.3347022587268995"/>
    <n v="2111"/>
    <n v="5.0308008213552364"/>
    <n v="339"/>
    <n v="2450"/>
    <n v="63"/>
    <x v="0"/>
    <x v="6"/>
    <x v="28"/>
    <x v="0"/>
  </r>
  <r>
    <x v="368"/>
    <x v="1"/>
    <n v="7"/>
    <x v="256"/>
    <s v="13-05-2016"/>
    <x v="7"/>
    <x v="0"/>
    <x v="0"/>
    <x v="0"/>
    <n v="7"/>
    <x v="0"/>
    <s v="MI"/>
    <s v="20-05-2016"/>
    <n v="1138"/>
    <n v="221"/>
    <n v="19.420035149384884"/>
    <n v="6.7451669595782073"/>
    <n v="7676"/>
    <n v="7.1599297012302285"/>
    <n v="472"/>
    <n v="8148"/>
    <n v="92"/>
    <x v="0"/>
    <x v="8"/>
    <x v="4"/>
    <x v="0"/>
  </r>
  <r>
    <x v="369"/>
    <x v="1"/>
    <n v="4"/>
    <x v="257"/>
    <s v="29-05-2016"/>
    <x v="7"/>
    <x v="2"/>
    <x v="2"/>
    <x v="1"/>
    <n v="7"/>
    <x v="2"/>
    <s v="IL"/>
    <s v="05-06-2016"/>
    <n v="894"/>
    <n v="789"/>
    <n v="88.255033557046985"/>
    <n v="8.6800894854586126"/>
    <n v="7760"/>
    <n v="6.4317673378076066"/>
    <n v="-2010"/>
    <n v="5750"/>
    <n v="50"/>
    <x v="0"/>
    <x v="7"/>
    <x v="4"/>
    <x v="0"/>
  </r>
  <r>
    <x v="370"/>
    <x v="1"/>
    <n v="8"/>
    <x v="52"/>
    <s v="21-02-2016"/>
    <x v="2"/>
    <x v="10"/>
    <x v="10"/>
    <x v="1"/>
    <n v="7"/>
    <x v="10"/>
    <s v="IL"/>
    <s v="28-02-2016"/>
    <n v="307"/>
    <n v="307"/>
    <n v="100"/>
    <n v="9.866449511400651"/>
    <n v="3029"/>
    <n v="12.967426710097721"/>
    <n v="952"/>
    <n v="3981"/>
    <n v="91"/>
    <x v="0"/>
    <x v="6"/>
    <x v="4"/>
    <x v="0"/>
  </r>
  <r>
    <x v="371"/>
    <x v="0"/>
    <n v="8"/>
    <x v="242"/>
    <s v="15-02-2016"/>
    <x v="2"/>
    <x v="21"/>
    <x v="21"/>
    <x v="2"/>
    <n v="7"/>
    <x v="21"/>
    <s v="IL"/>
    <s v="20-02-2016"/>
    <n v="795"/>
    <n v="687"/>
    <n v="86.415094339622641"/>
    <n v="5.0993710691823901"/>
    <n v="4054"/>
    <n v="5.6981132075471699"/>
    <n v="476"/>
    <n v="4530"/>
    <n v="82"/>
    <x v="0"/>
    <x v="8"/>
    <x v="41"/>
    <x v="0"/>
  </r>
  <r>
    <x v="372"/>
    <x v="0"/>
    <n v="8"/>
    <x v="258"/>
    <s v="09-06-2016"/>
    <x v="6"/>
    <x v="16"/>
    <x v="16"/>
    <x v="4"/>
    <n v="7"/>
    <x v="16"/>
    <s v="MI"/>
    <s v="16-06-2016"/>
    <n v="369"/>
    <n v="229"/>
    <n v="62.059620596205967"/>
    <n v="14.536585365853659"/>
    <n v="5364"/>
    <n v="17.070460704607047"/>
    <n v="935"/>
    <n v="6299"/>
    <n v="82"/>
    <x v="0"/>
    <x v="7"/>
    <x v="4"/>
    <x v="0"/>
  </r>
  <r>
    <x v="373"/>
    <x v="1"/>
    <n v="6"/>
    <x v="259"/>
    <s v="24-02-2016"/>
    <x v="2"/>
    <x v="5"/>
    <x v="5"/>
    <x v="3"/>
    <n v="7"/>
    <x v="5"/>
    <s v="IA"/>
    <s v="02-03-2016"/>
    <n v="767"/>
    <n v="677"/>
    <n v="88.265971316818764"/>
    <n v="4.4445893089960888"/>
    <n v="3409"/>
    <n v="5.3780964797913953"/>
    <n v="716"/>
    <n v="4125"/>
    <n v="99"/>
    <x v="0"/>
    <x v="5"/>
    <x v="4"/>
    <x v="0"/>
  </r>
  <r>
    <x v="374"/>
    <x v="1"/>
    <n v="4"/>
    <x v="260"/>
    <s v="11-05-2016"/>
    <x v="7"/>
    <x v="10"/>
    <x v="10"/>
    <x v="1"/>
    <n v="7"/>
    <x v="10"/>
    <s v="IL"/>
    <s v="16-05-2016"/>
    <n v="451"/>
    <n v="451"/>
    <n v="100"/>
    <n v="15.368070953436806"/>
    <n v="6931"/>
    <n v="11"/>
    <n v="-1970"/>
    <n v="4961"/>
    <n v="50"/>
    <x v="0"/>
    <x v="7"/>
    <x v="41"/>
    <x v="0"/>
  </r>
  <r>
    <x v="375"/>
    <x v="1"/>
    <n v="5"/>
    <x v="57"/>
    <s v="15-02-2016"/>
    <x v="2"/>
    <x v="11"/>
    <x v="11"/>
    <x v="2"/>
    <n v="7"/>
    <x v="11"/>
    <s v="MI"/>
    <s v="22-02-2016"/>
    <n v="877"/>
    <n v="232"/>
    <n v="26.453819840364879"/>
    <n v="7.3728620296465222"/>
    <n v="6466"/>
    <n v="7.5324971493728619"/>
    <n v="140"/>
    <n v="6606"/>
    <n v="74"/>
    <x v="0"/>
    <x v="0"/>
    <x v="4"/>
    <x v="0"/>
  </r>
  <r>
    <x v="376"/>
    <x v="1"/>
    <n v="8"/>
    <x v="211"/>
    <s v="03-04-2016"/>
    <x v="0"/>
    <x v="4"/>
    <x v="4"/>
    <x v="2"/>
    <n v="7"/>
    <x v="4"/>
    <s v="MI"/>
    <s v="10-04-2016"/>
    <n v="957"/>
    <n v="217"/>
    <n v="22.675026123301986"/>
    <n v="6.1786833855799372"/>
    <n v="5913"/>
    <n v="6.9299895506792062"/>
    <n v="719"/>
    <n v="6632"/>
    <n v="93"/>
    <x v="0"/>
    <x v="2"/>
    <x v="4"/>
    <x v="0"/>
  </r>
  <r>
    <x v="377"/>
    <x v="1"/>
    <n v="8"/>
    <x v="179"/>
    <s v="17-02-2016"/>
    <x v="2"/>
    <x v="11"/>
    <x v="11"/>
    <x v="2"/>
    <n v="7"/>
    <x v="11"/>
    <s v="MI"/>
    <s v="22-02-2016"/>
    <n v="586"/>
    <n v="586"/>
    <n v="100"/>
    <n v="8.2081911262798641"/>
    <n v="4810"/>
    <n v="8.8617747440273043"/>
    <n v="383"/>
    <n v="5193"/>
    <n v="92"/>
    <x v="0"/>
    <x v="0"/>
    <x v="41"/>
    <x v="0"/>
  </r>
  <r>
    <x v="378"/>
    <x v="1"/>
    <n v="8"/>
    <x v="261"/>
    <s v="13-02-2016"/>
    <x v="2"/>
    <x v="12"/>
    <x v="12"/>
    <x v="3"/>
    <n v="7"/>
    <x v="12"/>
    <s v="MI"/>
    <s v="20-02-2016"/>
    <n v="766"/>
    <n v="233"/>
    <n v="30.417754569190603"/>
    <n v="1.4033942558746737"/>
    <n v="1075"/>
    <n v="2.3394255874673631"/>
    <n v="717"/>
    <n v="1792"/>
    <n v="96"/>
    <x v="0"/>
    <x v="5"/>
    <x v="4"/>
    <x v="0"/>
  </r>
  <r>
    <x v="379"/>
    <x v="1"/>
    <n v="7"/>
    <x v="64"/>
    <s v="01-01-2016"/>
    <x v="4"/>
    <x v="6"/>
    <x v="6"/>
    <x v="4"/>
    <n v="7"/>
    <x v="6"/>
    <s v="IN"/>
    <s v="08-01-2016"/>
    <n v="402"/>
    <n v="402"/>
    <n v="100"/>
    <n v="1.6840796019900497"/>
    <n v="677"/>
    <n v="2.2661691542288556"/>
    <n v="234"/>
    <n v="911"/>
    <n v="98"/>
    <x v="0"/>
    <x v="2"/>
    <x v="4"/>
    <x v="0"/>
  </r>
  <r>
    <x v="380"/>
    <x v="0"/>
    <n v="5"/>
    <x v="159"/>
    <s v="15-06-2016"/>
    <x v="6"/>
    <x v="0"/>
    <x v="0"/>
    <x v="0"/>
    <n v="7"/>
    <x v="0"/>
    <s v="MI"/>
    <s v="21-03-2016"/>
    <n v="965"/>
    <n v="311"/>
    <n v="32.2279792746114"/>
    <n v="7.9316062176165802"/>
    <n v="7654"/>
    <n v="8.6186528497409327"/>
    <n v="663"/>
    <n v="8317"/>
    <n v="89"/>
    <x v="0"/>
    <x v="7"/>
    <x v="57"/>
    <x v="1"/>
  </r>
  <r>
    <x v="381"/>
    <x v="1"/>
    <n v="7"/>
    <x v="219"/>
    <s v="12-01-2016"/>
    <x v="4"/>
    <x v="12"/>
    <x v="12"/>
    <x v="3"/>
    <n v="7"/>
    <x v="12"/>
    <s v="MI"/>
    <s v="19-01-2016"/>
    <n v="319"/>
    <n v="319"/>
    <n v="100"/>
    <n v="4.9216300940438868"/>
    <n v="1570"/>
    <n v="7.8620689655172411"/>
    <n v="938"/>
    <n v="2508"/>
    <n v="61"/>
    <x v="0"/>
    <x v="1"/>
    <x v="4"/>
    <x v="0"/>
  </r>
  <r>
    <x v="382"/>
    <x v="1"/>
    <n v="8"/>
    <x v="236"/>
    <s v="10-03-2016"/>
    <x v="1"/>
    <x v="3"/>
    <x v="3"/>
    <x v="2"/>
    <n v="7"/>
    <x v="3"/>
    <s v="IL"/>
    <s v="21-03-2016"/>
    <n v="1018"/>
    <n v="484"/>
    <n v="47.544204322200393"/>
    <n v="5.9322200392927309"/>
    <n v="6039"/>
    <n v="6.4106090373280944"/>
    <n v="487"/>
    <n v="6526"/>
    <n v="73"/>
    <x v="0"/>
    <x v="6"/>
    <x v="24"/>
    <x v="0"/>
  </r>
  <r>
    <x v="383"/>
    <x v="1"/>
    <n v="6"/>
    <x v="262"/>
    <s v="06-03-2016"/>
    <x v="1"/>
    <x v="20"/>
    <x v="20"/>
    <x v="1"/>
    <n v="7"/>
    <x v="20"/>
    <s v="IL"/>
    <s v="21-03-2016"/>
    <n v="467"/>
    <n v="363"/>
    <n v="77.730192719486084"/>
    <n v="13.293361884368309"/>
    <n v="6208"/>
    <n v="15.423982869379016"/>
    <n v="995"/>
    <n v="7203"/>
    <n v="88"/>
    <x v="0"/>
    <x v="1"/>
    <x v="25"/>
    <x v="0"/>
  </r>
  <r>
    <x v="384"/>
    <x v="0"/>
    <n v="5"/>
    <x v="133"/>
    <s v="02-05-2016"/>
    <x v="7"/>
    <x v="14"/>
    <x v="14"/>
    <x v="1"/>
    <n v="7"/>
    <x v="14"/>
    <s v="IL"/>
    <s v="06-05-2016"/>
    <n v="519"/>
    <n v="427"/>
    <n v="82.273603082851636"/>
    <n v="1.7822736030828517"/>
    <n v="925"/>
    <n v="2.9691714836223508"/>
    <n v="616"/>
    <n v="1541"/>
    <n v="51"/>
    <x v="0"/>
    <x v="1"/>
    <x v="1"/>
    <x v="0"/>
  </r>
  <r>
    <x v="385"/>
    <x v="0"/>
    <n v="8"/>
    <x v="220"/>
    <s v="26-06-2016"/>
    <x v="6"/>
    <x v="4"/>
    <x v="4"/>
    <x v="2"/>
    <n v="7"/>
    <x v="4"/>
    <s v="MI"/>
    <s v="03-07-2016"/>
    <n v="265"/>
    <n v="265"/>
    <n v="100"/>
    <n v="8.6981132075471699"/>
    <n v="2305"/>
    <n v="12.158490566037736"/>
    <n v="917"/>
    <n v="3222"/>
    <n v="71"/>
    <x v="0"/>
    <x v="5"/>
    <x v="4"/>
    <x v="0"/>
  </r>
  <r>
    <x v="386"/>
    <x v="1"/>
    <n v="8"/>
    <x v="263"/>
    <s v="12-01-2016"/>
    <x v="4"/>
    <x v="18"/>
    <x v="18"/>
    <x v="1"/>
    <n v="7"/>
    <x v="18"/>
    <s v="IN"/>
    <s v="19-01-2016"/>
    <n v="842"/>
    <n v="455"/>
    <n v="54.038004750593828"/>
    <n v="6.8182897862232776"/>
    <n v="5741"/>
    <n v="7.8586698337292162"/>
    <n v="876"/>
    <n v="6617"/>
    <n v="61"/>
    <x v="0"/>
    <x v="0"/>
    <x v="4"/>
    <x v="0"/>
  </r>
  <r>
    <x v="387"/>
    <x v="0"/>
    <n v="7"/>
    <x v="264"/>
    <s v="16-03-2016"/>
    <x v="1"/>
    <x v="11"/>
    <x v="11"/>
    <x v="2"/>
    <n v="7"/>
    <x v="11"/>
    <s v="MI"/>
    <s v="22-03-2016"/>
    <n v="833"/>
    <n v="620"/>
    <n v="74.429771908763513"/>
    <n v="9.2232893157262907"/>
    <n v="7683"/>
    <n v="9.7286914765906367"/>
    <n v="421"/>
    <n v="8104"/>
    <n v="69"/>
    <x v="0"/>
    <x v="4"/>
    <x v="28"/>
    <x v="0"/>
  </r>
  <r>
    <x v="388"/>
    <x v="1"/>
    <n v="5"/>
    <x v="109"/>
    <s v="30-07-2016"/>
    <x v="3"/>
    <x v="3"/>
    <x v="3"/>
    <x v="2"/>
    <n v="7"/>
    <x v="3"/>
    <s v="IL"/>
    <s v="06-08-2016"/>
    <n v="202"/>
    <n v="202"/>
    <n v="100"/>
    <n v="28.886138613861387"/>
    <n v="5835"/>
    <n v="32.801980198019805"/>
    <n v="791"/>
    <n v="6626"/>
    <n v="88"/>
    <x v="0"/>
    <x v="7"/>
    <x v="4"/>
    <x v="0"/>
  </r>
  <r>
    <x v="389"/>
    <x v="1"/>
    <n v="4"/>
    <x v="265"/>
    <s v="08-05-2016"/>
    <x v="7"/>
    <x v="2"/>
    <x v="2"/>
    <x v="1"/>
    <n v="7"/>
    <x v="2"/>
    <s v="IL"/>
    <s v="21-03-2016"/>
    <n v="1145"/>
    <n v="238"/>
    <n v="20.786026200873362"/>
    <n v="5.6855895196506552"/>
    <n v="6510"/>
    <n v="4.2122270742358081"/>
    <n v="-1687"/>
    <n v="4823"/>
    <n v="57"/>
    <x v="0"/>
    <x v="4"/>
    <x v="58"/>
    <x v="1"/>
  </r>
  <r>
    <x v="390"/>
    <x v="1"/>
    <n v="4"/>
    <x v="266"/>
    <s v="27-04-2016"/>
    <x v="0"/>
    <x v="19"/>
    <x v="19"/>
    <x v="0"/>
    <n v="7"/>
    <x v="19"/>
    <s v="WI"/>
    <s v="01-05-2016"/>
    <n v="916"/>
    <n v="302"/>
    <n v="32.969432314410483"/>
    <n v="3.5840611353711789"/>
    <n v="3283"/>
    <n v="1.8646288209606987"/>
    <n v="-1575"/>
    <n v="1708"/>
    <n v="63"/>
    <x v="0"/>
    <x v="2"/>
    <x v="1"/>
    <x v="0"/>
  </r>
  <r>
    <x v="391"/>
    <x v="1"/>
    <n v="4"/>
    <x v="226"/>
    <s v="05-08-2016"/>
    <x v="5"/>
    <x v="4"/>
    <x v="4"/>
    <x v="2"/>
    <n v="7"/>
    <x v="4"/>
    <s v="MI"/>
    <s v="12-08-2016"/>
    <n v="238"/>
    <n v="238"/>
    <n v="100"/>
    <n v="22.218487394957982"/>
    <n v="5288"/>
    <n v="14.550420168067227"/>
    <n v="-1825"/>
    <n v="3463"/>
    <n v="68"/>
    <x v="0"/>
    <x v="1"/>
    <x v="4"/>
    <x v="0"/>
  </r>
  <r>
    <x v="392"/>
    <x v="1"/>
    <n v="3"/>
    <x v="227"/>
    <s v="06-02-2016"/>
    <x v="2"/>
    <x v="21"/>
    <x v="21"/>
    <x v="2"/>
    <n v="7"/>
    <x v="21"/>
    <s v="IL"/>
    <s v="13-02-2016"/>
    <n v="864"/>
    <n v="784"/>
    <n v="90.740740740740748"/>
    <n v="8.7893518518518512"/>
    <n v="7594"/>
    <n v="9.075231481481481"/>
    <n v="247"/>
    <n v="7841"/>
    <n v="98"/>
    <x v="0"/>
    <x v="5"/>
    <x v="4"/>
    <x v="0"/>
  </r>
  <r>
    <x v="393"/>
    <x v="0"/>
    <n v="4"/>
    <x v="0"/>
    <s v="21-04-2016"/>
    <x v="0"/>
    <x v="0"/>
    <x v="0"/>
    <x v="0"/>
    <n v="7"/>
    <x v="0"/>
    <s v="MI"/>
    <s v="21-03-2016"/>
    <n v="655"/>
    <n v="438"/>
    <n v="66.870229007633583"/>
    <n v="3.5816793893129772"/>
    <n v="2346"/>
    <n v="0.41832061068702292"/>
    <n v="-2072"/>
    <n v="274"/>
    <n v="58"/>
    <x v="0"/>
    <x v="8"/>
    <x v="59"/>
    <x v="1"/>
  </r>
  <r>
    <x v="394"/>
    <x v="0"/>
    <n v="5"/>
    <x v="84"/>
    <s v="07-07-2016"/>
    <x v="3"/>
    <x v="8"/>
    <x v="8"/>
    <x v="3"/>
    <n v="7"/>
    <x v="8"/>
    <s v="OH"/>
    <s v="14-07-2016"/>
    <n v="856"/>
    <n v="791"/>
    <n v="92.40654205607477"/>
    <n v="0.88901869158878499"/>
    <n v="761"/>
    <n v="1.5630841121495327"/>
    <n v="577"/>
    <n v="1338"/>
    <n v="90"/>
    <x v="0"/>
    <x v="3"/>
    <x v="4"/>
    <x v="0"/>
  </r>
  <r>
    <x v="395"/>
    <x v="0"/>
    <n v="3"/>
    <x v="267"/>
    <s v="17-08-2016"/>
    <x v="5"/>
    <x v="13"/>
    <x v="13"/>
    <x v="1"/>
    <n v="7"/>
    <x v="13"/>
    <s v="OH"/>
    <s v="24-08-2016"/>
    <n v="543"/>
    <n v="543"/>
    <n v="100"/>
    <n v="3.9226519337016574"/>
    <n v="2130"/>
    <n v="5.040515653775322"/>
    <n v="607"/>
    <n v="2737"/>
    <n v="75"/>
    <x v="0"/>
    <x v="6"/>
    <x v="4"/>
    <x v="0"/>
  </r>
  <r>
    <x v="396"/>
    <x v="0"/>
    <n v="1"/>
    <x v="86"/>
    <s v="24-07-2016"/>
    <x v="3"/>
    <x v="4"/>
    <x v="4"/>
    <x v="2"/>
    <n v="7"/>
    <x v="4"/>
    <s v="MI"/>
    <s v="31-07-2016"/>
    <n v="595"/>
    <n v="595"/>
    <n v="100"/>
    <n v="10.719327731092436"/>
    <n v="6378"/>
    <n v="17.44705882352941"/>
    <n v="4003"/>
    <n v="10381"/>
    <n v="58"/>
    <x v="0"/>
    <x v="0"/>
    <x v="4"/>
    <x v="0"/>
  </r>
  <r>
    <x v="397"/>
    <x v="2"/>
    <n v="2"/>
    <x v="268"/>
    <s v="22-06-2016"/>
    <x v="6"/>
    <x v="18"/>
    <x v="18"/>
    <x v="1"/>
    <n v="7"/>
    <x v="18"/>
    <s v="IN"/>
    <s v="29-06-2016"/>
    <n v="726"/>
    <n v="208"/>
    <n v="28.650137741046834"/>
    <n v="5.1280991735537187"/>
    <n v="3723"/>
    <n v="5.9035812672176311"/>
    <n v="563"/>
    <n v="4286"/>
    <n v="64"/>
    <x v="0"/>
    <x v="1"/>
    <x v="4"/>
    <x v="0"/>
  </r>
  <r>
    <x v="398"/>
    <x v="0"/>
    <n v="1"/>
    <x v="243"/>
    <s v="23-01-2016"/>
    <x v="4"/>
    <x v="1"/>
    <x v="1"/>
    <x v="1"/>
    <n v="7"/>
    <x v="1"/>
    <s v="WI"/>
    <s v="21-03-2016"/>
    <n v="375"/>
    <n v="375"/>
    <n v="100"/>
    <n v="6.9786666666666664"/>
    <n v="2617"/>
    <n v="21.536000000000001"/>
    <n v="5459"/>
    <n v="8076"/>
    <n v="60"/>
    <x v="0"/>
    <x v="9"/>
    <x v="7"/>
    <x v="0"/>
  </r>
  <r>
    <x v="399"/>
    <x v="0"/>
    <n v="5"/>
    <x v="269"/>
    <s v="30-08-2016"/>
    <x v="5"/>
    <x v="5"/>
    <x v="5"/>
    <x v="3"/>
    <n v="7"/>
    <x v="5"/>
    <s v="IA"/>
    <s v="05-09-2016"/>
    <n v="383"/>
    <n v="383"/>
    <n v="100"/>
    <n v="8.7206266318537864"/>
    <n v="3340"/>
    <n v="9.3420365535248049"/>
    <n v="238"/>
    <n v="3578"/>
    <n v="53"/>
    <x v="0"/>
    <x v="8"/>
    <x v="28"/>
    <x v="0"/>
  </r>
  <r>
    <x v="400"/>
    <x v="0"/>
    <n v="1"/>
    <x v="270"/>
    <s v="12-06-2016"/>
    <x v="6"/>
    <x v="19"/>
    <x v="19"/>
    <x v="0"/>
    <n v="7"/>
    <x v="19"/>
    <s v="WI"/>
    <s v="19-06-2016"/>
    <n v="1127"/>
    <n v="223"/>
    <n v="19.787045252883761"/>
    <n v="0.4764862466725821"/>
    <n v="537"/>
    <n v="4.2990239574090507"/>
    <n v="4308"/>
    <n v="4845"/>
    <n v="54"/>
    <x v="0"/>
    <x v="5"/>
    <x v="4"/>
    <x v="0"/>
  </r>
  <r>
    <x v="401"/>
    <x v="0"/>
    <n v="6"/>
    <x v="271"/>
    <s v="02-02-2016"/>
    <x v="2"/>
    <x v="10"/>
    <x v="10"/>
    <x v="1"/>
    <n v="7"/>
    <x v="10"/>
    <s v="IL"/>
    <s v="09-02-2016"/>
    <n v="875"/>
    <n v="518"/>
    <n v="59.199999999999996"/>
    <n v="6.9211428571428568"/>
    <n v="6056"/>
    <n v="7.2617142857142856"/>
    <n v="298"/>
    <n v="6354"/>
    <n v="84"/>
    <x v="0"/>
    <x v="7"/>
    <x v="4"/>
    <x v="0"/>
  </r>
  <r>
    <x v="402"/>
    <x v="0"/>
    <n v="6"/>
    <x v="112"/>
    <s v="16-05-2016"/>
    <x v="7"/>
    <x v="3"/>
    <x v="3"/>
    <x v="2"/>
    <n v="7"/>
    <x v="3"/>
    <s v="IL"/>
    <s v="21-03-2016"/>
    <n v="324"/>
    <n v="324"/>
    <n v="100"/>
    <n v="3.6203703703703702"/>
    <n v="1173"/>
    <n v="4.0154320987654319"/>
    <n v="128"/>
    <n v="1301"/>
    <n v="99"/>
    <x v="0"/>
    <x v="3"/>
    <x v="35"/>
    <x v="1"/>
  </r>
  <r>
    <x v="403"/>
    <x v="2"/>
    <n v="3"/>
    <x v="99"/>
    <s v="25-04-2016"/>
    <x v="0"/>
    <x v="11"/>
    <x v="11"/>
    <x v="2"/>
    <n v="7"/>
    <x v="11"/>
    <s v="MI"/>
    <s v="02-05-2016"/>
    <n v="224"/>
    <n v="224"/>
    <n v="100"/>
    <n v="27.196428571428573"/>
    <n v="6092"/>
    <n v="30.441964285714285"/>
    <n v="727"/>
    <n v="6819"/>
    <n v="89"/>
    <x v="0"/>
    <x v="0"/>
    <x v="4"/>
    <x v="0"/>
  </r>
  <r>
    <x v="404"/>
    <x v="0"/>
    <n v="6"/>
    <x v="272"/>
    <s v="24-03-2016"/>
    <x v="1"/>
    <x v="2"/>
    <x v="2"/>
    <x v="1"/>
    <n v="7"/>
    <x v="2"/>
    <s v="IL"/>
    <s v="31-03-2016"/>
    <n v="882"/>
    <n v="287"/>
    <n v="32.539682539682538"/>
    <n v="6.9365079365079367"/>
    <n v="6118"/>
    <n v="7.3197278911564627"/>
    <n v="338"/>
    <n v="6456"/>
    <n v="77"/>
    <x v="0"/>
    <x v="4"/>
    <x v="4"/>
    <x v="0"/>
  </r>
  <r>
    <x v="405"/>
    <x v="2"/>
    <n v="6"/>
    <x v="273"/>
    <s v="23-04-2016"/>
    <x v="0"/>
    <x v="11"/>
    <x v="11"/>
    <x v="2"/>
    <n v="7"/>
    <x v="11"/>
    <s v="MI"/>
    <s v="29-04-2016"/>
    <n v="388"/>
    <n v="388"/>
    <n v="100"/>
    <n v="10.543814432989691"/>
    <n v="4091"/>
    <n v="12.188144329896907"/>
    <n v="638"/>
    <n v="4729"/>
    <n v="91"/>
    <x v="0"/>
    <x v="8"/>
    <x v="28"/>
    <x v="0"/>
  </r>
  <r>
    <x v="406"/>
    <x v="0"/>
    <n v="4"/>
    <x v="274"/>
    <s v="05-04-2016"/>
    <x v="0"/>
    <x v="9"/>
    <x v="9"/>
    <x v="3"/>
    <n v="7"/>
    <x v="9"/>
    <s v="IN"/>
    <s v="10-04-2016"/>
    <n v="515"/>
    <n v="431"/>
    <n v="83.689320388349515"/>
    <n v="8.2349514563106805"/>
    <n v="4241"/>
    <n v="3.6194174757281554"/>
    <n v="-2377"/>
    <n v="1864"/>
    <n v="55"/>
    <x v="0"/>
    <x v="2"/>
    <x v="41"/>
    <x v="0"/>
  </r>
  <r>
    <x v="407"/>
    <x v="2"/>
    <n v="5"/>
    <x v="275"/>
    <s v="25-01-2016"/>
    <x v="4"/>
    <x v="18"/>
    <x v="18"/>
    <x v="1"/>
    <n v="7"/>
    <x v="18"/>
    <s v="IN"/>
    <s v="01-02-2016"/>
    <n v="578"/>
    <n v="578"/>
    <n v="100"/>
    <n v="1.7006920415224913"/>
    <n v="983"/>
    <n v="3.3339100346020762"/>
    <n v="944"/>
    <n v="1927"/>
    <n v="90"/>
    <x v="0"/>
    <x v="6"/>
    <x v="4"/>
    <x v="0"/>
  </r>
  <r>
    <x v="408"/>
    <x v="0"/>
    <n v="6"/>
    <x v="257"/>
    <s v="14-06-2016"/>
    <x v="6"/>
    <x v="2"/>
    <x v="2"/>
    <x v="1"/>
    <n v="7"/>
    <x v="2"/>
    <s v="IL"/>
    <s v="21-03-2016"/>
    <n v="937"/>
    <n v="270"/>
    <n v="28.815368196371399"/>
    <n v="5.3713980789754538"/>
    <n v="5033"/>
    <n v="6.2817502668089649"/>
    <n v="853"/>
    <n v="5886"/>
    <n v="78"/>
    <x v="0"/>
    <x v="6"/>
    <x v="60"/>
    <x v="1"/>
  </r>
  <r>
    <x v="409"/>
    <x v="0"/>
    <n v="4"/>
    <x v="122"/>
    <s v="18-02-2016"/>
    <x v="2"/>
    <x v="12"/>
    <x v="12"/>
    <x v="3"/>
    <n v="7"/>
    <x v="12"/>
    <s v="MI"/>
    <s v="25-02-2016"/>
    <n v="411"/>
    <n v="411"/>
    <n v="100"/>
    <n v="8.1143552311435521"/>
    <n v="3335"/>
    <n v="2.7858880778588806"/>
    <n v="-2190"/>
    <n v="1145"/>
    <n v="100"/>
    <x v="0"/>
    <x v="4"/>
    <x v="4"/>
    <x v="0"/>
  </r>
  <r>
    <x v="410"/>
    <x v="0"/>
    <n v="2"/>
    <x v="153"/>
    <s v="29-08-2016"/>
    <x v="5"/>
    <x v="9"/>
    <x v="9"/>
    <x v="3"/>
    <n v="7"/>
    <x v="9"/>
    <s v="IN"/>
    <s v="03-09-2016"/>
    <n v="1028"/>
    <n v="264"/>
    <n v="25.680933852140075"/>
    <n v="1.8871595330739299"/>
    <n v="1940"/>
    <n v="2.7042801556420235"/>
    <n v="840"/>
    <n v="2780"/>
    <n v="58"/>
    <x v="0"/>
    <x v="0"/>
    <x v="41"/>
    <x v="0"/>
  </r>
  <r>
    <x v="411"/>
    <x v="2"/>
    <n v="2"/>
    <x v="73"/>
    <s v="30-04-2016"/>
    <x v="0"/>
    <x v="19"/>
    <x v="19"/>
    <x v="0"/>
    <n v="7"/>
    <x v="19"/>
    <s v="WI"/>
    <s v="06-05-2016"/>
    <n v="961"/>
    <n v="520"/>
    <n v="54.110301768990631"/>
    <n v="2.4880332986472427"/>
    <n v="2391"/>
    <n v="2.9219562955254941"/>
    <n v="417"/>
    <n v="2808"/>
    <n v="56"/>
    <x v="0"/>
    <x v="8"/>
    <x v="28"/>
    <x v="0"/>
  </r>
  <r>
    <x v="412"/>
    <x v="0"/>
    <n v="4"/>
    <x v="276"/>
    <s v="13-07-2016"/>
    <x v="3"/>
    <x v="5"/>
    <x v="5"/>
    <x v="3"/>
    <n v="7"/>
    <x v="5"/>
    <s v="IA"/>
    <s v="20-07-2016"/>
    <n v="261"/>
    <n v="261"/>
    <n v="100"/>
    <n v="16.800766283524904"/>
    <n v="4385"/>
    <n v="7.6283524904214559"/>
    <n v="-2394"/>
    <n v="1991"/>
    <n v="61"/>
    <x v="0"/>
    <x v="8"/>
    <x v="4"/>
    <x v="0"/>
  </r>
  <r>
    <x v="413"/>
    <x v="0"/>
    <n v="6"/>
    <x v="277"/>
    <s v="26-08-2016"/>
    <x v="5"/>
    <x v="13"/>
    <x v="13"/>
    <x v="1"/>
    <n v="7"/>
    <x v="13"/>
    <s v="OH"/>
    <s v="02-09-2016"/>
    <n v="462"/>
    <n v="430"/>
    <n v="93.073593073593074"/>
    <n v="13.337662337662337"/>
    <n v="6162"/>
    <n v="15.463203463203463"/>
    <n v="982"/>
    <n v="7144"/>
    <n v="92"/>
    <x v="0"/>
    <x v="8"/>
    <x v="4"/>
    <x v="0"/>
  </r>
  <r>
    <x v="414"/>
    <x v="2"/>
    <n v="3"/>
    <x v="265"/>
    <s v="02-06-2016"/>
    <x v="6"/>
    <x v="1"/>
    <x v="1"/>
    <x v="1"/>
    <n v="7"/>
    <x v="1"/>
    <s v="WI"/>
    <s v="09-06-2016"/>
    <n v="968"/>
    <n v="758"/>
    <n v="78.305785123966942"/>
    <n v="6.6084710743801649"/>
    <n v="6397"/>
    <n v="6.7561983471074383"/>
    <n v="143"/>
    <n v="6540"/>
    <n v="73"/>
    <x v="0"/>
    <x v="6"/>
    <x v="4"/>
    <x v="0"/>
  </r>
  <r>
    <x v="415"/>
    <x v="0"/>
    <n v="1"/>
    <x v="258"/>
    <s v="07-06-2016"/>
    <x v="6"/>
    <x v="16"/>
    <x v="16"/>
    <x v="4"/>
    <n v="7"/>
    <x v="16"/>
    <s v="MI"/>
    <s v="21-03-2016"/>
    <n v="1183"/>
    <n v="297"/>
    <n v="25.105663567202029"/>
    <n v="0.8351648351648352"/>
    <n v="988"/>
    <n v="5.3161453930684699"/>
    <n v="5301"/>
    <n v="6289"/>
    <n v="71"/>
    <x v="0"/>
    <x v="8"/>
    <x v="61"/>
    <x v="1"/>
  </r>
  <r>
    <x v="416"/>
    <x v="0"/>
    <n v="2"/>
    <x v="210"/>
    <s v="22-07-2016"/>
    <x v="3"/>
    <x v="0"/>
    <x v="0"/>
    <x v="0"/>
    <n v="7"/>
    <x v="0"/>
    <s v="MI"/>
    <s v="29-07-2016"/>
    <n v="629"/>
    <n v="629"/>
    <n v="100"/>
    <n v="9.362480127186009"/>
    <n v="5889"/>
    <n v="9.872813990461049"/>
    <n v="321"/>
    <n v="6210"/>
    <n v="59"/>
    <x v="0"/>
    <x v="2"/>
    <x v="4"/>
    <x v="0"/>
  </r>
  <r>
    <x v="417"/>
    <x v="2"/>
    <n v="6"/>
    <x v="271"/>
    <s v="08-07-2016"/>
    <x v="3"/>
    <x v="8"/>
    <x v="8"/>
    <x v="3"/>
    <n v="7"/>
    <x v="8"/>
    <s v="OH"/>
    <s v="14-07-2016"/>
    <n v="537"/>
    <n v="442"/>
    <n v="82.309124767225327"/>
    <n v="5.1117318435754191"/>
    <n v="2745"/>
    <n v="6.8417132216014895"/>
    <n v="929"/>
    <n v="3674"/>
    <n v="68"/>
    <x v="0"/>
    <x v="0"/>
    <x v="28"/>
    <x v="0"/>
  </r>
  <r>
    <x v="418"/>
    <x v="0"/>
    <n v="6"/>
    <x v="34"/>
    <s v="08-01-2016"/>
    <x v="4"/>
    <x v="0"/>
    <x v="0"/>
    <x v="0"/>
    <n v="7"/>
    <x v="0"/>
    <s v="MI"/>
    <s v="21-03-2016"/>
    <n v="590"/>
    <n v="498"/>
    <n v="84.406779661016955"/>
    <n v="8.3067796610169484"/>
    <n v="4901"/>
    <n v="8.5610169491525419"/>
    <n v="150"/>
    <n v="5051"/>
    <n v="62"/>
    <x v="0"/>
    <x v="6"/>
    <x v="21"/>
    <x v="0"/>
  </r>
  <r>
    <x v="419"/>
    <x v="0"/>
    <n v="5"/>
    <x v="78"/>
    <s v="18-02-2016"/>
    <x v="2"/>
    <x v="21"/>
    <x v="21"/>
    <x v="2"/>
    <n v="7"/>
    <x v="21"/>
    <s v="IL"/>
    <s v="22-02-2016"/>
    <n v="461"/>
    <n v="461"/>
    <n v="100"/>
    <n v="13.520607375271149"/>
    <n v="6233"/>
    <n v="14.088937093275488"/>
    <n v="262"/>
    <n v="6495"/>
    <n v="59"/>
    <x v="0"/>
    <x v="5"/>
    <x v="1"/>
    <x v="0"/>
  </r>
  <r>
    <x v="420"/>
    <x v="0"/>
    <n v="2"/>
    <x v="80"/>
    <s v="18-04-2016"/>
    <x v="0"/>
    <x v="19"/>
    <x v="19"/>
    <x v="0"/>
    <n v="7"/>
    <x v="19"/>
    <s v="WI"/>
    <s v="24-04-2016"/>
    <n v="886"/>
    <n v="771"/>
    <n v="87.020316027088043"/>
    <n v="4.466139954853273"/>
    <n v="3957"/>
    <n v="5.503386004514673"/>
    <n v="919"/>
    <n v="4876"/>
    <n v="97"/>
    <x v="0"/>
    <x v="4"/>
    <x v="28"/>
    <x v="0"/>
  </r>
  <r>
    <x v="421"/>
    <x v="0"/>
    <n v="1"/>
    <x v="181"/>
    <s v="18-06-2016"/>
    <x v="6"/>
    <x v="18"/>
    <x v="18"/>
    <x v="1"/>
    <n v="7"/>
    <x v="18"/>
    <s v="IN"/>
    <s v="28-06-2016"/>
    <n v="602"/>
    <n v="342"/>
    <n v="56.810631229235874"/>
    <n v="6.5249169435215943"/>
    <n v="3928"/>
    <n v="12.583056478405316"/>
    <n v="3647"/>
    <n v="7575"/>
    <n v="93"/>
    <x v="0"/>
    <x v="4"/>
    <x v="0"/>
    <x v="0"/>
  </r>
  <r>
    <x v="422"/>
    <x v="0"/>
    <n v="4"/>
    <x v="216"/>
    <s v="14-04-2016"/>
    <x v="0"/>
    <x v="2"/>
    <x v="2"/>
    <x v="1"/>
    <n v="7"/>
    <x v="2"/>
    <s v="IL"/>
    <s v="24-04-2016"/>
    <n v="536"/>
    <n v="536"/>
    <n v="100"/>
    <n v="12.438432835820896"/>
    <n v="6667"/>
    <n v="7.2014925373134329"/>
    <n v="-2807"/>
    <n v="3860"/>
    <n v="71"/>
    <x v="0"/>
    <x v="1"/>
    <x v="0"/>
    <x v="0"/>
  </r>
  <r>
    <x v="423"/>
    <x v="0"/>
    <n v="2"/>
    <x v="118"/>
    <s v="03-02-2016"/>
    <x v="2"/>
    <x v="10"/>
    <x v="10"/>
    <x v="1"/>
    <n v="7"/>
    <x v="10"/>
    <s v="IL"/>
    <s v="12-02-2016"/>
    <n v="1150"/>
    <n v="274"/>
    <n v="23.826086956521738"/>
    <n v="5.8556521739130432"/>
    <n v="6734"/>
    <n v="6.1365217391304352"/>
    <n v="323"/>
    <n v="7057"/>
    <n v="71"/>
    <x v="0"/>
    <x v="6"/>
    <x v="2"/>
    <x v="0"/>
  </r>
  <r>
    <x v="424"/>
    <x v="0"/>
    <n v="3"/>
    <x v="278"/>
    <s v="25-04-2016"/>
    <x v="0"/>
    <x v="22"/>
    <x v="22"/>
    <x v="0"/>
    <n v="7"/>
    <x v="22"/>
    <s v="IL"/>
    <s v="05-05-2016"/>
    <n v="871"/>
    <n v="283"/>
    <n v="32.491389207807117"/>
    <n v="3.4661308840413318"/>
    <n v="3019"/>
    <n v="4.0608495981630313"/>
    <n v="518"/>
    <n v="3537"/>
    <n v="94"/>
    <x v="0"/>
    <x v="2"/>
    <x v="0"/>
    <x v="0"/>
  </r>
  <r>
    <x v="425"/>
    <x v="0"/>
    <n v="1"/>
    <x v="131"/>
    <s v="26-03-2016"/>
    <x v="1"/>
    <x v="7"/>
    <x v="7"/>
    <x v="5"/>
    <n v="7"/>
    <x v="7"/>
    <s v="WI"/>
    <s v="03-04-2016"/>
    <n v="698"/>
    <n v="614"/>
    <n v="87.96561604584528"/>
    <n v="8.3395415472779373"/>
    <n v="5821"/>
    <n v="16.5243553008596"/>
    <n v="5713"/>
    <n v="11534"/>
    <n v="99"/>
    <x v="0"/>
    <x v="2"/>
    <x v="5"/>
    <x v="0"/>
  </r>
  <r>
    <x v="426"/>
    <x v="0"/>
    <n v="3"/>
    <x v="104"/>
    <s v="18-04-2016"/>
    <x v="0"/>
    <x v="17"/>
    <x v="17"/>
    <x v="3"/>
    <n v="7"/>
    <x v="17"/>
    <s v="OH"/>
    <s v="28-04-2016"/>
    <n v="342"/>
    <n v="220"/>
    <n v="64.327485380116954"/>
    <n v="8.7192982456140342"/>
    <n v="2982"/>
    <n v="10.730994152046783"/>
    <n v="688"/>
    <n v="3670"/>
    <n v="66"/>
    <x v="0"/>
    <x v="9"/>
    <x v="0"/>
    <x v="0"/>
  </r>
  <r>
    <x v="427"/>
    <x v="2"/>
    <n v="6"/>
    <x v="279"/>
    <s v="09-05-2016"/>
    <x v="7"/>
    <x v="8"/>
    <x v="8"/>
    <x v="3"/>
    <n v="7"/>
    <x v="8"/>
    <s v="OH"/>
    <s v="19-05-2016"/>
    <n v="1119"/>
    <n v="269"/>
    <n v="24.039320822162647"/>
    <n v="2.520107238605898"/>
    <n v="2820"/>
    <n v="2.9213583556747094"/>
    <n v="449"/>
    <n v="3269"/>
    <n v="96"/>
    <x v="0"/>
    <x v="3"/>
    <x v="0"/>
    <x v="0"/>
  </r>
  <r>
    <x v="428"/>
    <x v="2"/>
    <n v="2"/>
    <x v="248"/>
    <s v="03-04-2016"/>
    <x v="0"/>
    <x v="11"/>
    <x v="11"/>
    <x v="2"/>
    <n v="7"/>
    <x v="11"/>
    <s v="MI"/>
    <s v="12-04-2016"/>
    <n v="815"/>
    <n v="781"/>
    <n v="95.828220858895705"/>
    <n v="3.977914110429448"/>
    <n v="3242"/>
    <n v="4.2809815950920242"/>
    <n v="247"/>
    <n v="3489"/>
    <n v="60"/>
    <x v="0"/>
    <x v="9"/>
    <x v="2"/>
    <x v="0"/>
  </r>
  <r>
    <x v="429"/>
    <x v="0"/>
    <n v="1"/>
    <x v="27"/>
    <s v="28-06-2016"/>
    <x v="6"/>
    <x v="6"/>
    <x v="6"/>
    <x v="4"/>
    <n v="7"/>
    <x v="6"/>
    <s v="IN"/>
    <s v="07-07-2016"/>
    <n v="749"/>
    <n v="612"/>
    <n v="81.708945260347136"/>
    <n v="0.94526034712950602"/>
    <n v="708"/>
    <n v="8.5086782376501997"/>
    <n v="5665"/>
    <n v="6373"/>
    <n v="77"/>
    <x v="0"/>
    <x v="8"/>
    <x v="2"/>
    <x v="0"/>
  </r>
  <r>
    <x v="430"/>
    <x v="0"/>
    <n v="6"/>
    <x v="122"/>
    <s v="21-02-2016"/>
    <x v="2"/>
    <x v="11"/>
    <x v="11"/>
    <x v="2"/>
    <n v="7"/>
    <x v="11"/>
    <s v="MI"/>
    <s v="25-02-2016"/>
    <n v="474"/>
    <n v="474"/>
    <n v="100"/>
    <n v="17.670886075949365"/>
    <n v="8376"/>
    <n v="18.953586497890296"/>
    <n v="608"/>
    <n v="8984"/>
    <n v="69"/>
    <x v="0"/>
    <x v="1"/>
    <x v="1"/>
    <x v="0"/>
  </r>
  <r>
    <x v="431"/>
    <x v="2"/>
    <n v="1"/>
    <x v="53"/>
    <s v="03-08-2016"/>
    <x v="5"/>
    <x v="2"/>
    <x v="2"/>
    <x v="1"/>
    <n v="7"/>
    <x v="2"/>
    <s v="IL"/>
    <s v="21-03-2016"/>
    <n v="692"/>
    <n v="632"/>
    <n v="91.329479768786129"/>
    <n v="3.6936416184971099"/>
    <n v="2556"/>
    <n v="10.686416184971097"/>
    <n v="4839"/>
    <n v="7395"/>
    <n v="88"/>
    <x v="0"/>
    <x v="7"/>
    <x v="62"/>
    <x v="1"/>
  </r>
  <r>
    <x v="432"/>
    <x v="2"/>
    <n v="3"/>
    <x v="276"/>
    <s v="28-04-2016"/>
    <x v="0"/>
    <x v="21"/>
    <x v="21"/>
    <x v="2"/>
    <n v="7"/>
    <x v="21"/>
    <s v="IL"/>
    <s v="03-05-2016"/>
    <n v="845"/>
    <n v="547"/>
    <n v="64.73372781065089"/>
    <n v="1.476923076923077"/>
    <n v="1248"/>
    <n v="2.0390532544378699"/>
    <n v="475"/>
    <n v="1723"/>
    <n v="73"/>
    <x v="0"/>
    <x v="6"/>
    <x v="41"/>
    <x v="0"/>
  </r>
  <r>
    <x v="433"/>
    <x v="0"/>
    <n v="2"/>
    <x v="125"/>
    <s v="04-03-2016"/>
    <x v="1"/>
    <x v="13"/>
    <x v="13"/>
    <x v="1"/>
    <n v="7"/>
    <x v="13"/>
    <s v="OH"/>
    <s v="11-03-2016"/>
    <n v="360"/>
    <n v="360"/>
    <n v="100"/>
    <n v="10.769444444444444"/>
    <n v="3877"/>
    <n v="11.197222222222223"/>
    <n v="154"/>
    <n v="4031"/>
    <n v="99"/>
    <x v="0"/>
    <x v="3"/>
    <x v="4"/>
    <x v="0"/>
  </r>
  <r>
    <x v="434"/>
    <x v="2"/>
    <n v="4"/>
    <x v="33"/>
    <s v="11-08-2016"/>
    <x v="5"/>
    <x v="6"/>
    <x v="6"/>
    <x v="4"/>
    <n v="7"/>
    <x v="6"/>
    <s v="IN"/>
    <s v="18-08-2016"/>
    <n v="907"/>
    <n v="373"/>
    <n v="41.124586549062847"/>
    <n v="7.8026460859977949"/>
    <n v="7077"/>
    <n v="6.0540242557883133"/>
    <n v="-1586"/>
    <n v="5491"/>
    <n v="70"/>
    <x v="0"/>
    <x v="8"/>
    <x v="4"/>
    <x v="0"/>
  </r>
  <r>
    <x v="435"/>
    <x v="2"/>
    <n v="2"/>
    <x v="186"/>
    <s v="24-03-2016"/>
    <x v="1"/>
    <x v="1"/>
    <x v="1"/>
    <x v="1"/>
    <n v="7"/>
    <x v="1"/>
    <s v="WI"/>
    <s v="21-03-2016"/>
    <n v="525"/>
    <n v="355"/>
    <n v="67.61904761904762"/>
    <n v="1.1923809523809523"/>
    <n v="626"/>
    <n v="2.5904761904761906"/>
    <n v="734"/>
    <n v="1360"/>
    <n v="86"/>
    <x v="0"/>
    <x v="3"/>
    <x v="63"/>
    <x v="1"/>
  </r>
  <r>
    <x v="436"/>
    <x v="2"/>
    <n v="3"/>
    <x v="79"/>
    <s v="13-01-2016"/>
    <x v="4"/>
    <x v="2"/>
    <x v="2"/>
    <x v="1"/>
    <n v="7"/>
    <x v="2"/>
    <s v="IL"/>
    <s v="20-01-2016"/>
    <n v="490"/>
    <n v="251"/>
    <n v="51.224489795918373"/>
    <n v="18.061224489795919"/>
    <n v="8850"/>
    <n v="18.320408163265306"/>
    <n v="127"/>
    <n v="8977"/>
    <n v="60"/>
    <x v="0"/>
    <x v="5"/>
    <x v="4"/>
    <x v="0"/>
  </r>
  <r>
    <x v="437"/>
    <x v="0"/>
    <n v="4"/>
    <x v="280"/>
    <s v="30-06-2016"/>
    <x v="6"/>
    <x v="14"/>
    <x v="14"/>
    <x v="1"/>
    <n v="7"/>
    <x v="14"/>
    <s v="IL"/>
    <s v="07-07-2016"/>
    <n v="646"/>
    <n v="571"/>
    <n v="88.390092879256969"/>
    <n v="8.4907120743034064"/>
    <n v="5485"/>
    <n v="5.6362229102167181"/>
    <n v="-1844"/>
    <n v="3641"/>
    <n v="81"/>
    <x v="0"/>
    <x v="0"/>
    <x v="4"/>
    <x v="0"/>
  </r>
  <r>
    <x v="438"/>
    <x v="0"/>
    <n v="2"/>
    <x v="189"/>
    <s v="18-07-2016"/>
    <x v="3"/>
    <x v="21"/>
    <x v="21"/>
    <x v="2"/>
    <n v="7"/>
    <x v="21"/>
    <s v="IL"/>
    <s v="24-07-2016"/>
    <n v="950"/>
    <n v="681"/>
    <n v="71.684210526315795"/>
    <n v="8.4578947368421051"/>
    <n v="8035"/>
    <n v="9.0715789473684207"/>
    <n v="583"/>
    <n v="8618"/>
    <n v="58"/>
    <x v="0"/>
    <x v="9"/>
    <x v="28"/>
    <x v="0"/>
  </r>
  <r>
    <x v="439"/>
    <x v="0"/>
    <n v="4"/>
    <x v="19"/>
    <s v="19-07-2016"/>
    <x v="3"/>
    <x v="12"/>
    <x v="12"/>
    <x v="3"/>
    <n v="7"/>
    <x v="12"/>
    <s v="MI"/>
    <s v="26-07-2016"/>
    <n v="208"/>
    <n v="208"/>
    <n v="100"/>
    <n v="21.591346153846153"/>
    <n v="4491"/>
    <n v="13.125"/>
    <n v="-1761"/>
    <n v="2730"/>
    <n v="50"/>
    <x v="0"/>
    <x v="4"/>
    <x v="4"/>
    <x v="0"/>
  </r>
  <r>
    <x v="440"/>
    <x v="0"/>
    <n v="7"/>
    <x v="189"/>
    <s v="02-03-2016"/>
    <x v="1"/>
    <x v="21"/>
    <x v="21"/>
    <x v="2"/>
    <n v="6"/>
    <x v="21"/>
    <s v="IL"/>
    <s v="08-03-2016"/>
    <n v="470"/>
    <n v="284"/>
    <n v="60.425531914893618"/>
    <n v="7.2106382978723405"/>
    <n v="3389"/>
    <n v="8.463829787234042"/>
    <n v="589"/>
    <n v="3978"/>
    <n v="55"/>
    <x v="0"/>
    <x v="9"/>
    <x v="28"/>
    <x v="0"/>
  </r>
  <r>
    <x v="441"/>
    <x v="0"/>
    <n v="8"/>
    <x v="169"/>
    <s v="26-08-2016"/>
    <x v="5"/>
    <x v="5"/>
    <x v="5"/>
    <x v="3"/>
    <n v="6"/>
    <x v="5"/>
    <s v="IA"/>
    <s v="29-08-2016"/>
    <n v="525"/>
    <n v="460"/>
    <n v="87.61904761904762"/>
    <n v="4.4209523809523805"/>
    <n v="2321"/>
    <n v="5.059047619047619"/>
    <n v="335"/>
    <n v="2656"/>
    <n v="71"/>
    <x v="0"/>
    <x v="0"/>
    <x v="64"/>
    <x v="0"/>
  </r>
  <r>
    <x v="442"/>
    <x v="0"/>
    <n v="7"/>
    <x v="171"/>
    <s v="08-05-2016"/>
    <x v="7"/>
    <x v="9"/>
    <x v="9"/>
    <x v="3"/>
    <n v="6"/>
    <x v="9"/>
    <s v="IN"/>
    <s v="13-05-2016"/>
    <n v="970"/>
    <n v="414"/>
    <n v="42.680412371134018"/>
    <n v="6.2226804123711341"/>
    <n v="6036"/>
    <n v="6.4958762886597938"/>
    <n v="265"/>
    <n v="6301"/>
    <n v="55"/>
    <x v="0"/>
    <x v="4"/>
    <x v="41"/>
    <x v="0"/>
  </r>
  <r>
    <x v="443"/>
    <x v="0"/>
    <n v="5"/>
    <x v="104"/>
    <s v="26-02-2016"/>
    <x v="2"/>
    <x v="19"/>
    <x v="19"/>
    <x v="0"/>
    <n v="6"/>
    <x v="19"/>
    <s v="WI"/>
    <s v="29-02-2016"/>
    <n v="695"/>
    <n v="617"/>
    <n v="88.776978417266179"/>
    <n v="5.1654676258992804"/>
    <n v="3590"/>
    <n v="6.4676258992805753"/>
    <n v="905"/>
    <n v="4495"/>
    <n v="73"/>
    <x v="0"/>
    <x v="4"/>
    <x v="64"/>
    <x v="0"/>
  </r>
  <r>
    <x v="444"/>
    <x v="0"/>
    <n v="5"/>
    <x v="231"/>
    <s v="01-06-2016"/>
    <x v="6"/>
    <x v="14"/>
    <x v="14"/>
    <x v="1"/>
    <n v="6"/>
    <x v="14"/>
    <s v="IL"/>
    <s v="06-06-2016"/>
    <n v="649"/>
    <n v="649"/>
    <n v="100"/>
    <n v="12.2788906009245"/>
    <n v="7969"/>
    <n v="13.003081664098612"/>
    <n v="470"/>
    <n v="8439"/>
    <n v="88"/>
    <x v="0"/>
    <x v="6"/>
    <x v="41"/>
    <x v="0"/>
  </r>
  <r>
    <x v="445"/>
    <x v="0"/>
    <n v="6"/>
    <x v="68"/>
    <s v="15-08-2016"/>
    <x v="5"/>
    <x v="1"/>
    <x v="1"/>
    <x v="1"/>
    <n v="6"/>
    <x v="1"/>
    <s v="WI"/>
    <s v="21-08-2016"/>
    <n v="695"/>
    <n v="695"/>
    <n v="100"/>
    <n v="3.7784172661870503"/>
    <n v="2626"/>
    <n v="4.1122302158273385"/>
    <n v="232"/>
    <n v="2858"/>
    <n v="93"/>
    <x v="0"/>
    <x v="0"/>
    <x v="28"/>
    <x v="0"/>
  </r>
  <r>
    <x v="446"/>
    <x v="1"/>
    <n v="8"/>
    <x v="196"/>
    <s v="16-02-2016"/>
    <x v="2"/>
    <x v="12"/>
    <x v="12"/>
    <x v="3"/>
    <n v="6"/>
    <x v="12"/>
    <s v="MI"/>
    <s v="22-02-2016"/>
    <n v="1147"/>
    <n v="399"/>
    <n v="34.786399302528338"/>
    <n v="0.25632083696599828"/>
    <n v="294"/>
    <n v="0.48212728857890147"/>
    <n v="259"/>
    <n v="553"/>
    <n v="99"/>
    <x v="0"/>
    <x v="6"/>
    <x v="28"/>
    <x v="0"/>
  </r>
  <r>
    <x v="447"/>
    <x v="0"/>
    <n v="7"/>
    <x v="243"/>
    <s v="29-06-2016"/>
    <x v="6"/>
    <x v="1"/>
    <x v="1"/>
    <x v="1"/>
    <n v="6"/>
    <x v="1"/>
    <s v="WI"/>
    <s v="05-07-2016"/>
    <n v="845"/>
    <n v="503"/>
    <n v="59.526627218934912"/>
    <n v="4.3798816568047334"/>
    <n v="3701"/>
    <n v="5.1396449704142011"/>
    <n v="642"/>
    <n v="4343"/>
    <n v="81"/>
    <x v="0"/>
    <x v="4"/>
    <x v="28"/>
    <x v="0"/>
  </r>
  <r>
    <x v="448"/>
    <x v="1"/>
    <n v="5"/>
    <x v="245"/>
    <s v="30-07-2016"/>
    <x v="3"/>
    <x v="15"/>
    <x v="15"/>
    <x v="4"/>
    <n v="6"/>
    <x v="15"/>
    <s v="IL"/>
    <s v="05-08-2016"/>
    <n v="1124"/>
    <n v="459"/>
    <n v="40.836298932384338"/>
    <n v="3.6183274021352312"/>
    <n v="4067"/>
    <n v="3.7286476868327401"/>
    <n v="124"/>
    <n v="4191"/>
    <n v="60"/>
    <x v="0"/>
    <x v="0"/>
    <x v="28"/>
    <x v="0"/>
  </r>
  <r>
    <x v="449"/>
    <x v="0"/>
    <n v="6"/>
    <x v="110"/>
    <s v="01-08-2016"/>
    <x v="5"/>
    <x v="0"/>
    <x v="0"/>
    <x v="0"/>
    <n v="6"/>
    <x v="0"/>
    <s v="MI"/>
    <s v="07-08-2016"/>
    <n v="723"/>
    <n v="715"/>
    <n v="98.893499308437072"/>
    <n v="11.770401106500692"/>
    <n v="8510"/>
    <n v="12.284923928077456"/>
    <n v="372"/>
    <n v="8882"/>
    <n v="65"/>
    <x v="0"/>
    <x v="3"/>
    <x v="28"/>
    <x v="0"/>
  </r>
  <r>
    <x v="450"/>
    <x v="0"/>
    <n v="8"/>
    <x v="260"/>
    <s v="01-03-2016"/>
    <x v="1"/>
    <x v="4"/>
    <x v="4"/>
    <x v="2"/>
    <n v="6"/>
    <x v="4"/>
    <s v="MI"/>
    <s v="07-03-2016"/>
    <n v="820"/>
    <n v="793"/>
    <n v="96.707317073170728"/>
    <n v="6.7841463414634147"/>
    <n v="5563"/>
    <n v="7.1390243902439021"/>
    <n v="291"/>
    <n v="5854"/>
    <n v="82"/>
    <x v="0"/>
    <x v="2"/>
    <x v="28"/>
    <x v="0"/>
  </r>
  <r>
    <x v="451"/>
    <x v="1"/>
    <n v="6"/>
    <x v="177"/>
    <s v="08-07-2016"/>
    <x v="3"/>
    <x v="2"/>
    <x v="2"/>
    <x v="1"/>
    <n v="6"/>
    <x v="2"/>
    <s v="IL"/>
    <s v="14-07-2016"/>
    <n v="394"/>
    <n v="390"/>
    <n v="98.984771573604064"/>
    <n v="4.9771573604060917"/>
    <n v="1961"/>
    <n v="5.5152284263959395"/>
    <n v="212"/>
    <n v="2173"/>
    <n v="71"/>
    <x v="0"/>
    <x v="7"/>
    <x v="28"/>
    <x v="0"/>
  </r>
  <r>
    <x v="452"/>
    <x v="1"/>
    <n v="4"/>
    <x v="178"/>
    <s v="23-08-2016"/>
    <x v="5"/>
    <x v="22"/>
    <x v="22"/>
    <x v="0"/>
    <n v="6"/>
    <x v="22"/>
    <s v="IL"/>
    <s v="29-08-2016"/>
    <n v="411"/>
    <n v="411"/>
    <n v="100"/>
    <n v="19.944038929440389"/>
    <n v="8197"/>
    <n v="14.250608272506083"/>
    <n v="-2340"/>
    <n v="5857"/>
    <n v="57"/>
    <x v="0"/>
    <x v="2"/>
    <x v="28"/>
    <x v="0"/>
  </r>
  <r>
    <x v="453"/>
    <x v="1"/>
    <n v="6"/>
    <x v="97"/>
    <s v="19-01-2016"/>
    <x v="4"/>
    <x v="21"/>
    <x v="21"/>
    <x v="2"/>
    <n v="6"/>
    <x v="21"/>
    <s v="IL"/>
    <s v="22-01-2016"/>
    <n v="1145"/>
    <n v="583"/>
    <n v="50.917030567685593"/>
    <n v="6.890829694323144"/>
    <n v="7890"/>
    <n v="7.2759825327510921"/>
    <n v="441"/>
    <n v="8331"/>
    <n v="68"/>
    <x v="0"/>
    <x v="9"/>
    <x v="64"/>
    <x v="0"/>
  </r>
  <r>
    <x v="454"/>
    <x v="1"/>
    <n v="5"/>
    <x v="179"/>
    <s v="22-08-2016"/>
    <x v="5"/>
    <x v="12"/>
    <x v="12"/>
    <x v="3"/>
    <n v="6"/>
    <x v="12"/>
    <s v="MI"/>
    <s v="28-08-2016"/>
    <n v="248"/>
    <n v="248"/>
    <n v="100"/>
    <n v="32.83064516129032"/>
    <n v="8142"/>
    <n v="35.552419354838712"/>
    <n v="675"/>
    <n v="8817"/>
    <n v="56"/>
    <x v="0"/>
    <x v="1"/>
    <x v="28"/>
    <x v="0"/>
  </r>
  <r>
    <x v="455"/>
    <x v="1"/>
    <n v="4"/>
    <x v="114"/>
    <s v="31-03-2016"/>
    <x v="1"/>
    <x v="13"/>
    <x v="13"/>
    <x v="1"/>
    <n v="6"/>
    <x v="13"/>
    <s v="OH"/>
    <s v="06-04-2016"/>
    <n v="381"/>
    <n v="381"/>
    <n v="100"/>
    <n v="15.496062992125983"/>
    <n v="5904"/>
    <n v="10.20997375328084"/>
    <n v="-2014"/>
    <n v="3890"/>
    <n v="74"/>
    <x v="0"/>
    <x v="5"/>
    <x v="28"/>
    <x v="0"/>
  </r>
  <r>
    <x v="456"/>
    <x v="0"/>
    <n v="8"/>
    <x v="281"/>
    <s v="21-01-2016"/>
    <x v="4"/>
    <x v="15"/>
    <x v="15"/>
    <x v="4"/>
    <n v="6"/>
    <x v="15"/>
    <s v="IL"/>
    <s v="27-01-2016"/>
    <n v="742"/>
    <n v="698"/>
    <n v="94.070080862533686"/>
    <n v="6.5"/>
    <n v="4823"/>
    <n v="6.9824797843665767"/>
    <n v="358"/>
    <n v="5181"/>
    <n v="86"/>
    <x v="0"/>
    <x v="6"/>
    <x v="28"/>
    <x v="0"/>
  </r>
  <r>
    <x v="457"/>
    <x v="1"/>
    <n v="7"/>
    <x v="282"/>
    <s v="11-07-2016"/>
    <x v="3"/>
    <x v="16"/>
    <x v="16"/>
    <x v="4"/>
    <n v="6"/>
    <x v="16"/>
    <s v="MI"/>
    <s v="21-03-2016"/>
    <n v="523"/>
    <n v="295"/>
    <n v="56.40535372848948"/>
    <n v="5.3441682600382405"/>
    <n v="2795"/>
    <n v="6.2906309751434035"/>
    <n v="495"/>
    <n v="3290"/>
    <n v="53"/>
    <x v="0"/>
    <x v="3"/>
    <x v="65"/>
    <x v="1"/>
  </r>
  <r>
    <x v="458"/>
    <x v="0"/>
    <n v="6"/>
    <x v="283"/>
    <s v="28-03-2016"/>
    <x v="1"/>
    <x v="21"/>
    <x v="21"/>
    <x v="2"/>
    <n v="6"/>
    <x v="21"/>
    <s v="IL"/>
    <s v="03-04-2016"/>
    <n v="496"/>
    <n v="496"/>
    <n v="100"/>
    <n v="1.5584677419354838"/>
    <n v="773"/>
    <n v="3.1088709677419355"/>
    <n v="769"/>
    <n v="1542"/>
    <n v="72"/>
    <x v="0"/>
    <x v="1"/>
    <x v="28"/>
    <x v="0"/>
  </r>
  <r>
    <x v="459"/>
    <x v="1"/>
    <n v="8"/>
    <x v="284"/>
    <s v="09-08-2016"/>
    <x v="5"/>
    <x v="3"/>
    <x v="3"/>
    <x v="2"/>
    <n v="6"/>
    <x v="3"/>
    <s v="IL"/>
    <s v="15-08-2016"/>
    <n v="208"/>
    <n v="208"/>
    <n v="100"/>
    <n v="7.3990384615384617"/>
    <n v="1539"/>
    <n v="8.6394230769230766"/>
    <n v="258"/>
    <n v="1797"/>
    <n v="59"/>
    <x v="0"/>
    <x v="0"/>
    <x v="28"/>
    <x v="0"/>
  </r>
  <r>
    <x v="460"/>
    <x v="0"/>
    <n v="4"/>
    <x v="285"/>
    <s v="11-04-2016"/>
    <x v="0"/>
    <x v="10"/>
    <x v="10"/>
    <x v="1"/>
    <n v="6"/>
    <x v="10"/>
    <s v="IL"/>
    <s v="17-04-2016"/>
    <n v="1152"/>
    <n v="568"/>
    <n v="49.305555555555557"/>
    <n v="5.817708333333333"/>
    <n v="6702"/>
    <n v="4.3211805555555554"/>
    <n v="-1724"/>
    <n v="4978"/>
    <n v="94"/>
    <x v="0"/>
    <x v="9"/>
    <x v="28"/>
    <x v="0"/>
  </r>
  <r>
    <x v="461"/>
    <x v="1"/>
    <n v="7"/>
    <x v="235"/>
    <s v="28-05-2016"/>
    <x v="7"/>
    <x v="16"/>
    <x v="16"/>
    <x v="4"/>
    <n v="6"/>
    <x v="16"/>
    <s v="MI"/>
    <s v="03-06-2016"/>
    <n v="346"/>
    <n v="258"/>
    <n v="74.566473988439313"/>
    <n v="15.765895953757225"/>
    <n v="5455"/>
    <n v="17.156069364161851"/>
    <n v="481"/>
    <n v="5936"/>
    <n v="79"/>
    <x v="0"/>
    <x v="4"/>
    <x v="28"/>
    <x v="0"/>
  </r>
  <r>
    <x v="462"/>
    <x v="1"/>
    <n v="6"/>
    <x v="286"/>
    <s v="31-08-2016"/>
    <x v="5"/>
    <x v="4"/>
    <x v="4"/>
    <x v="2"/>
    <n v="6"/>
    <x v="4"/>
    <s v="MI"/>
    <s v="06-09-2016"/>
    <n v="469"/>
    <n v="300"/>
    <n v="63.965884861407254"/>
    <n v="12.665245202558635"/>
    <n v="5940"/>
    <n v="14.191897654584222"/>
    <n v="716"/>
    <n v="6656"/>
    <n v="62"/>
    <x v="0"/>
    <x v="6"/>
    <x v="28"/>
    <x v="0"/>
  </r>
  <r>
    <x v="463"/>
    <x v="1"/>
    <n v="8"/>
    <x v="287"/>
    <s v="16-08-2016"/>
    <x v="5"/>
    <x v="0"/>
    <x v="0"/>
    <x v="0"/>
    <n v="6"/>
    <x v="0"/>
    <s v="MI"/>
    <s v="21-03-2016"/>
    <n v="353"/>
    <n v="258"/>
    <n v="73.087818696883858"/>
    <n v="0.92351274787535409"/>
    <n v="326"/>
    <n v="1.9206798866855523"/>
    <n v="352"/>
    <n v="678"/>
    <n v="70"/>
    <x v="0"/>
    <x v="6"/>
    <x v="66"/>
    <x v="1"/>
  </r>
  <r>
    <x v="464"/>
    <x v="0"/>
    <n v="7"/>
    <x v="238"/>
    <s v="19-06-2016"/>
    <x v="6"/>
    <x v="3"/>
    <x v="3"/>
    <x v="2"/>
    <n v="6"/>
    <x v="3"/>
    <s v="IL"/>
    <s v="25-06-2016"/>
    <n v="642"/>
    <n v="642"/>
    <n v="100"/>
    <n v="8.3068535825545169"/>
    <n v="5333"/>
    <n v="9.473520249221183"/>
    <n v="749"/>
    <n v="6082"/>
    <n v="77"/>
    <x v="0"/>
    <x v="8"/>
    <x v="28"/>
    <x v="0"/>
  </r>
  <r>
    <x v="465"/>
    <x v="0"/>
    <n v="4"/>
    <x v="288"/>
    <s v="14-05-2016"/>
    <x v="7"/>
    <x v="22"/>
    <x v="22"/>
    <x v="0"/>
    <n v="6"/>
    <x v="22"/>
    <s v="IL"/>
    <s v="20-05-2016"/>
    <n v="608"/>
    <n v="517"/>
    <n v="85.032894736842096"/>
    <n v="6.0164473684210522"/>
    <n v="3658"/>
    <n v="4.0345394736842106"/>
    <n v="-1205"/>
    <n v="2453"/>
    <n v="86"/>
    <x v="0"/>
    <x v="7"/>
    <x v="28"/>
    <x v="0"/>
  </r>
  <r>
    <x v="466"/>
    <x v="1"/>
    <n v="8"/>
    <x v="124"/>
    <s v="08-07-2016"/>
    <x v="3"/>
    <x v="19"/>
    <x v="19"/>
    <x v="0"/>
    <n v="6"/>
    <x v="19"/>
    <s v="WI"/>
    <s v="13-07-2016"/>
    <n v="222"/>
    <n v="222"/>
    <n v="100"/>
    <n v="12.328828828828829"/>
    <n v="2737"/>
    <n v="15.77027027027027"/>
    <n v="764"/>
    <n v="3501"/>
    <n v="89"/>
    <x v="0"/>
    <x v="6"/>
    <x v="41"/>
    <x v="0"/>
  </r>
  <r>
    <x v="467"/>
    <x v="1"/>
    <n v="8"/>
    <x v="289"/>
    <s v="04-02-2016"/>
    <x v="2"/>
    <x v="1"/>
    <x v="1"/>
    <x v="1"/>
    <n v="6"/>
    <x v="1"/>
    <s v="WI"/>
    <s v="10-02-2016"/>
    <n v="955"/>
    <n v="280"/>
    <n v="29.319371727748688"/>
    <n v="0.13717277486910995"/>
    <n v="131"/>
    <n v="0.87434554973821987"/>
    <n v="704"/>
    <n v="835"/>
    <n v="92"/>
    <x v="0"/>
    <x v="6"/>
    <x v="28"/>
    <x v="0"/>
  </r>
  <r>
    <x v="468"/>
    <x v="1"/>
    <n v="7"/>
    <x v="188"/>
    <s v="25-04-2016"/>
    <x v="0"/>
    <x v="4"/>
    <x v="4"/>
    <x v="2"/>
    <n v="6"/>
    <x v="4"/>
    <s v="MI"/>
    <s v="30-04-2016"/>
    <n v="343"/>
    <n v="343"/>
    <n v="100"/>
    <n v="23.303206997084548"/>
    <n v="7993"/>
    <n v="24.947521865889211"/>
    <n v="564"/>
    <n v="8557"/>
    <n v="79"/>
    <x v="0"/>
    <x v="6"/>
    <x v="41"/>
    <x v="0"/>
  </r>
  <r>
    <x v="469"/>
    <x v="1"/>
    <n v="7"/>
    <x v="280"/>
    <s v="13-07-2016"/>
    <x v="3"/>
    <x v="21"/>
    <x v="21"/>
    <x v="2"/>
    <n v="6"/>
    <x v="21"/>
    <s v="IL"/>
    <s v="17-07-2016"/>
    <n v="311"/>
    <n v="311"/>
    <n v="100"/>
    <n v="16.887459807073956"/>
    <n v="5252"/>
    <n v="17.938906752411576"/>
    <n v="327"/>
    <n v="5579"/>
    <n v="87"/>
    <x v="0"/>
    <x v="2"/>
    <x v="1"/>
    <x v="0"/>
  </r>
  <r>
    <x v="470"/>
    <x v="0"/>
    <n v="5"/>
    <x v="190"/>
    <s v="12-04-2016"/>
    <x v="0"/>
    <x v="19"/>
    <x v="19"/>
    <x v="0"/>
    <n v="6"/>
    <x v="19"/>
    <s v="WI"/>
    <s v="17-04-2016"/>
    <n v="663"/>
    <n v="350"/>
    <n v="52.790346907993971"/>
    <n v="10.176470588235293"/>
    <n v="6747"/>
    <n v="11.116138763197586"/>
    <n v="623"/>
    <n v="7370"/>
    <n v="80"/>
    <x v="0"/>
    <x v="9"/>
    <x v="41"/>
    <x v="0"/>
  </r>
  <r>
    <x v="471"/>
    <x v="1"/>
    <n v="4"/>
    <x v="272"/>
    <s v="29-01-2016"/>
    <x v="4"/>
    <x v="20"/>
    <x v="20"/>
    <x v="1"/>
    <n v="6"/>
    <x v="20"/>
    <s v="IL"/>
    <s v="21-03-2016"/>
    <n v="658"/>
    <n v="220"/>
    <n v="33.434650455927049"/>
    <n v="5.2948328267477205"/>
    <n v="3484"/>
    <n v="1.9103343465045592"/>
    <n v="-2227"/>
    <n v="1257"/>
    <n v="61"/>
    <x v="0"/>
    <x v="4"/>
    <x v="45"/>
    <x v="0"/>
  </r>
  <r>
    <x v="472"/>
    <x v="1"/>
    <n v="5"/>
    <x v="290"/>
    <s v="27-01-2016"/>
    <x v="4"/>
    <x v="1"/>
    <x v="1"/>
    <x v="1"/>
    <n v="6"/>
    <x v="1"/>
    <s v="WI"/>
    <s v="02-02-2016"/>
    <n v="966"/>
    <n v="790"/>
    <n v="81.780538302277421"/>
    <n v="6.1469979296066253"/>
    <n v="5938"/>
    <n v="6.4347826086956523"/>
    <n v="278"/>
    <n v="6216"/>
    <n v="52"/>
    <x v="0"/>
    <x v="1"/>
    <x v="28"/>
    <x v="0"/>
  </r>
  <r>
    <x v="473"/>
    <x v="0"/>
    <n v="6"/>
    <x v="291"/>
    <s v="03-01-2016"/>
    <x v="4"/>
    <x v="4"/>
    <x v="4"/>
    <x v="2"/>
    <n v="6"/>
    <x v="4"/>
    <s v="MI"/>
    <s v="09-01-2016"/>
    <n v="552"/>
    <n v="266"/>
    <n v="48.188405797101446"/>
    <n v="11.947463768115941"/>
    <n v="6595"/>
    <n v="13.047101449275363"/>
    <n v="607"/>
    <n v="7202"/>
    <n v="57"/>
    <x v="0"/>
    <x v="1"/>
    <x v="28"/>
    <x v="0"/>
  </r>
  <r>
    <x v="474"/>
    <x v="0"/>
    <n v="5"/>
    <x v="285"/>
    <s v="15-01-2016"/>
    <x v="4"/>
    <x v="8"/>
    <x v="8"/>
    <x v="3"/>
    <n v="6"/>
    <x v="8"/>
    <s v="OH"/>
    <s v="20-01-2016"/>
    <n v="513"/>
    <n v="435"/>
    <n v="84.795321637426895"/>
    <n v="15.69785575048733"/>
    <n v="8053"/>
    <n v="16.750487329434698"/>
    <n v="540"/>
    <n v="8593"/>
    <n v="66"/>
    <x v="0"/>
    <x v="5"/>
    <x v="41"/>
    <x v="0"/>
  </r>
  <r>
    <x v="475"/>
    <x v="0"/>
    <n v="7"/>
    <x v="218"/>
    <s v="27-07-2016"/>
    <x v="3"/>
    <x v="10"/>
    <x v="10"/>
    <x v="1"/>
    <n v="6"/>
    <x v="10"/>
    <s v="IL"/>
    <s v="02-08-2016"/>
    <n v="643"/>
    <n v="328"/>
    <n v="51.010886469673409"/>
    <n v="1.5847589424572317"/>
    <n v="1019"/>
    <n v="1.9004665629860031"/>
    <n v="203"/>
    <n v="1222"/>
    <n v="55"/>
    <x v="0"/>
    <x v="1"/>
    <x v="28"/>
    <x v="0"/>
  </r>
  <r>
    <x v="476"/>
    <x v="1"/>
    <n v="8"/>
    <x v="234"/>
    <s v="16-07-2016"/>
    <x v="3"/>
    <x v="2"/>
    <x v="2"/>
    <x v="1"/>
    <n v="6"/>
    <x v="2"/>
    <s v="IL"/>
    <s v="21-03-2016"/>
    <n v="400"/>
    <n v="400"/>
    <n v="100"/>
    <n v="2.1825000000000001"/>
    <n v="873"/>
    <n v="2.5"/>
    <n v="127"/>
    <n v="1000"/>
    <n v="87"/>
    <x v="0"/>
    <x v="8"/>
    <x v="67"/>
    <x v="1"/>
  </r>
  <r>
    <x v="477"/>
    <x v="0"/>
    <n v="5"/>
    <x v="254"/>
    <s v="14-04-2016"/>
    <x v="0"/>
    <x v="4"/>
    <x v="4"/>
    <x v="2"/>
    <n v="6"/>
    <x v="4"/>
    <s v="MI"/>
    <s v="19-04-2016"/>
    <n v="553"/>
    <n v="553"/>
    <n v="100"/>
    <n v="7.3725135623869802"/>
    <n v="4077"/>
    <n v="9.0235081374321879"/>
    <n v="913"/>
    <n v="4990"/>
    <n v="63"/>
    <x v="0"/>
    <x v="7"/>
    <x v="41"/>
    <x v="0"/>
  </r>
  <r>
    <x v="478"/>
    <x v="1"/>
    <n v="6"/>
    <x v="106"/>
    <s v="22-02-2016"/>
    <x v="2"/>
    <x v="16"/>
    <x v="16"/>
    <x v="4"/>
    <n v="6"/>
    <x v="16"/>
    <s v="MI"/>
    <s v="28-02-2016"/>
    <n v="702"/>
    <n v="702"/>
    <n v="100"/>
    <n v="5.816239316239316"/>
    <n v="4083"/>
    <n v="6.0455840455840457"/>
    <n v="161"/>
    <n v="4244"/>
    <n v="77"/>
    <x v="0"/>
    <x v="6"/>
    <x v="28"/>
    <x v="0"/>
  </r>
  <r>
    <x v="479"/>
    <x v="0"/>
    <n v="8"/>
    <x v="286"/>
    <s v="01-07-2016"/>
    <x v="3"/>
    <x v="10"/>
    <x v="10"/>
    <x v="1"/>
    <n v="6"/>
    <x v="10"/>
    <s v="IL"/>
    <s v="06-07-2016"/>
    <n v="917"/>
    <n v="769"/>
    <n v="83.860414394765542"/>
    <n v="5.0926935659760089"/>
    <n v="4670"/>
    <n v="5.4460196292257361"/>
    <n v="324"/>
    <n v="4994"/>
    <n v="63"/>
    <x v="0"/>
    <x v="2"/>
    <x v="41"/>
    <x v="0"/>
  </r>
  <r>
    <x v="480"/>
    <x v="1"/>
    <n v="5"/>
    <x v="241"/>
    <s v="23-03-2016"/>
    <x v="1"/>
    <x v="1"/>
    <x v="1"/>
    <x v="1"/>
    <n v="6"/>
    <x v="1"/>
    <s v="WI"/>
    <s v="29-03-2016"/>
    <n v="863"/>
    <n v="517"/>
    <n v="59.907300115874854"/>
    <n v="2.7010428736964078"/>
    <n v="2331"/>
    <n v="3.8122827346465815"/>
    <n v="959"/>
    <n v="3290"/>
    <n v="98"/>
    <x v="0"/>
    <x v="8"/>
    <x v="28"/>
    <x v="0"/>
  </r>
  <r>
    <x v="481"/>
    <x v="1"/>
    <n v="8"/>
    <x v="292"/>
    <s v="10-04-2016"/>
    <x v="0"/>
    <x v="6"/>
    <x v="6"/>
    <x v="4"/>
    <n v="6"/>
    <x v="6"/>
    <s v="IN"/>
    <s v="15-04-2016"/>
    <n v="768"/>
    <n v="693"/>
    <n v="90.234375"/>
    <n v="9.58203125"/>
    <n v="7359"/>
    <n v="9.7669270833333339"/>
    <n v="142"/>
    <n v="7501"/>
    <n v="50"/>
    <x v="0"/>
    <x v="9"/>
    <x v="41"/>
    <x v="0"/>
  </r>
  <r>
    <x v="482"/>
    <x v="0"/>
    <n v="7"/>
    <x v="223"/>
    <s v="09-01-2016"/>
    <x v="4"/>
    <x v="12"/>
    <x v="12"/>
    <x v="3"/>
    <n v="6"/>
    <x v="12"/>
    <s v="MI"/>
    <s v="15-01-2016"/>
    <n v="1153"/>
    <n v="673"/>
    <n v="58.369470945359936"/>
    <n v="5.2810060711188207"/>
    <n v="6089"/>
    <n v="5.7432784041630525"/>
    <n v="533"/>
    <n v="6622"/>
    <n v="51"/>
    <x v="0"/>
    <x v="9"/>
    <x v="28"/>
    <x v="0"/>
  </r>
  <r>
    <x v="483"/>
    <x v="0"/>
    <n v="4"/>
    <x v="77"/>
    <s v="05-04-2016"/>
    <x v="0"/>
    <x v="5"/>
    <x v="5"/>
    <x v="3"/>
    <n v="6"/>
    <x v="5"/>
    <s v="IA"/>
    <s v="11-04-2016"/>
    <n v="212"/>
    <n v="212"/>
    <n v="100"/>
    <n v="39.028301886792455"/>
    <n v="8274"/>
    <n v="31.650943396226417"/>
    <n v="-1564"/>
    <n v="6710"/>
    <n v="53"/>
    <x v="0"/>
    <x v="3"/>
    <x v="28"/>
    <x v="0"/>
  </r>
  <r>
    <x v="484"/>
    <x v="1"/>
    <n v="3"/>
    <x v="186"/>
    <s v="27-08-2016"/>
    <x v="5"/>
    <x v="1"/>
    <x v="1"/>
    <x v="1"/>
    <n v="6"/>
    <x v="1"/>
    <s v="WI"/>
    <s v="02-09-2016"/>
    <n v="1098"/>
    <n v="786"/>
    <n v="71.58469945355192"/>
    <n v="1.1320582877959928"/>
    <n v="1243"/>
    <n v="1.8761384335154827"/>
    <n v="817"/>
    <n v="2060"/>
    <n v="84"/>
    <x v="0"/>
    <x v="9"/>
    <x v="28"/>
    <x v="0"/>
  </r>
  <r>
    <x v="485"/>
    <x v="1"/>
    <n v="3"/>
    <x v="293"/>
    <s v="05-08-2016"/>
    <x v="5"/>
    <x v="15"/>
    <x v="15"/>
    <x v="4"/>
    <n v="6"/>
    <x v="15"/>
    <s v="IL"/>
    <s v="11-08-2016"/>
    <n v="742"/>
    <n v="434"/>
    <n v="58.490566037735846"/>
    <n v="8.59299191374663"/>
    <n v="6376"/>
    <n v="9.4353099730458219"/>
    <n v="625"/>
    <n v="7001"/>
    <n v="93"/>
    <x v="0"/>
    <x v="9"/>
    <x v="28"/>
    <x v="0"/>
  </r>
  <r>
    <x v="486"/>
    <x v="1"/>
    <n v="2"/>
    <x v="143"/>
    <s v="25-01-2016"/>
    <x v="4"/>
    <x v="5"/>
    <x v="5"/>
    <x v="3"/>
    <n v="6"/>
    <x v="5"/>
    <s v="IA"/>
    <s v="29-01-2016"/>
    <n v="936"/>
    <n v="237"/>
    <n v="25.320512820512818"/>
    <n v="7.6452991452991457"/>
    <n v="7156"/>
    <n v="8.2585470085470085"/>
    <n v="574"/>
    <n v="7730"/>
    <n v="85"/>
    <x v="0"/>
    <x v="8"/>
    <x v="1"/>
    <x v="0"/>
  </r>
  <r>
    <x v="487"/>
    <x v="0"/>
    <n v="2"/>
    <x v="82"/>
    <s v="17-06-2016"/>
    <x v="6"/>
    <x v="9"/>
    <x v="9"/>
    <x v="3"/>
    <n v="6"/>
    <x v="9"/>
    <s v="IN"/>
    <s v="23-06-2016"/>
    <n v="450"/>
    <n v="450"/>
    <n v="100"/>
    <n v="11.315555555555555"/>
    <n v="5092"/>
    <n v="12.124444444444444"/>
    <n v="364"/>
    <n v="5456"/>
    <n v="80"/>
    <x v="0"/>
    <x v="9"/>
    <x v="28"/>
    <x v="0"/>
  </r>
  <r>
    <x v="488"/>
    <x v="1"/>
    <n v="6"/>
    <x v="228"/>
    <s v="13-02-2016"/>
    <x v="2"/>
    <x v="19"/>
    <x v="19"/>
    <x v="0"/>
    <n v="6"/>
    <x v="19"/>
    <s v="WI"/>
    <s v="19-02-2016"/>
    <n v="782"/>
    <n v="270"/>
    <n v="34.526854219948852"/>
    <n v="4.0716112531969308"/>
    <n v="3184"/>
    <n v="4.7864450127877234"/>
    <n v="559"/>
    <n v="3743"/>
    <n v="62"/>
    <x v="0"/>
    <x v="3"/>
    <x v="28"/>
    <x v="0"/>
  </r>
  <r>
    <x v="489"/>
    <x v="1"/>
    <n v="5"/>
    <x v="282"/>
    <s v="21-04-2016"/>
    <x v="0"/>
    <x v="3"/>
    <x v="3"/>
    <x v="2"/>
    <n v="6"/>
    <x v="3"/>
    <s v="IL"/>
    <s v="27-04-2016"/>
    <n v="471"/>
    <n v="471"/>
    <n v="100"/>
    <n v="12.972399150743099"/>
    <n v="6110"/>
    <n v="14.968152866242038"/>
    <n v="940"/>
    <n v="7050"/>
    <n v="54"/>
    <x v="0"/>
    <x v="8"/>
    <x v="28"/>
    <x v="0"/>
  </r>
  <r>
    <x v="490"/>
    <x v="0"/>
    <n v="4"/>
    <x v="157"/>
    <s v="28-04-2016"/>
    <x v="0"/>
    <x v="14"/>
    <x v="14"/>
    <x v="1"/>
    <n v="6"/>
    <x v="14"/>
    <s v="IL"/>
    <s v="04-05-2016"/>
    <n v="956"/>
    <n v="643"/>
    <n v="67.259414225941427"/>
    <n v="5.497907949790795"/>
    <n v="5256"/>
    <n v="3.256276150627615"/>
    <n v="-2143"/>
    <n v="3113"/>
    <n v="72"/>
    <x v="0"/>
    <x v="4"/>
    <x v="28"/>
    <x v="0"/>
  </r>
  <r>
    <x v="491"/>
    <x v="2"/>
    <n v="3"/>
    <x v="273"/>
    <s v="13-05-2016"/>
    <x v="7"/>
    <x v="12"/>
    <x v="12"/>
    <x v="3"/>
    <n v="6"/>
    <x v="12"/>
    <s v="MI"/>
    <s v="19-05-2016"/>
    <n v="478"/>
    <n v="478"/>
    <n v="100"/>
    <n v="8.539748953974895"/>
    <n v="4082"/>
    <n v="9.6506276150627617"/>
    <n v="531"/>
    <n v="4613"/>
    <n v="65"/>
    <x v="0"/>
    <x v="4"/>
    <x v="28"/>
    <x v="0"/>
  </r>
  <r>
    <x v="492"/>
    <x v="0"/>
    <n v="2"/>
    <x v="191"/>
    <s v="10-03-2016"/>
    <x v="1"/>
    <x v="1"/>
    <x v="1"/>
    <x v="1"/>
    <n v="6"/>
    <x v="1"/>
    <s v="WI"/>
    <s v="16-03-2016"/>
    <n v="401"/>
    <n v="401"/>
    <n v="100"/>
    <n v="17.885286783042392"/>
    <n v="7172"/>
    <n v="19.593516209476309"/>
    <n v="685"/>
    <n v="7857"/>
    <n v="68"/>
    <x v="0"/>
    <x v="7"/>
    <x v="28"/>
    <x v="0"/>
  </r>
  <r>
    <x v="493"/>
    <x v="0"/>
    <n v="2"/>
    <x v="240"/>
    <s v="08-07-2016"/>
    <x v="3"/>
    <x v="16"/>
    <x v="16"/>
    <x v="4"/>
    <n v="6"/>
    <x v="16"/>
    <s v="MI"/>
    <s v="21-03-2016"/>
    <n v="700"/>
    <n v="220"/>
    <n v="31.428571428571427"/>
    <n v="7.3971428571428568"/>
    <n v="5178"/>
    <n v="7.9057142857142857"/>
    <n v="356"/>
    <n v="5534"/>
    <n v="94"/>
    <x v="0"/>
    <x v="7"/>
    <x v="68"/>
    <x v="1"/>
  </r>
  <r>
    <x v="494"/>
    <x v="2"/>
    <n v="5"/>
    <x v="294"/>
    <s v="26-03-2016"/>
    <x v="1"/>
    <x v="0"/>
    <x v="0"/>
    <x v="0"/>
    <n v="6"/>
    <x v="0"/>
    <s v="MI"/>
    <s v="01-04-2016"/>
    <n v="233"/>
    <n v="233"/>
    <n v="100"/>
    <n v="34.502145922746784"/>
    <n v="8039"/>
    <n v="36.815450643776821"/>
    <n v="539"/>
    <n v="8578"/>
    <n v="66"/>
    <x v="0"/>
    <x v="2"/>
    <x v="28"/>
    <x v="0"/>
  </r>
  <r>
    <x v="495"/>
    <x v="0"/>
    <n v="6"/>
    <x v="203"/>
    <s v="21-05-2016"/>
    <x v="7"/>
    <x v="5"/>
    <x v="5"/>
    <x v="3"/>
    <n v="6"/>
    <x v="5"/>
    <s v="IA"/>
    <s v="24-05-2016"/>
    <n v="271"/>
    <n v="271"/>
    <n v="100"/>
    <n v="7.0295202952029516"/>
    <n v="1905"/>
    <n v="8.6383763837638377"/>
    <n v="436"/>
    <n v="2341"/>
    <n v="66"/>
    <x v="0"/>
    <x v="3"/>
    <x v="64"/>
    <x v="0"/>
  </r>
  <r>
    <x v="496"/>
    <x v="0"/>
    <n v="2"/>
    <x v="295"/>
    <s v="30-01-2016"/>
    <x v="4"/>
    <x v="2"/>
    <x v="2"/>
    <x v="1"/>
    <n v="6"/>
    <x v="2"/>
    <s v="IL"/>
    <s v="05-02-2016"/>
    <n v="345"/>
    <n v="214"/>
    <n v="62.028985507246382"/>
    <n v="24.713043478260868"/>
    <n v="8526"/>
    <n v="25.318840579710145"/>
    <n v="209"/>
    <n v="8735"/>
    <n v="68"/>
    <x v="0"/>
    <x v="1"/>
    <x v="28"/>
    <x v="0"/>
  </r>
  <r>
    <x v="497"/>
    <x v="0"/>
    <n v="3"/>
    <x v="296"/>
    <s v="22-03-2016"/>
    <x v="1"/>
    <x v="23"/>
    <x v="23"/>
    <x v="1"/>
    <n v="6"/>
    <x v="23"/>
    <s v="WI"/>
    <s v="28-03-2016"/>
    <n v="594"/>
    <n v="594"/>
    <n v="100"/>
    <n v="7.7525252525252526"/>
    <n v="4605"/>
    <n v="9.3350168350168357"/>
    <n v="940"/>
    <n v="5545"/>
    <n v="67"/>
    <x v="0"/>
    <x v="3"/>
    <x v="28"/>
    <x v="0"/>
  </r>
  <r>
    <x v="498"/>
    <x v="0"/>
    <n v="3"/>
    <x v="161"/>
    <s v="24-08-2016"/>
    <x v="5"/>
    <x v="14"/>
    <x v="14"/>
    <x v="1"/>
    <n v="6"/>
    <x v="14"/>
    <s v="IL"/>
    <s v="30-08-2016"/>
    <n v="1088"/>
    <n v="692"/>
    <n v="63.602941176470587"/>
    <n v="7.6148897058823533"/>
    <n v="8285"/>
    <n v="7.9512867647058822"/>
    <n v="366"/>
    <n v="8651"/>
    <n v="50"/>
    <x v="0"/>
    <x v="8"/>
    <x v="28"/>
    <x v="0"/>
  </r>
  <r>
    <x v="499"/>
    <x v="2"/>
    <n v="2"/>
    <x v="208"/>
    <s v="25-03-2016"/>
    <x v="1"/>
    <x v="8"/>
    <x v="8"/>
    <x v="3"/>
    <n v="6"/>
    <x v="8"/>
    <s v="OH"/>
    <s v="30-03-2016"/>
    <n v="300"/>
    <n v="283"/>
    <n v="94.333333333333343"/>
    <n v="5.5333333333333332"/>
    <n v="1660"/>
    <n v="7.4"/>
    <n v="560"/>
    <n v="2220"/>
    <n v="62"/>
    <x v="0"/>
    <x v="6"/>
    <x v="41"/>
    <x v="0"/>
  </r>
  <r>
    <x v="500"/>
    <x v="0"/>
    <n v="3"/>
    <x v="110"/>
    <s v="25-04-2016"/>
    <x v="0"/>
    <x v="0"/>
    <x v="0"/>
    <x v="0"/>
    <n v="6"/>
    <x v="0"/>
    <s v="MI"/>
    <s v="21-03-2016"/>
    <n v="766"/>
    <n v="314"/>
    <n v="40.992167101827675"/>
    <n v="7.6409921671018273"/>
    <n v="5853"/>
    <n v="7.7872062663185382"/>
    <n v="112"/>
    <n v="5965"/>
    <n v="58"/>
    <x v="0"/>
    <x v="7"/>
    <x v="69"/>
    <x v="1"/>
  </r>
  <r>
    <x v="501"/>
    <x v="2"/>
    <n v="4"/>
    <x v="297"/>
    <s v="29-01-2016"/>
    <x v="4"/>
    <x v="13"/>
    <x v="13"/>
    <x v="1"/>
    <n v="6"/>
    <x v="13"/>
    <s v="OH"/>
    <s v="04-02-2016"/>
    <n v="352"/>
    <n v="352"/>
    <n v="100"/>
    <n v="17.55965909090909"/>
    <n v="6181"/>
    <n v="14.278409090909092"/>
    <n v="-1155"/>
    <n v="5026"/>
    <n v="72"/>
    <x v="0"/>
    <x v="2"/>
    <x v="28"/>
    <x v="0"/>
  </r>
  <r>
    <x v="502"/>
    <x v="2"/>
    <n v="5"/>
    <x v="201"/>
    <s v="10-07-2016"/>
    <x v="3"/>
    <x v="1"/>
    <x v="1"/>
    <x v="1"/>
    <n v="6"/>
    <x v="1"/>
    <s v="WI"/>
    <s v="16-07-2016"/>
    <n v="601"/>
    <n v="274"/>
    <n v="45.590682196339429"/>
    <n v="13.527454242928453"/>
    <n v="8130"/>
    <n v="14.590682196339435"/>
    <n v="639"/>
    <n v="8769"/>
    <n v="55"/>
    <x v="0"/>
    <x v="1"/>
    <x v="28"/>
    <x v="0"/>
  </r>
  <r>
    <x v="503"/>
    <x v="2"/>
    <n v="1"/>
    <x v="180"/>
    <s v="13-04-2016"/>
    <x v="0"/>
    <x v="16"/>
    <x v="16"/>
    <x v="4"/>
    <n v="6"/>
    <x v="16"/>
    <s v="MI"/>
    <s v="21-03-2016"/>
    <n v="256"/>
    <n v="256"/>
    <n v="100"/>
    <n v="24.7421875"/>
    <n v="6334"/>
    <n v="44.56640625"/>
    <n v="5075"/>
    <n v="11409"/>
    <n v="98"/>
    <x v="0"/>
    <x v="3"/>
    <x v="70"/>
    <x v="1"/>
  </r>
  <r>
    <x v="504"/>
    <x v="0"/>
    <n v="4"/>
    <x v="298"/>
    <s v="06-04-2016"/>
    <x v="0"/>
    <x v="18"/>
    <x v="18"/>
    <x v="1"/>
    <n v="6"/>
    <x v="18"/>
    <s v="IN"/>
    <s v="12-04-2016"/>
    <n v="955"/>
    <n v="452"/>
    <n v="47.329842931937172"/>
    <n v="4.2743455497382197"/>
    <n v="4082"/>
    <n v="3.0272251308900522"/>
    <n v="-1191"/>
    <n v="2891"/>
    <n v="95"/>
    <x v="0"/>
    <x v="2"/>
    <x v="28"/>
    <x v="0"/>
  </r>
  <r>
    <x v="505"/>
    <x v="2"/>
    <n v="4"/>
    <x v="18"/>
    <s v="03-01-2016"/>
    <x v="4"/>
    <x v="1"/>
    <x v="1"/>
    <x v="1"/>
    <n v="6"/>
    <x v="1"/>
    <s v="WI"/>
    <s v="21-03-2016"/>
    <n v="224"/>
    <n v="224"/>
    <n v="100"/>
    <n v="12.375"/>
    <n v="2772"/>
    <n v="4.96875"/>
    <n v="-1659"/>
    <n v="1113"/>
    <n v="72"/>
    <x v="0"/>
    <x v="6"/>
    <x v="71"/>
    <x v="0"/>
  </r>
  <r>
    <x v="506"/>
    <x v="2"/>
    <n v="6"/>
    <x v="299"/>
    <s v="12-07-2016"/>
    <x v="3"/>
    <x v="17"/>
    <x v="17"/>
    <x v="3"/>
    <n v="6"/>
    <x v="17"/>
    <s v="OH"/>
    <s v="18-07-2016"/>
    <n v="1160"/>
    <n v="724"/>
    <n v="62.413793103448278"/>
    <n v="5.2465517241379311"/>
    <n v="6086"/>
    <n v="6.0517241379310347"/>
    <n v="934"/>
    <n v="7020"/>
    <n v="89"/>
    <x v="0"/>
    <x v="6"/>
    <x v="28"/>
    <x v="0"/>
  </r>
  <r>
    <x v="507"/>
    <x v="2"/>
    <n v="3"/>
    <x v="65"/>
    <s v="28-06-2016"/>
    <x v="6"/>
    <x v="19"/>
    <x v="19"/>
    <x v="0"/>
    <n v="6"/>
    <x v="19"/>
    <s v="WI"/>
    <s v="02-07-2016"/>
    <n v="927"/>
    <n v="542"/>
    <n v="58.468176914778859"/>
    <n v="3.5480043149946061"/>
    <n v="3289"/>
    <n v="4.4865156418554477"/>
    <n v="870"/>
    <n v="4159"/>
    <n v="65"/>
    <x v="0"/>
    <x v="3"/>
    <x v="1"/>
    <x v="0"/>
  </r>
  <r>
    <x v="508"/>
    <x v="2"/>
    <n v="5"/>
    <x v="300"/>
    <s v="26-04-2016"/>
    <x v="0"/>
    <x v="23"/>
    <x v="23"/>
    <x v="1"/>
    <n v="6"/>
    <x v="23"/>
    <s v="WI"/>
    <s v="02-05-2016"/>
    <n v="953"/>
    <n v="654"/>
    <n v="68.625393494228746"/>
    <n v="2.3043022035676812"/>
    <n v="2196"/>
    <n v="3.2717733473242392"/>
    <n v="922"/>
    <n v="3118"/>
    <n v="99"/>
    <x v="0"/>
    <x v="1"/>
    <x v="28"/>
    <x v="0"/>
  </r>
  <r>
    <x v="509"/>
    <x v="0"/>
    <n v="6"/>
    <x v="256"/>
    <s v="22-04-2016"/>
    <x v="0"/>
    <x v="0"/>
    <x v="0"/>
    <x v="0"/>
    <n v="6"/>
    <x v="0"/>
    <s v="MI"/>
    <s v="21-03-2016"/>
    <n v="791"/>
    <n v="551"/>
    <n v="69.658659924146647"/>
    <n v="6.8116308470290772"/>
    <n v="5388"/>
    <n v="7.4525916561314789"/>
    <n v="507"/>
    <n v="5895"/>
    <n v="60"/>
    <x v="0"/>
    <x v="7"/>
    <x v="72"/>
    <x v="1"/>
  </r>
  <r>
    <x v="510"/>
    <x v="2"/>
    <n v="1"/>
    <x v="301"/>
    <s v="04-02-2016"/>
    <x v="2"/>
    <x v="22"/>
    <x v="22"/>
    <x v="0"/>
    <n v="6"/>
    <x v="22"/>
    <s v="IL"/>
    <s v="10-02-2016"/>
    <n v="1070"/>
    <n v="572"/>
    <n v="53.457943925233643"/>
    <n v="2.2411214953271026"/>
    <n v="2398"/>
    <n v="6.244859813084112"/>
    <n v="4284"/>
    <n v="6682"/>
    <n v="71"/>
    <x v="0"/>
    <x v="8"/>
    <x v="28"/>
    <x v="0"/>
  </r>
  <r>
    <x v="511"/>
    <x v="0"/>
    <n v="4"/>
    <x v="152"/>
    <s v="30-04-2016"/>
    <x v="0"/>
    <x v="4"/>
    <x v="4"/>
    <x v="2"/>
    <n v="6"/>
    <x v="4"/>
    <s v="MI"/>
    <s v="03-05-2016"/>
    <n v="1148"/>
    <n v="652"/>
    <n v="56.79442508710801"/>
    <n v="6.3937282229965158"/>
    <n v="7340"/>
    <n v="4.8066202090592336"/>
    <n v="-1822"/>
    <n v="5518"/>
    <n v="92"/>
    <x v="0"/>
    <x v="5"/>
    <x v="64"/>
    <x v="0"/>
  </r>
  <r>
    <x v="512"/>
    <x v="2"/>
    <n v="5"/>
    <x v="176"/>
    <s v="22-02-2016"/>
    <x v="2"/>
    <x v="11"/>
    <x v="11"/>
    <x v="2"/>
    <n v="6"/>
    <x v="11"/>
    <s v="MI"/>
    <s v="28-02-2016"/>
    <n v="253"/>
    <n v="253"/>
    <n v="100"/>
    <n v="8.4664031620553359"/>
    <n v="2142"/>
    <n v="11.869565217391305"/>
    <n v="861"/>
    <n v="3003"/>
    <n v="84"/>
    <x v="0"/>
    <x v="8"/>
    <x v="28"/>
    <x v="0"/>
  </r>
  <r>
    <x v="513"/>
    <x v="0"/>
    <n v="2"/>
    <x v="126"/>
    <s v="21-02-2016"/>
    <x v="2"/>
    <x v="19"/>
    <x v="19"/>
    <x v="0"/>
    <n v="6"/>
    <x v="19"/>
    <s v="WI"/>
    <s v="27-02-2016"/>
    <n v="786"/>
    <n v="281"/>
    <n v="35.75063613231552"/>
    <n v="3.2849872773536894"/>
    <n v="2582"/>
    <n v="3.9491094147582699"/>
    <n v="522"/>
    <n v="3104"/>
    <n v="86"/>
    <x v="0"/>
    <x v="6"/>
    <x v="28"/>
    <x v="0"/>
  </r>
  <r>
    <x v="514"/>
    <x v="0"/>
    <n v="6"/>
    <x v="17"/>
    <s v="16-04-2016"/>
    <x v="0"/>
    <x v="8"/>
    <x v="8"/>
    <x v="3"/>
    <n v="6"/>
    <x v="8"/>
    <s v="OH"/>
    <s v="24-04-2016"/>
    <n v="752"/>
    <n v="288"/>
    <n v="38.297872340425535"/>
    <n v="9.8457446808510642"/>
    <n v="7404"/>
    <n v="10.095744680851064"/>
    <n v="188"/>
    <n v="7592"/>
    <n v="69"/>
    <x v="0"/>
    <x v="6"/>
    <x v="5"/>
    <x v="0"/>
  </r>
  <r>
    <x v="515"/>
    <x v="2"/>
    <n v="6"/>
    <x v="229"/>
    <s v="17-01-2016"/>
    <x v="4"/>
    <x v="7"/>
    <x v="7"/>
    <x v="5"/>
    <n v="6"/>
    <x v="7"/>
    <s v="WI"/>
    <s v="22-01-2016"/>
    <n v="482"/>
    <n v="366"/>
    <n v="75.933609958506224"/>
    <n v="9.6908713692946051"/>
    <n v="4671"/>
    <n v="11.296680497925312"/>
    <n v="774"/>
    <n v="5445"/>
    <n v="55"/>
    <x v="0"/>
    <x v="3"/>
    <x v="41"/>
    <x v="0"/>
  </r>
  <r>
    <x v="516"/>
    <x v="0"/>
    <n v="1"/>
    <x v="3"/>
    <s v="07-04-2016"/>
    <x v="0"/>
    <x v="0"/>
    <x v="0"/>
    <x v="0"/>
    <n v="6"/>
    <x v="0"/>
    <s v="MI"/>
    <s v="14-04-2016"/>
    <n v="939"/>
    <n v="529"/>
    <n v="56.336528221512253"/>
    <n v="3.1757188498402558"/>
    <n v="2982"/>
    <n v="8.3716719914802979"/>
    <n v="4879"/>
    <n v="7861"/>
    <n v="99"/>
    <x v="0"/>
    <x v="0"/>
    <x v="4"/>
    <x v="0"/>
  </r>
  <r>
    <x v="517"/>
    <x v="0"/>
    <n v="6"/>
    <x v="182"/>
    <s v="05-03-2016"/>
    <x v="1"/>
    <x v="9"/>
    <x v="9"/>
    <x v="3"/>
    <n v="6"/>
    <x v="9"/>
    <s v="IN"/>
    <s v="12-03-2016"/>
    <n v="536"/>
    <n v="455"/>
    <n v="84.888059701492537"/>
    <n v="10.33955223880597"/>
    <n v="5542"/>
    <n v="11.770522388059701"/>
    <n v="767"/>
    <n v="6309"/>
    <n v="89"/>
    <x v="0"/>
    <x v="5"/>
    <x v="4"/>
    <x v="0"/>
  </r>
  <r>
    <x v="518"/>
    <x v="0"/>
    <n v="2"/>
    <x v="130"/>
    <s v="24-07-2016"/>
    <x v="3"/>
    <x v="19"/>
    <x v="19"/>
    <x v="0"/>
    <n v="6"/>
    <x v="19"/>
    <s v="WI"/>
    <s v="02-08-2016"/>
    <n v="437"/>
    <n v="437"/>
    <n v="100"/>
    <n v="14.931350114416476"/>
    <n v="6525"/>
    <n v="15.427917620137301"/>
    <n v="217"/>
    <n v="6742"/>
    <n v="78"/>
    <x v="0"/>
    <x v="5"/>
    <x v="2"/>
    <x v="0"/>
  </r>
  <r>
    <x v="519"/>
    <x v="0"/>
    <n v="6"/>
    <x v="117"/>
    <s v="17-06-2016"/>
    <x v="6"/>
    <x v="23"/>
    <x v="23"/>
    <x v="1"/>
    <n v="6"/>
    <x v="23"/>
    <s v="WI"/>
    <s v="26-06-2016"/>
    <n v="1196"/>
    <n v="383"/>
    <n v="32.023411371237458"/>
    <n v="4.158026755852843"/>
    <n v="4973"/>
    <n v="4.3737458193979935"/>
    <n v="258"/>
    <n v="5231"/>
    <n v="100"/>
    <x v="0"/>
    <x v="6"/>
    <x v="2"/>
    <x v="0"/>
  </r>
  <r>
    <x v="520"/>
    <x v="0"/>
    <n v="1"/>
    <x v="68"/>
    <s v="04-06-2016"/>
    <x v="6"/>
    <x v="20"/>
    <x v="20"/>
    <x v="1"/>
    <n v="6"/>
    <x v="20"/>
    <s v="IL"/>
    <s v="13-06-2016"/>
    <n v="650"/>
    <n v="382"/>
    <n v="58.769230769230774"/>
    <n v="9.9046153846153846"/>
    <n v="6438"/>
    <n v="17.227692307692308"/>
    <n v="4760"/>
    <n v="11198"/>
    <n v="54"/>
    <x v="0"/>
    <x v="7"/>
    <x v="2"/>
    <x v="0"/>
  </r>
  <r>
    <x v="521"/>
    <x v="0"/>
    <n v="5"/>
    <x v="8"/>
    <s v="23-03-2016"/>
    <x v="1"/>
    <x v="1"/>
    <x v="1"/>
    <x v="1"/>
    <n v="6"/>
    <x v="1"/>
    <s v="WI"/>
    <s v="31-03-2016"/>
    <n v="508"/>
    <n v="202"/>
    <n v="39.763779527559059"/>
    <n v="11.045275590551181"/>
    <n v="5611"/>
    <n v="11.970472440944881"/>
    <n v="470"/>
    <n v="6081"/>
    <n v="84"/>
    <x v="0"/>
    <x v="3"/>
    <x v="5"/>
    <x v="0"/>
  </r>
  <r>
    <x v="522"/>
    <x v="2"/>
    <n v="2"/>
    <x v="196"/>
    <s v="09-08-2016"/>
    <x v="5"/>
    <x v="9"/>
    <x v="9"/>
    <x v="3"/>
    <n v="6"/>
    <x v="9"/>
    <s v="IN"/>
    <s v="15-08-2016"/>
    <n v="258"/>
    <n v="258"/>
    <n v="100"/>
    <n v="23.290697674418606"/>
    <n v="6009"/>
    <n v="23.895348837209301"/>
    <n v="156"/>
    <n v="6165"/>
    <n v="60"/>
    <x v="0"/>
    <x v="2"/>
    <x v="28"/>
    <x v="0"/>
  </r>
  <r>
    <x v="523"/>
    <x v="0"/>
    <n v="1"/>
    <x v="11"/>
    <s v="03-04-2016"/>
    <x v="0"/>
    <x v="0"/>
    <x v="0"/>
    <x v="0"/>
    <n v="6"/>
    <x v="0"/>
    <s v="MI"/>
    <s v="21-03-2016"/>
    <n v="320"/>
    <n v="320"/>
    <n v="100"/>
    <n v="12.665625"/>
    <n v="4053"/>
    <n v="26.265625"/>
    <n v="4352"/>
    <n v="8405"/>
    <n v="90"/>
    <x v="0"/>
    <x v="8"/>
    <x v="73"/>
    <x v="1"/>
  </r>
  <r>
    <x v="524"/>
    <x v="2"/>
    <n v="1"/>
    <x v="124"/>
    <s v="13-08-2016"/>
    <x v="5"/>
    <x v="7"/>
    <x v="7"/>
    <x v="5"/>
    <n v="6"/>
    <x v="7"/>
    <s v="WI"/>
    <s v="19-08-2016"/>
    <n v="1033"/>
    <n v="627"/>
    <n v="60.696999031945786"/>
    <n v="4.6137463697967087"/>
    <n v="4766"/>
    <n v="8.4356243949661174"/>
    <n v="3948"/>
    <n v="8714"/>
    <n v="50"/>
    <x v="0"/>
    <x v="9"/>
    <x v="28"/>
    <x v="0"/>
  </r>
  <r>
    <x v="525"/>
    <x v="2"/>
    <n v="3"/>
    <x v="30"/>
    <s v="07-02-2016"/>
    <x v="2"/>
    <x v="5"/>
    <x v="5"/>
    <x v="3"/>
    <n v="6"/>
    <x v="5"/>
    <s v="IA"/>
    <s v="13-02-2016"/>
    <n v="532"/>
    <n v="532"/>
    <n v="100"/>
    <n v="12.234962406015038"/>
    <n v="6509"/>
    <n v="13.404135338345865"/>
    <n v="622"/>
    <n v="7131"/>
    <n v="98"/>
    <x v="0"/>
    <x v="6"/>
    <x v="28"/>
    <x v="0"/>
  </r>
  <r>
    <x v="526"/>
    <x v="2"/>
    <n v="6"/>
    <x v="197"/>
    <s v="21-07-2016"/>
    <x v="3"/>
    <x v="11"/>
    <x v="11"/>
    <x v="2"/>
    <n v="6"/>
    <x v="11"/>
    <s v="MI"/>
    <s v="27-07-2016"/>
    <n v="899"/>
    <n v="534"/>
    <n v="59.399332591768626"/>
    <n v="5.1802002224694101"/>
    <n v="4657"/>
    <n v="6.2246941045606228"/>
    <n v="939"/>
    <n v="5596"/>
    <n v="55"/>
    <x v="0"/>
    <x v="3"/>
    <x v="28"/>
    <x v="0"/>
  </r>
  <r>
    <x v="527"/>
    <x v="2"/>
    <n v="3"/>
    <x v="166"/>
    <s v="24-06-2016"/>
    <x v="6"/>
    <x v="8"/>
    <x v="8"/>
    <x v="3"/>
    <n v="6"/>
    <x v="8"/>
    <s v="OH"/>
    <s v="28-06-2016"/>
    <n v="1118"/>
    <n v="357"/>
    <n v="31.932021466905187"/>
    <n v="7.1001788908765651"/>
    <n v="7938"/>
    <n v="7.9561717352415027"/>
    <n v="957"/>
    <n v="8895"/>
    <n v="62"/>
    <x v="0"/>
    <x v="0"/>
    <x v="1"/>
    <x v="0"/>
  </r>
  <r>
    <x v="528"/>
    <x v="2"/>
    <n v="1"/>
    <x v="302"/>
    <s v="21-07-2016"/>
    <x v="3"/>
    <x v="23"/>
    <x v="23"/>
    <x v="1"/>
    <n v="6"/>
    <x v="23"/>
    <s v="WI"/>
    <s v="27-07-2016"/>
    <n v="337"/>
    <n v="337"/>
    <n v="100"/>
    <n v="10.792284866468842"/>
    <n v="3637"/>
    <n v="26.543026706231455"/>
    <n v="5308"/>
    <n v="8945"/>
    <n v="81"/>
    <x v="0"/>
    <x v="4"/>
    <x v="28"/>
    <x v="0"/>
  </r>
  <r>
    <x v="529"/>
    <x v="0"/>
    <n v="2"/>
    <x v="16"/>
    <s v="09-05-2016"/>
    <x v="7"/>
    <x v="11"/>
    <x v="11"/>
    <x v="2"/>
    <n v="6"/>
    <x v="11"/>
    <s v="MI"/>
    <s v="12-05-2016"/>
    <n v="317"/>
    <n v="317"/>
    <n v="100"/>
    <n v="22.43217665615142"/>
    <n v="7111"/>
    <n v="22.902208201892744"/>
    <n v="149"/>
    <n v="7260"/>
    <n v="51"/>
    <x v="0"/>
    <x v="5"/>
    <x v="64"/>
    <x v="0"/>
  </r>
  <r>
    <x v="530"/>
    <x v="2"/>
    <n v="2"/>
    <x v="282"/>
    <s v="15-01-2016"/>
    <x v="4"/>
    <x v="3"/>
    <x v="3"/>
    <x v="2"/>
    <n v="6"/>
    <x v="3"/>
    <s v="IL"/>
    <s v="21-03-2016"/>
    <n v="364"/>
    <n v="364"/>
    <n v="100"/>
    <n v="14.516483516483516"/>
    <n v="5284"/>
    <n v="15.890109890109891"/>
    <n v="500"/>
    <n v="5784"/>
    <n v="88"/>
    <x v="0"/>
    <x v="8"/>
    <x v="74"/>
    <x v="0"/>
  </r>
  <r>
    <x v="531"/>
    <x v="1"/>
    <n v="7"/>
    <x v="17"/>
    <s v="10-01-2016"/>
    <x v="4"/>
    <x v="4"/>
    <x v="4"/>
    <x v="2"/>
    <n v="5"/>
    <x v="4"/>
    <s v="MI"/>
    <s v="15-01-2016"/>
    <n v="732"/>
    <n v="248"/>
    <n v="33.879781420765028"/>
    <n v="5.0792349726775958"/>
    <n v="3718"/>
    <n v="5.3497267759562845"/>
    <n v="198"/>
    <n v="3916"/>
    <n v="63"/>
    <x v="0"/>
    <x v="1"/>
    <x v="41"/>
    <x v="0"/>
  </r>
  <r>
    <x v="532"/>
    <x v="1"/>
    <n v="4"/>
    <x v="290"/>
    <s v="21-01-2016"/>
    <x v="4"/>
    <x v="2"/>
    <x v="2"/>
    <x v="1"/>
    <n v="5"/>
    <x v="2"/>
    <s v="IL"/>
    <s v="21-03-2016"/>
    <n v="1008"/>
    <n v="778"/>
    <n v="77.182539682539684"/>
    <n v="5.354166666666667"/>
    <n v="5397"/>
    <n v="3.2579365079365079"/>
    <n v="-2113"/>
    <n v="3284"/>
    <n v="71"/>
    <x v="0"/>
    <x v="0"/>
    <x v="75"/>
    <x v="0"/>
  </r>
  <r>
    <x v="533"/>
    <x v="0"/>
    <n v="5"/>
    <x v="130"/>
    <s v="16-05-2016"/>
    <x v="7"/>
    <x v="7"/>
    <x v="7"/>
    <x v="5"/>
    <n v="5"/>
    <x v="7"/>
    <s v="WI"/>
    <s v="21-05-2016"/>
    <n v="377"/>
    <n v="377"/>
    <n v="100"/>
    <n v="3.4641909814323606"/>
    <n v="1306"/>
    <n v="4.5145888594164454"/>
    <n v="396"/>
    <n v="1702"/>
    <n v="94"/>
    <x v="0"/>
    <x v="9"/>
    <x v="41"/>
    <x v="0"/>
  </r>
  <r>
    <x v="534"/>
    <x v="1"/>
    <n v="6"/>
    <x v="240"/>
    <s v="06-02-2016"/>
    <x v="2"/>
    <x v="16"/>
    <x v="16"/>
    <x v="4"/>
    <n v="5"/>
    <x v="16"/>
    <s v="MI"/>
    <s v="11-02-2016"/>
    <n v="627"/>
    <n v="381"/>
    <n v="60.765550239234443"/>
    <n v="12.717703349282298"/>
    <n v="7974"/>
    <n v="13.508771929824562"/>
    <n v="496"/>
    <n v="8470"/>
    <n v="69"/>
    <x v="0"/>
    <x v="5"/>
    <x v="41"/>
    <x v="0"/>
  </r>
  <r>
    <x v="535"/>
    <x v="1"/>
    <n v="7"/>
    <x v="278"/>
    <s v="11-03-2016"/>
    <x v="1"/>
    <x v="13"/>
    <x v="13"/>
    <x v="1"/>
    <n v="5"/>
    <x v="13"/>
    <s v="OH"/>
    <s v="16-03-2016"/>
    <n v="443"/>
    <n v="443"/>
    <n v="100"/>
    <n v="8.6591422121896162"/>
    <n v="3836"/>
    <n v="10.234762979683973"/>
    <n v="698"/>
    <n v="4534"/>
    <n v="92"/>
    <x v="0"/>
    <x v="0"/>
    <x v="41"/>
    <x v="0"/>
  </r>
  <r>
    <x v="536"/>
    <x v="1"/>
    <n v="4"/>
    <x v="85"/>
    <s v="01-05-2016"/>
    <x v="7"/>
    <x v="10"/>
    <x v="10"/>
    <x v="1"/>
    <n v="5"/>
    <x v="10"/>
    <s v="IL"/>
    <s v="04-05-2016"/>
    <n v="477"/>
    <n v="287"/>
    <n v="60.167714884696025"/>
    <n v="10.763102725366876"/>
    <n v="5134"/>
    <n v="5.0922431865828095"/>
    <n v="-2705"/>
    <n v="2429"/>
    <n v="66"/>
    <x v="0"/>
    <x v="2"/>
    <x v="64"/>
    <x v="0"/>
  </r>
  <r>
    <x v="537"/>
    <x v="1"/>
    <n v="7"/>
    <x v="105"/>
    <s v="04-02-2016"/>
    <x v="2"/>
    <x v="11"/>
    <x v="11"/>
    <x v="2"/>
    <n v="5"/>
    <x v="11"/>
    <s v="MI"/>
    <s v="09-02-2016"/>
    <n v="607"/>
    <n v="525"/>
    <n v="86.490939044481053"/>
    <n v="4.7314662273476111"/>
    <n v="2872"/>
    <n v="5.6754530477759477"/>
    <n v="573"/>
    <n v="3445"/>
    <n v="77"/>
    <x v="0"/>
    <x v="9"/>
    <x v="41"/>
    <x v="0"/>
  </r>
  <r>
    <x v="538"/>
    <x v="1"/>
    <n v="6"/>
    <x v="303"/>
    <s v="09-06-2016"/>
    <x v="6"/>
    <x v="12"/>
    <x v="12"/>
    <x v="3"/>
    <n v="5"/>
    <x v="12"/>
    <s v="MI"/>
    <s v="13-06-2016"/>
    <n v="861"/>
    <n v="731"/>
    <n v="84.901277584204422"/>
    <n v="9.3937282229965149"/>
    <n v="8088"/>
    <n v="9.7177700348432055"/>
    <n v="279"/>
    <n v="8367"/>
    <n v="95"/>
    <x v="0"/>
    <x v="4"/>
    <x v="1"/>
    <x v="0"/>
  </r>
  <r>
    <x v="539"/>
    <x v="1"/>
    <n v="6"/>
    <x v="279"/>
    <s v="18-08-2016"/>
    <x v="5"/>
    <x v="4"/>
    <x v="4"/>
    <x v="2"/>
    <n v="5"/>
    <x v="4"/>
    <s v="MI"/>
    <s v="23-08-2016"/>
    <n v="263"/>
    <n v="240"/>
    <n v="91.254752851711032"/>
    <n v="10.182509505703422"/>
    <n v="2678"/>
    <n v="11.452471482889734"/>
    <n v="334"/>
    <n v="3012"/>
    <n v="78"/>
    <x v="0"/>
    <x v="4"/>
    <x v="41"/>
    <x v="0"/>
  </r>
  <r>
    <x v="540"/>
    <x v="1"/>
    <n v="5"/>
    <x v="135"/>
    <s v="12-08-2016"/>
    <x v="5"/>
    <x v="10"/>
    <x v="10"/>
    <x v="1"/>
    <n v="5"/>
    <x v="10"/>
    <s v="IL"/>
    <s v="17-08-2016"/>
    <n v="540"/>
    <n v="540"/>
    <n v="100"/>
    <n v="3.7944444444444443"/>
    <n v="2049"/>
    <n v="5.166666666666667"/>
    <n v="741"/>
    <n v="2790"/>
    <n v="74"/>
    <x v="0"/>
    <x v="3"/>
    <x v="41"/>
    <x v="0"/>
  </r>
  <r>
    <x v="541"/>
    <x v="0"/>
    <n v="8"/>
    <x v="173"/>
    <s v="13-03-2016"/>
    <x v="1"/>
    <x v="19"/>
    <x v="19"/>
    <x v="0"/>
    <n v="5"/>
    <x v="19"/>
    <s v="WI"/>
    <s v="15-03-2016"/>
    <n v="1152"/>
    <n v="268"/>
    <n v="23.263888888888889"/>
    <n v="5.036458333333333"/>
    <n v="5802"/>
    <n v="5.2647569444444446"/>
    <n v="263"/>
    <n v="6065"/>
    <n v="71"/>
    <x v="0"/>
    <x v="9"/>
    <x v="76"/>
    <x v="0"/>
  </r>
  <r>
    <x v="542"/>
    <x v="1"/>
    <n v="5"/>
    <x v="108"/>
    <s v="23-02-2016"/>
    <x v="2"/>
    <x v="16"/>
    <x v="16"/>
    <x v="4"/>
    <n v="5"/>
    <x v="16"/>
    <s v="MI"/>
    <s v="28-02-2016"/>
    <n v="400"/>
    <n v="379"/>
    <n v="94.75"/>
    <n v="9.91"/>
    <n v="3964"/>
    <n v="12.135"/>
    <n v="890"/>
    <n v="4854"/>
    <n v="90"/>
    <x v="0"/>
    <x v="8"/>
    <x v="41"/>
    <x v="0"/>
  </r>
  <r>
    <x v="543"/>
    <x v="1"/>
    <n v="7"/>
    <x v="276"/>
    <s v="01-06-2016"/>
    <x v="6"/>
    <x v="14"/>
    <x v="14"/>
    <x v="1"/>
    <n v="5"/>
    <x v="14"/>
    <s v="IL"/>
    <s v="03-06-2016"/>
    <n v="533"/>
    <n v="310"/>
    <n v="58.161350844277671"/>
    <n v="13.090056285178237"/>
    <n v="6977"/>
    <n v="13.697936210131331"/>
    <n v="324"/>
    <n v="7301"/>
    <n v="68"/>
    <x v="0"/>
    <x v="4"/>
    <x v="76"/>
    <x v="0"/>
  </r>
  <r>
    <x v="544"/>
    <x v="1"/>
    <n v="5"/>
    <x v="244"/>
    <s v="31-05-2016"/>
    <x v="7"/>
    <x v="11"/>
    <x v="11"/>
    <x v="2"/>
    <n v="5"/>
    <x v="11"/>
    <s v="MI"/>
    <s v="05-06-2016"/>
    <n v="933"/>
    <n v="361"/>
    <n v="38.692390139335473"/>
    <n v="4.07395498392283"/>
    <n v="3801"/>
    <n v="4.408360128617363"/>
    <n v="312"/>
    <n v="4113"/>
    <n v="65"/>
    <x v="0"/>
    <x v="6"/>
    <x v="41"/>
    <x v="0"/>
  </r>
  <r>
    <x v="545"/>
    <x v="0"/>
    <n v="4"/>
    <x v="176"/>
    <s v="06-03-2016"/>
    <x v="1"/>
    <x v="12"/>
    <x v="12"/>
    <x v="3"/>
    <n v="5"/>
    <x v="12"/>
    <s v="MI"/>
    <s v="08-03-2016"/>
    <n v="1107"/>
    <n v="730"/>
    <n v="65.943992773261058"/>
    <n v="2.5076784101174345"/>
    <n v="2776"/>
    <n v="1.0813008130081301"/>
    <n v="-1579"/>
    <n v="1197"/>
    <n v="76"/>
    <x v="0"/>
    <x v="2"/>
    <x v="76"/>
    <x v="0"/>
  </r>
  <r>
    <x v="546"/>
    <x v="1"/>
    <n v="7"/>
    <x v="33"/>
    <s v="13-08-2016"/>
    <x v="5"/>
    <x v="19"/>
    <x v="19"/>
    <x v="0"/>
    <n v="5"/>
    <x v="19"/>
    <s v="WI"/>
    <s v="18-08-2016"/>
    <n v="313"/>
    <n v="313"/>
    <n v="100"/>
    <n v="11.191693290734824"/>
    <n v="3503"/>
    <n v="13.60702875399361"/>
    <n v="756"/>
    <n v="4259"/>
    <n v="92"/>
    <x v="0"/>
    <x v="5"/>
    <x v="41"/>
    <x v="0"/>
  </r>
  <r>
    <x v="547"/>
    <x v="1"/>
    <n v="8"/>
    <x v="112"/>
    <s v="01-07-2016"/>
    <x v="3"/>
    <x v="3"/>
    <x v="3"/>
    <x v="2"/>
    <n v="5"/>
    <x v="3"/>
    <s v="IL"/>
    <s v="06-07-2016"/>
    <n v="759"/>
    <n v="217"/>
    <n v="28.590250329380762"/>
    <n v="7.0685111989459815"/>
    <n v="5365"/>
    <n v="7.5309617918313574"/>
    <n v="351"/>
    <n v="5716"/>
    <n v="89"/>
    <x v="0"/>
    <x v="7"/>
    <x v="41"/>
    <x v="0"/>
  </r>
  <r>
    <x v="548"/>
    <x v="0"/>
    <n v="7"/>
    <x v="166"/>
    <s v="30-06-2016"/>
    <x v="6"/>
    <x v="4"/>
    <x v="4"/>
    <x v="2"/>
    <n v="5"/>
    <x v="4"/>
    <s v="MI"/>
    <s v="02-07-2016"/>
    <n v="564"/>
    <n v="423"/>
    <n v="75"/>
    <n v="12.462765957446809"/>
    <n v="7029"/>
    <n v="12.679078014184396"/>
    <n v="122"/>
    <n v="7151"/>
    <n v="63"/>
    <x v="0"/>
    <x v="9"/>
    <x v="76"/>
    <x v="0"/>
  </r>
  <r>
    <x v="549"/>
    <x v="1"/>
    <n v="4"/>
    <x v="79"/>
    <s v="31-03-2016"/>
    <x v="1"/>
    <x v="20"/>
    <x v="20"/>
    <x v="1"/>
    <n v="5"/>
    <x v="20"/>
    <s v="IL"/>
    <s v="05-04-2016"/>
    <n v="363"/>
    <n v="363"/>
    <n v="100"/>
    <n v="12.184573002754821"/>
    <n v="4423"/>
    <n v="7.2727272727272725"/>
    <n v="-1783"/>
    <n v="2640"/>
    <n v="97"/>
    <x v="0"/>
    <x v="0"/>
    <x v="41"/>
    <x v="0"/>
  </r>
  <r>
    <x v="550"/>
    <x v="0"/>
    <n v="8"/>
    <x v="302"/>
    <s v="19-05-2016"/>
    <x v="7"/>
    <x v="17"/>
    <x v="17"/>
    <x v="3"/>
    <n v="5"/>
    <x v="17"/>
    <s v="OH"/>
    <s v="24-05-2016"/>
    <n v="628"/>
    <n v="220"/>
    <n v="35.031847133757957"/>
    <n v="4.6050955414012735"/>
    <n v="2892"/>
    <n v="4.8073248407643314"/>
    <n v="127"/>
    <n v="3019"/>
    <n v="80"/>
    <x v="0"/>
    <x v="0"/>
    <x v="41"/>
    <x v="0"/>
  </r>
  <r>
    <x v="551"/>
    <x v="0"/>
    <n v="4"/>
    <x v="280"/>
    <s v="13-04-2016"/>
    <x v="0"/>
    <x v="5"/>
    <x v="5"/>
    <x v="3"/>
    <n v="5"/>
    <x v="5"/>
    <s v="IA"/>
    <s v="18-04-2016"/>
    <n v="465"/>
    <n v="465"/>
    <n v="100"/>
    <n v="11.236559139784946"/>
    <n v="5225"/>
    <n v="7.6086021505376342"/>
    <n v="-1687"/>
    <n v="3538"/>
    <n v="62"/>
    <x v="0"/>
    <x v="9"/>
    <x v="41"/>
    <x v="0"/>
  </r>
  <r>
    <x v="552"/>
    <x v="0"/>
    <n v="7"/>
    <x v="62"/>
    <s v="03-05-2016"/>
    <x v="7"/>
    <x v="20"/>
    <x v="20"/>
    <x v="1"/>
    <n v="5"/>
    <x v="20"/>
    <s v="IL"/>
    <s v="21-03-2016"/>
    <n v="1147"/>
    <n v="533"/>
    <n v="46.469049694856146"/>
    <n v="4.3626852659110726"/>
    <n v="5004"/>
    <n v="4.985178727114211"/>
    <n v="714"/>
    <n v="5718"/>
    <n v="87"/>
    <x v="0"/>
    <x v="7"/>
    <x v="77"/>
    <x v="1"/>
  </r>
  <r>
    <x v="553"/>
    <x v="1"/>
    <n v="7"/>
    <x v="101"/>
    <s v="11-08-2016"/>
    <x v="5"/>
    <x v="7"/>
    <x v="7"/>
    <x v="5"/>
    <n v="5"/>
    <x v="7"/>
    <s v="WI"/>
    <s v="13-08-2016"/>
    <n v="721"/>
    <n v="687"/>
    <n v="95.284327323162273"/>
    <n v="3.5145631067961167"/>
    <n v="2534"/>
    <n v="4.3134535367545075"/>
    <n v="576"/>
    <n v="3110"/>
    <n v="93"/>
    <x v="0"/>
    <x v="9"/>
    <x v="76"/>
    <x v="0"/>
  </r>
  <r>
    <x v="554"/>
    <x v="0"/>
    <n v="8"/>
    <x v="48"/>
    <s v="12-02-2016"/>
    <x v="2"/>
    <x v="14"/>
    <x v="14"/>
    <x v="1"/>
    <n v="5"/>
    <x v="14"/>
    <s v="IL"/>
    <s v="17-02-2016"/>
    <n v="1019"/>
    <n v="218"/>
    <n v="21.39352306182532"/>
    <n v="2.6545632973503435"/>
    <n v="2705"/>
    <n v="3.4896957801766439"/>
    <n v="851"/>
    <n v="3556"/>
    <n v="52"/>
    <x v="0"/>
    <x v="1"/>
    <x v="41"/>
    <x v="0"/>
  </r>
  <r>
    <x v="555"/>
    <x v="1"/>
    <n v="6"/>
    <x v="304"/>
    <s v="12-01-2016"/>
    <x v="4"/>
    <x v="22"/>
    <x v="22"/>
    <x v="0"/>
    <n v="5"/>
    <x v="22"/>
    <s v="IL"/>
    <s v="17-01-2016"/>
    <n v="346"/>
    <n v="346"/>
    <n v="100"/>
    <n v="3.8930635838150289"/>
    <n v="1347"/>
    <n v="6.1242774566473992"/>
    <n v="772"/>
    <n v="2119"/>
    <n v="79"/>
    <x v="0"/>
    <x v="7"/>
    <x v="41"/>
    <x v="0"/>
  </r>
  <r>
    <x v="556"/>
    <x v="0"/>
    <n v="8"/>
    <x v="172"/>
    <s v="03-02-2016"/>
    <x v="2"/>
    <x v="21"/>
    <x v="21"/>
    <x v="2"/>
    <n v="5"/>
    <x v="21"/>
    <s v="IL"/>
    <s v="07-02-2016"/>
    <n v="671"/>
    <n v="480"/>
    <n v="71.53502235469449"/>
    <n v="2.7108792846497765"/>
    <n v="1819"/>
    <n v="3.1430700447093889"/>
    <n v="290"/>
    <n v="2109"/>
    <n v="68"/>
    <x v="0"/>
    <x v="0"/>
    <x v="1"/>
    <x v="0"/>
  </r>
  <r>
    <x v="557"/>
    <x v="1"/>
    <n v="5"/>
    <x v="294"/>
    <s v="26-08-2016"/>
    <x v="5"/>
    <x v="3"/>
    <x v="3"/>
    <x v="2"/>
    <n v="5"/>
    <x v="3"/>
    <s v="IL"/>
    <s v="21-03-2016"/>
    <n v="204"/>
    <n v="204"/>
    <n v="100"/>
    <n v="42.024509803921568"/>
    <n v="8573"/>
    <n v="43.21078431372549"/>
    <n v="242"/>
    <n v="8815"/>
    <n v="95"/>
    <x v="0"/>
    <x v="8"/>
    <x v="78"/>
    <x v="1"/>
  </r>
  <r>
    <x v="558"/>
    <x v="1"/>
    <n v="5"/>
    <x v="295"/>
    <s v="01-08-2016"/>
    <x v="5"/>
    <x v="20"/>
    <x v="20"/>
    <x v="1"/>
    <n v="5"/>
    <x v="20"/>
    <s v="IL"/>
    <s v="21-03-2016"/>
    <n v="386"/>
    <n v="386"/>
    <n v="100"/>
    <n v="16.21502590673575"/>
    <n v="6259"/>
    <n v="16.691709844559586"/>
    <n v="184"/>
    <n v="6443"/>
    <n v="53"/>
    <x v="0"/>
    <x v="8"/>
    <x v="79"/>
    <x v="1"/>
  </r>
  <r>
    <x v="559"/>
    <x v="0"/>
    <n v="5"/>
    <x v="279"/>
    <s v="14-06-2016"/>
    <x v="6"/>
    <x v="10"/>
    <x v="10"/>
    <x v="1"/>
    <n v="5"/>
    <x v="10"/>
    <s v="IL"/>
    <s v="17-06-2016"/>
    <n v="419"/>
    <n v="419"/>
    <n v="100"/>
    <n v="9.8138424821002381"/>
    <n v="4112"/>
    <n v="10.41288782816229"/>
    <n v="251"/>
    <n v="4363"/>
    <n v="58"/>
    <x v="0"/>
    <x v="7"/>
    <x v="64"/>
    <x v="0"/>
  </r>
  <r>
    <x v="560"/>
    <x v="1"/>
    <n v="6"/>
    <x v="151"/>
    <s v="25-01-2016"/>
    <x v="4"/>
    <x v="1"/>
    <x v="1"/>
    <x v="1"/>
    <n v="5"/>
    <x v="1"/>
    <s v="WI"/>
    <s v="21-03-2016"/>
    <n v="929"/>
    <n v="224"/>
    <n v="24.111948331539288"/>
    <n v="6.4553283100107643"/>
    <n v="5997"/>
    <n v="6.653390742734123"/>
    <n v="184"/>
    <n v="6181"/>
    <n v="60"/>
    <x v="0"/>
    <x v="7"/>
    <x v="20"/>
    <x v="0"/>
  </r>
  <r>
    <x v="561"/>
    <x v="0"/>
    <n v="8"/>
    <x v="264"/>
    <s v="16-06-2016"/>
    <x v="6"/>
    <x v="12"/>
    <x v="12"/>
    <x v="3"/>
    <n v="5"/>
    <x v="12"/>
    <s v="MI"/>
    <s v="21-06-2016"/>
    <n v="1159"/>
    <n v="712"/>
    <n v="61.43226919758412"/>
    <n v="6.8136324417601379"/>
    <n v="7897"/>
    <n v="6.907679033649698"/>
    <n v="109"/>
    <n v="8006"/>
    <n v="73"/>
    <x v="0"/>
    <x v="7"/>
    <x v="41"/>
    <x v="0"/>
  </r>
  <r>
    <x v="562"/>
    <x v="1"/>
    <n v="8"/>
    <x v="292"/>
    <s v="05-04-2016"/>
    <x v="0"/>
    <x v="7"/>
    <x v="7"/>
    <x v="5"/>
    <n v="5"/>
    <x v="7"/>
    <s v="WI"/>
    <s v="10-04-2016"/>
    <n v="1104"/>
    <n v="679"/>
    <n v="61.503623188405797"/>
    <n v="6.2780797101449277"/>
    <n v="6931"/>
    <n v="6.9429347826086953"/>
    <n v="734"/>
    <n v="7665"/>
    <n v="89"/>
    <x v="0"/>
    <x v="8"/>
    <x v="41"/>
    <x v="0"/>
  </r>
  <r>
    <x v="563"/>
    <x v="0"/>
    <n v="5"/>
    <x v="244"/>
    <s v="17-08-2016"/>
    <x v="5"/>
    <x v="9"/>
    <x v="9"/>
    <x v="3"/>
    <n v="5"/>
    <x v="9"/>
    <s v="IN"/>
    <s v="21-08-2016"/>
    <n v="632"/>
    <n v="238"/>
    <n v="37.658227848101269"/>
    <n v="5.1534810126582276"/>
    <n v="3257"/>
    <n v="5.7674050632911396"/>
    <n v="388"/>
    <n v="3645"/>
    <n v="80"/>
    <x v="0"/>
    <x v="4"/>
    <x v="1"/>
    <x v="0"/>
  </r>
  <r>
    <x v="564"/>
    <x v="1"/>
    <n v="8"/>
    <x v="75"/>
    <s v="16-04-2016"/>
    <x v="0"/>
    <x v="20"/>
    <x v="20"/>
    <x v="1"/>
    <n v="5"/>
    <x v="20"/>
    <s v="IL"/>
    <s v="21-03-2016"/>
    <n v="653"/>
    <n v="624"/>
    <n v="95.558958652373661"/>
    <n v="5.2710566615620218"/>
    <n v="3442"/>
    <n v="6.269525267993874"/>
    <n v="652"/>
    <n v="4094"/>
    <n v="66"/>
    <x v="0"/>
    <x v="4"/>
    <x v="44"/>
    <x v="1"/>
  </r>
  <r>
    <x v="565"/>
    <x v="1"/>
    <n v="4"/>
    <x v="305"/>
    <s v="25-07-2016"/>
    <x v="3"/>
    <x v="9"/>
    <x v="9"/>
    <x v="3"/>
    <n v="5"/>
    <x v="9"/>
    <s v="IN"/>
    <s v="30-07-2016"/>
    <n v="272"/>
    <n v="272"/>
    <n v="100"/>
    <n v="25.977941176470587"/>
    <n v="7066"/>
    <n v="16.371323529411764"/>
    <n v="-2613"/>
    <n v="4453"/>
    <n v="78"/>
    <x v="0"/>
    <x v="2"/>
    <x v="41"/>
    <x v="0"/>
  </r>
  <r>
    <x v="566"/>
    <x v="1"/>
    <n v="4"/>
    <x v="1"/>
    <s v="31-01-2016"/>
    <x v="4"/>
    <x v="20"/>
    <x v="20"/>
    <x v="1"/>
    <n v="5"/>
    <x v="20"/>
    <s v="IL"/>
    <s v="05-02-2016"/>
    <n v="1065"/>
    <n v="488"/>
    <n v="45.821596244131456"/>
    <n v="4.8788732394366194"/>
    <n v="5196"/>
    <n v="3.1549295774647885"/>
    <n v="-1836"/>
    <n v="3360"/>
    <n v="84"/>
    <x v="0"/>
    <x v="4"/>
    <x v="41"/>
    <x v="0"/>
  </r>
  <r>
    <x v="567"/>
    <x v="0"/>
    <n v="7"/>
    <x v="306"/>
    <s v="17-08-2016"/>
    <x v="5"/>
    <x v="7"/>
    <x v="7"/>
    <x v="5"/>
    <n v="5"/>
    <x v="7"/>
    <s v="WI"/>
    <s v="22-08-2016"/>
    <n v="1036"/>
    <n v="335"/>
    <n v="32.335907335907336"/>
    <n v="6.1361003861003862"/>
    <n v="6357"/>
    <n v="7.064671814671815"/>
    <n v="962"/>
    <n v="7319"/>
    <n v="90"/>
    <x v="0"/>
    <x v="4"/>
    <x v="41"/>
    <x v="0"/>
  </r>
  <r>
    <x v="568"/>
    <x v="0"/>
    <n v="6"/>
    <x v="307"/>
    <s v="08-08-2016"/>
    <x v="5"/>
    <x v="21"/>
    <x v="21"/>
    <x v="2"/>
    <n v="5"/>
    <x v="21"/>
    <s v="IL"/>
    <s v="13-08-2016"/>
    <n v="308"/>
    <n v="308"/>
    <n v="100"/>
    <n v="23.61038961038961"/>
    <n v="7272"/>
    <n v="26.175324675324674"/>
    <n v="790"/>
    <n v="8062"/>
    <n v="86"/>
    <x v="0"/>
    <x v="9"/>
    <x v="41"/>
    <x v="0"/>
  </r>
  <r>
    <x v="569"/>
    <x v="1"/>
    <n v="6"/>
    <x v="119"/>
    <s v="19-08-2016"/>
    <x v="5"/>
    <x v="2"/>
    <x v="2"/>
    <x v="1"/>
    <n v="5"/>
    <x v="2"/>
    <s v="IL"/>
    <s v="24-08-2016"/>
    <n v="437"/>
    <n v="437"/>
    <n v="100"/>
    <n v="6.0457665903890163"/>
    <n v="2642"/>
    <n v="7.9199084668192219"/>
    <n v="819"/>
    <n v="3461"/>
    <n v="87"/>
    <x v="0"/>
    <x v="0"/>
    <x v="41"/>
    <x v="0"/>
  </r>
  <r>
    <x v="570"/>
    <x v="1"/>
    <n v="5"/>
    <x v="217"/>
    <s v="05-01-2016"/>
    <x v="4"/>
    <x v="19"/>
    <x v="19"/>
    <x v="0"/>
    <n v="5"/>
    <x v="19"/>
    <s v="WI"/>
    <s v="10-01-2016"/>
    <n v="1071"/>
    <n v="546"/>
    <n v="50.980392156862742"/>
    <n v="8.0326797385620914"/>
    <n v="8603"/>
    <n v="8.2324929971988787"/>
    <n v="214"/>
    <n v="8817"/>
    <n v="91"/>
    <x v="0"/>
    <x v="7"/>
    <x v="41"/>
    <x v="0"/>
  </r>
  <r>
    <x v="571"/>
    <x v="0"/>
    <n v="8"/>
    <x v="192"/>
    <s v="10-05-2016"/>
    <x v="7"/>
    <x v="6"/>
    <x v="6"/>
    <x v="4"/>
    <n v="5"/>
    <x v="6"/>
    <s v="IN"/>
    <s v="12-05-2016"/>
    <n v="468"/>
    <n v="468"/>
    <n v="100"/>
    <n v="6.3226495726495724"/>
    <n v="2959"/>
    <n v="6.6538461538461542"/>
    <n v="155"/>
    <n v="3114"/>
    <n v="88"/>
    <x v="0"/>
    <x v="9"/>
    <x v="76"/>
    <x v="0"/>
  </r>
  <r>
    <x v="572"/>
    <x v="1"/>
    <n v="7"/>
    <x v="6"/>
    <s v="28-06-2016"/>
    <x v="6"/>
    <x v="20"/>
    <x v="20"/>
    <x v="1"/>
    <n v="5"/>
    <x v="20"/>
    <s v="IL"/>
    <s v="03-07-2016"/>
    <n v="697"/>
    <n v="346"/>
    <n v="49.64131994261119"/>
    <n v="3.2883787661406028"/>
    <n v="2292"/>
    <n v="3.453371592539455"/>
    <n v="115"/>
    <n v="2407"/>
    <n v="80"/>
    <x v="0"/>
    <x v="4"/>
    <x v="41"/>
    <x v="0"/>
  </r>
  <r>
    <x v="573"/>
    <x v="0"/>
    <n v="6"/>
    <x v="308"/>
    <s v="07-04-2016"/>
    <x v="0"/>
    <x v="7"/>
    <x v="7"/>
    <x v="5"/>
    <n v="5"/>
    <x v="7"/>
    <s v="WI"/>
    <s v="12-04-2016"/>
    <n v="766"/>
    <n v="536"/>
    <n v="69.973890339425594"/>
    <n v="1.7154046997389034"/>
    <n v="1314"/>
    <n v="2.9033942558746735"/>
    <n v="910"/>
    <n v="2224"/>
    <n v="80"/>
    <x v="0"/>
    <x v="0"/>
    <x v="41"/>
    <x v="0"/>
  </r>
  <r>
    <x v="574"/>
    <x v="1"/>
    <n v="6"/>
    <x v="24"/>
    <s v="20-06-2016"/>
    <x v="6"/>
    <x v="19"/>
    <x v="19"/>
    <x v="0"/>
    <n v="5"/>
    <x v="19"/>
    <s v="WI"/>
    <s v="23-06-2016"/>
    <n v="479"/>
    <n v="479"/>
    <n v="100"/>
    <n v="3.1691022964509394"/>
    <n v="1518"/>
    <n v="4.5198329853862216"/>
    <n v="647"/>
    <n v="2165"/>
    <n v="77"/>
    <x v="0"/>
    <x v="9"/>
    <x v="64"/>
    <x v="0"/>
  </r>
  <r>
    <x v="575"/>
    <x v="1"/>
    <n v="5"/>
    <x v="309"/>
    <s v="26-02-2016"/>
    <x v="2"/>
    <x v="13"/>
    <x v="13"/>
    <x v="1"/>
    <n v="5"/>
    <x v="13"/>
    <s v="OH"/>
    <s v="02-03-2016"/>
    <n v="609"/>
    <n v="376"/>
    <n v="61.740558292282429"/>
    <n v="5.6699507389162562"/>
    <n v="3453"/>
    <n v="6.4466338259441711"/>
    <n v="473"/>
    <n v="3926"/>
    <n v="94"/>
    <x v="0"/>
    <x v="8"/>
    <x v="41"/>
    <x v="0"/>
  </r>
  <r>
    <x v="576"/>
    <x v="1"/>
    <n v="5"/>
    <x v="92"/>
    <s v="13-06-2016"/>
    <x v="6"/>
    <x v="16"/>
    <x v="16"/>
    <x v="4"/>
    <n v="5"/>
    <x v="16"/>
    <s v="MI"/>
    <s v="21-03-2016"/>
    <n v="863"/>
    <n v="636"/>
    <n v="73.696407879490152"/>
    <n v="8.8922363847045194"/>
    <n v="7674"/>
    <n v="10.0162224797219"/>
    <n v="970"/>
    <n v="8644"/>
    <n v="75"/>
    <x v="0"/>
    <x v="7"/>
    <x v="51"/>
    <x v="1"/>
  </r>
  <r>
    <x v="577"/>
    <x v="0"/>
    <n v="6"/>
    <x v="310"/>
    <s v="23-03-2016"/>
    <x v="1"/>
    <x v="21"/>
    <x v="21"/>
    <x v="2"/>
    <n v="5"/>
    <x v="21"/>
    <s v="IL"/>
    <s v="28-03-2016"/>
    <n v="963"/>
    <n v="227"/>
    <n v="23.572170301142265"/>
    <n v="6.2211838006230531"/>
    <n v="5991"/>
    <n v="6.4818276220145377"/>
    <n v="251"/>
    <n v="6242"/>
    <n v="94"/>
    <x v="0"/>
    <x v="3"/>
    <x v="41"/>
    <x v="0"/>
  </r>
  <r>
    <x v="578"/>
    <x v="0"/>
    <n v="6"/>
    <x v="237"/>
    <s v="04-03-2016"/>
    <x v="1"/>
    <x v="1"/>
    <x v="1"/>
    <x v="1"/>
    <n v="5"/>
    <x v="1"/>
    <s v="WI"/>
    <s v="21-03-2016"/>
    <n v="568"/>
    <n v="568"/>
    <n v="100"/>
    <n v="14.628521126760564"/>
    <n v="8309"/>
    <n v="14.97887323943662"/>
    <n v="199"/>
    <n v="8508"/>
    <n v="90"/>
    <x v="0"/>
    <x v="4"/>
    <x v="80"/>
    <x v="0"/>
  </r>
  <r>
    <x v="579"/>
    <x v="1"/>
    <n v="4"/>
    <x v="269"/>
    <s v="19-06-2016"/>
    <x v="6"/>
    <x v="14"/>
    <x v="14"/>
    <x v="1"/>
    <n v="5"/>
    <x v="14"/>
    <s v="IL"/>
    <s v="24-06-2016"/>
    <n v="322"/>
    <n v="322"/>
    <n v="100"/>
    <n v="19.785714285714285"/>
    <n v="6371"/>
    <n v="15.307453416149068"/>
    <n v="-1442"/>
    <n v="4929"/>
    <n v="78"/>
    <x v="0"/>
    <x v="6"/>
    <x v="41"/>
    <x v="0"/>
  </r>
  <r>
    <x v="580"/>
    <x v="0"/>
    <n v="8"/>
    <x v="259"/>
    <s v="21-02-2016"/>
    <x v="2"/>
    <x v="21"/>
    <x v="21"/>
    <x v="2"/>
    <n v="5"/>
    <x v="21"/>
    <s v="IL"/>
    <s v="23-02-2016"/>
    <n v="1111"/>
    <n v="497"/>
    <n v="44.734473447344733"/>
    <n v="6.54995499549955"/>
    <n v="7277"/>
    <n v="7.3681368136813683"/>
    <n v="909"/>
    <n v="8186"/>
    <n v="69"/>
    <x v="0"/>
    <x v="0"/>
    <x v="76"/>
    <x v="0"/>
  </r>
  <r>
    <x v="581"/>
    <x v="0"/>
    <n v="8"/>
    <x v="311"/>
    <s v="26-03-2016"/>
    <x v="1"/>
    <x v="20"/>
    <x v="20"/>
    <x v="1"/>
    <n v="5"/>
    <x v="20"/>
    <s v="IL"/>
    <s v="31-03-2016"/>
    <n v="857"/>
    <n v="500"/>
    <n v="58.343057176196034"/>
    <n v="8.0326721120186697"/>
    <n v="6884"/>
    <n v="8.5262543757292875"/>
    <n v="423"/>
    <n v="7307"/>
    <n v="91"/>
    <x v="0"/>
    <x v="2"/>
    <x v="41"/>
    <x v="0"/>
  </r>
  <r>
    <x v="582"/>
    <x v="0"/>
    <n v="3"/>
    <x v="15"/>
    <s v="28-04-2016"/>
    <x v="0"/>
    <x v="0"/>
    <x v="0"/>
    <x v="0"/>
    <n v="5"/>
    <x v="0"/>
    <s v="MI"/>
    <s v="03-05-2016"/>
    <n v="433"/>
    <n v="421"/>
    <n v="97.228637413394921"/>
    <n v="13.625866050808314"/>
    <n v="5900"/>
    <n v="13.914549653579677"/>
    <n v="125"/>
    <n v="6025"/>
    <n v="74"/>
    <x v="0"/>
    <x v="7"/>
    <x v="41"/>
    <x v="0"/>
  </r>
  <r>
    <x v="583"/>
    <x v="0"/>
    <n v="3"/>
    <x v="142"/>
    <s v="08-05-2016"/>
    <x v="7"/>
    <x v="8"/>
    <x v="8"/>
    <x v="3"/>
    <n v="5"/>
    <x v="8"/>
    <s v="OH"/>
    <s v="10-05-2016"/>
    <n v="726"/>
    <n v="726"/>
    <n v="100"/>
    <n v="6.9820936639118454"/>
    <n v="5069"/>
    <n v="8.0702479338842981"/>
    <n v="790"/>
    <n v="5859"/>
    <n v="50"/>
    <x v="0"/>
    <x v="6"/>
    <x v="76"/>
    <x v="0"/>
  </r>
  <r>
    <x v="584"/>
    <x v="0"/>
    <n v="4"/>
    <x v="261"/>
    <s v="07-02-2016"/>
    <x v="2"/>
    <x v="11"/>
    <x v="11"/>
    <x v="2"/>
    <n v="5"/>
    <x v="11"/>
    <s v="MI"/>
    <s v="11-02-2016"/>
    <n v="986"/>
    <n v="518"/>
    <n v="52.535496957403652"/>
    <n v="8.6440162271805274"/>
    <n v="8523"/>
    <n v="6.4604462474645032"/>
    <n v="-2153"/>
    <n v="6370"/>
    <n v="92"/>
    <x v="0"/>
    <x v="8"/>
    <x v="1"/>
    <x v="0"/>
  </r>
  <r>
    <x v="585"/>
    <x v="0"/>
    <n v="4"/>
    <x v="306"/>
    <s v="16-08-2016"/>
    <x v="5"/>
    <x v="6"/>
    <x v="6"/>
    <x v="4"/>
    <n v="5"/>
    <x v="6"/>
    <s v="IN"/>
    <s v="19-08-2016"/>
    <n v="1065"/>
    <n v="389"/>
    <n v="36.525821596244128"/>
    <n v="3.6732394366197183"/>
    <n v="3912"/>
    <n v="1.5586854460093897"/>
    <n v="-2252"/>
    <n v="1660"/>
    <n v="75"/>
    <x v="0"/>
    <x v="5"/>
    <x v="64"/>
    <x v="0"/>
  </r>
  <r>
    <x v="586"/>
    <x v="0"/>
    <n v="1"/>
    <x v="312"/>
    <s v="03-06-2016"/>
    <x v="6"/>
    <x v="22"/>
    <x v="22"/>
    <x v="0"/>
    <n v="5"/>
    <x v="22"/>
    <s v="IL"/>
    <s v="08-06-2016"/>
    <n v="407"/>
    <n v="290"/>
    <n v="71.253071253071255"/>
    <n v="1.5405405405405406"/>
    <n v="627"/>
    <n v="12.643734643734645"/>
    <n v="4519"/>
    <n v="5146"/>
    <n v="96"/>
    <x v="0"/>
    <x v="3"/>
    <x v="41"/>
    <x v="0"/>
  </r>
  <r>
    <x v="587"/>
    <x v="0"/>
    <n v="2"/>
    <x v="313"/>
    <s v="29-07-2016"/>
    <x v="3"/>
    <x v="17"/>
    <x v="17"/>
    <x v="3"/>
    <n v="5"/>
    <x v="17"/>
    <s v="OH"/>
    <s v="03-08-2016"/>
    <n v="475"/>
    <n v="475"/>
    <n v="100"/>
    <n v="3.3810526315789473"/>
    <n v="1606"/>
    <n v="3.6357894736842105"/>
    <n v="121"/>
    <n v="1727"/>
    <n v="83"/>
    <x v="0"/>
    <x v="8"/>
    <x v="41"/>
    <x v="0"/>
  </r>
  <r>
    <x v="588"/>
    <x v="2"/>
    <n v="1"/>
    <x v="42"/>
    <s v="14-06-2016"/>
    <x v="6"/>
    <x v="9"/>
    <x v="9"/>
    <x v="3"/>
    <n v="5"/>
    <x v="9"/>
    <s v="IN"/>
    <s v="17-06-2016"/>
    <n v="1006"/>
    <n v="403"/>
    <n v="40.059642147117295"/>
    <n v="6.1351888667992052"/>
    <n v="6172"/>
    <n v="10.522862823061629"/>
    <n v="4414"/>
    <n v="10586"/>
    <n v="71"/>
    <x v="0"/>
    <x v="6"/>
    <x v="64"/>
    <x v="0"/>
  </r>
  <r>
    <x v="589"/>
    <x v="2"/>
    <n v="3"/>
    <x v="307"/>
    <s v="01-01-2016"/>
    <x v="4"/>
    <x v="14"/>
    <x v="14"/>
    <x v="1"/>
    <n v="5"/>
    <x v="14"/>
    <s v="IL"/>
    <s v="05-01-2016"/>
    <n v="780"/>
    <n v="275"/>
    <n v="35.256410256410255"/>
    <n v="7.476923076923077"/>
    <n v="5832"/>
    <n v="8.7282051282051274"/>
    <n v="976"/>
    <n v="6808"/>
    <n v="82"/>
    <x v="0"/>
    <x v="0"/>
    <x v="1"/>
    <x v="0"/>
  </r>
  <r>
    <x v="590"/>
    <x v="2"/>
    <n v="4"/>
    <x v="314"/>
    <s v="28-06-2016"/>
    <x v="6"/>
    <x v="15"/>
    <x v="15"/>
    <x v="4"/>
    <n v="5"/>
    <x v="15"/>
    <s v="IL"/>
    <s v="03-07-2016"/>
    <n v="1115"/>
    <n v="551"/>
    <n v="49.417040358744394"/>
    <n v="3.0529147982062779"/>
    <n v="3404"/>
    <n v="0.90852017937219731"/>
    <n v="-2391"/>
    <n v="1013"/>
    <n v="100"/>
    <x v="0"/>
    <x v="5"/>
    <x v="41"/>
    <x v="0"/>
  </r>
  <r>
    <x v="591"/>
    <x v="0"/>
    <n v="4"/>
    <x v="315"/>
    <s v="04-08-2016"/>
    <x v="5"/>
    <x v="22"/>
    <x v="22"/>
    <x v="0"/>
    <n v="5"/>
    <x v="22"/>
    <s v="IL"/>
    <s v="09-08-2016"/>
    <n v="1071"/>
    <n v="582"/>
    <n v="54.34173669467787"/>
    <n v="3.5527544351073761"/>
    <n v="3805"/>
    <n v="1.1008403361344539"/>
    <n v="-2626"/>
    <n v="1179"/>
    <n v="70"/>
    <x v="0"/>
    <x v="1"/>
    <x v="41"/>
    <x v="0"/>
  </r>
  <r>
    <x v="592"/>
    <x v="0"/>
    <n v="5"/>
    <x v="204"/>
    <s v="10-04-2016"/>
    <x v="0"/>
    <x v="21"/>
    <x v="21"/>
    <x v="2"/>
    <n v="5"/>
    <x v="21"/>
    <s v="IL"/>
    <s v="14-04-2016"/>
    <n v="1181"/>
    <n v="342"/>
    <n v="28.958509737510585"/>
    <n v="4.5266723116003389"/>
    <n v="5346"/>
    <n v="5.364098221845893"/>
    <n v="989"/>
    <n v="6335"/>
    <n v="57"/>
    <x v="0"/>
    <x v="1"/>
    <x v="1"/>
    <x v="0"/>
  </r>
  <r>
    <x v="593"/>
    <x v="2"/>
    <n v="3"/>
    <x v="91"/>
    <s v="23-08-2016"/>
    <x v="5"/>
    <x v="12"/>
    <x v="12"/>
    <x v="3"/>
    <n v="5"/>
    <x v="12"/>
    <s v="MI"/>
    <s v="28-08-2016"/>
    <n v="302"/>
    <n v="302"/>
    <n v="100"/>
    <n v="3.5298013245033113"/>
    <n v="1066"/>
    <n v="6.1059602649006619"/>
    <n v="778"/>
    <n v="1844"/>
    <n v="62"/>
    <x v="0"/>
    <x v="0"/>
    <x v="41"/>
    <x v="0"/>
  </r>
  <r>
    <x v="594"/>
    <x v="2"/>
    <n v="2"/>
    <x v="146"/>
    <s v="19-04-2016"/>
    <x v="0"/>
    <x v="9"/>
    <x v="9"/>
    <x v="3"/>
    <n v="5"/>
    <x v="9"/>
    <s v="IN"/>
    <s v="21-04-2016"/>
    <n v="996"/>
    <n v="262"/>
    <n v="26.305220883534137"/>
    <n v="2.2429718875502007"/>
    <n v="2234"/>
    <n v="3.1887550200803214"/>
    <n v="942"/>
    <n v="3176"/>
    <n v="73"/>
    <x v="0"/>
    <x v="7"/>
    <x v="76"/>
    <x v="0"/>
  </r>
  <r>
    <x v="595"/>
    <x v="0"/>
    <n v="6"/>
    <x v="205"/>
    <s v="19-03-2016"/>
    <x v="1"/>
    <x v="19"/>
    <x v="19"/>
    <x v="0"/>
    <n v="5"/>
    <x v="19"/>
    <s v="WI"/>
    <s v="22-03-2016"/>
    <n v="292"/>
    <n v="292"/>
    <n v="100"/>
    <n v="12.852739726027398"/>
    <n v="3753"/>
    <n v="15.705479452054794"/>
    <n v="833"/>
    <n v="4586"/>
    <n v="62"/>
    <x v="0"/>
    <x v="5"/>
    <x v="64"/>
    <x v="0"/>
  </r>
  <r>
    <x v="596"/>
    <x v="2"/>
    <n v="6"/>
    <x v="310"/>
    <s v="08-08-2016"/>
    <x v="5"/>
    <x v="14"/>
    <x v="14"/>
    <x v="1"/>
    <n v="5"/>
    <x v="14"/>
    <s v="IL"/>
    <s v="12-08-2016"/>
    <n v="712"/>
    <n v="629"/>
    <n v="88.342696629213478"/>
    <n v="3.101123595505618"/>
    <n v="2208"/>
    <n v="4.2485955056179776"/>
    <n v="817"/>
    <n v="3025"/>
    <n v="69"/>
    <x v="0"/>
    <x v="0"/>
    <x v="1"/>
    <x v="0"/>
  </r>
  <r>
    <x v="597"/>
    <x v="2"/>
    <n v="6"/>
    <x v="108"/>
    <s v="08-05-2016"/>
    <x v="7"/>
    <x v="16"/>
    <x v="16"/>
    <x v="4"/>
    <n v="5"/>
    <x v="16"/>
    <s v="MI"/>
    <s v="21-03-2016"/>
    <n v="654"/>
    <n v="654"/>
    <n v="100"/>
    <n v="11.299694189602446"/>
    <n v="7390"/>
    <n v="12.516819571865444"/>
    <n v="796"/>
    <n v="8186"/>
    <n v="83"/>
    <x v="0"/>
    <x v="9"/>
    <x v="58"/>
    <x v="1"/>
  </r>
  <r>
    <x v="598"/>
    <x v="2"/>
    <n v="1"/>
    <x v="163"/>
    <s v="04-07-2016"/>
    <x v="3"/>
    <x v="14"/>
    <x v="14"/>
    <x v="1"/>
    <n v="5"/>
    <x v="14"/>
    <s v="IL"/>
    <s v="09-07-2016"/>
    <n v="1057"/>
    <n v="216"/>
    <n v="20.435193945127718"/>
    <n v="6.3330179754020817"/>
    <n v="6694"/>
    <n v="10.651844843897823"/>
    <n v="4565"/>
    <n v="11259"/>
    <n v="52"/>
    <x v="0"/>
    <x v="2"/>
    <x v="41"/>
    <x v="0"/>
  </r>
  <r>
    <x v="599"/>
    <x v="2"/>
    <n v="1"/>
    <x v="96"/>
    <s v="25-04-2016"/>
    <x v="0"/>
    <x v="7"/>
    <x v="7"/>
    <x v="5"/>
    <n v="5"/>
    <x v="7"/>
    <s v="WI"/>
    <s v="30-04-2016"/>
    <n v="1171"/>
    <n v="726"/>
    <n v="61.998292058070028"/>
    <n v="6.5747224594363791"/>
    <n v="7699"/>
    <n v="10.75405636208369"/>
    <n v="4894"/>
    <n v="12593"/>
    <n v="52"/>
    <x v="0"/>
    <x v="6"/>
    <x v="41"/>
    <x v="0"/>
  </r>
  <r>
    <x v="600"/>
    <x v="0"/>
    <n v="1"/>
    <x v="213"/>
    <s v="22-03-2016"/>
    <x v="1"/>
    <x v="9"/>
    <x v="9"/>
    <x v="3"/>
    <n v="5"/>
    <x v="9"/>
    <s v="IN"/>
    <s v="26-03-2016"/>
    <n v="290"/>
    <n v="289"/>
    <n v="99.655172413793096"/>
    <n v="4.0862068965517242"/>
    <n v="1185"/>
    <n v="15.934482758620689"/>
    <n v="3436"/>
    <n v="4621"/>
    <n v="76"/>
    <x v="0"/>
    <x v="8"/>
    <x v="1"/>
    <x v="0"/>
  </r>
  <r>
    <x v="601"/>
    <x v="0"/>
    <n v="2"/>
    <x v="199"/>
    <s v="05-08-2016"/>
    <x v="5"/>
    <x v="16"/>
    <x v="16"/>
    <x v="4"/>
    <n v="5"/>
    <x v="16"/>
    <s v="MI"/>
    <s v="10-08-2016"/>
    <n v="555"/>
    <n v="280"/>
    <n v="50.450450450450447"/>
    <n v="9.8396396396396391"/>
    <n v="5461"/>
    <n v="10.688288288288287"/>
    <n v="471"/>
    <n v="5932"/>
    <n v="87"/>
    <x v="0"/>
    <x v="1"/>
    <x v="41"/>
    <x v="0"/>
  </r>
  <r>
    <x v="602"/>
    <x v="0"/>
    <n v="3"/>
    <x v="167"/>
    <s v="06-08-2016"/>
    <x v="5"/>
    <x v="8"/>
    <x v="8"/>
    <x v="3"/>
    <n v="5"/>
    <x v="8"/>
    <s v="OH"/>
    <s v="11-08-2016"/>
    <n v="333"/>
    <n v="333"/>
    <n v="100"/>
    <n v="2.5465465465465464"/>
    <n v="848"/>
    <n v="4.96996996996997"/>
    <n v="807"/>
    <n v="1655"/>
    <n v="100"/>
    <x v="0"/>
    <x v="2"/>
    <x v="41"/>
    <x v="0"/>
  </r>
  <r>
    <x v="603"/>
    <x v="0"/>
    <n v="5"/>
    <x v="169"/>
    <s v="24-02-2016"/>
    <x v="2"/>
    <x v="21"/>
    <x v="21"/>
    <x v="2"/>
    <n v="5"/>
    <x v="21"/>
    <s v="IL"/>
    <s v="29-02-2016"/>
    <n v="406"/>
    <n v="339"/>
    <n v="83.497536945812811"/>
    <n v="3.6527093596059115"/>
    <n v="1483"/>
    <n v="4.8522167487684733"/>
    <n v="487"/>
    <n v="1970"/>
    <n v="85"/>
    <x v="0"/>
    <x v="3"/>
    <x v="41"/>
    <x v="0"/>
  </r>
  <r>
    <x v="604"/>
    <x v="2"/>
    <n v="3"/>
    <x v="316"/>
    <s v="19-08-2016"/>
    <x v="5"/>
    <x v="23"/>
    <x v="23"/>
    <x v="1"/>
    <n v="5"/>
    <x v="23"/>
    <s v="WI"/>
    <s v="24-08-2016"/>
    <n v="305"/>
    <n v="305"/>
    <n v="100"/>
    <n v="18.140983606557377"/>
    <n v="5533"/>
    <n v="21.314754098360655"/>
    <n v="968"/>
    <n v="6501"/>
    <n v="71"/>
    <x v="0"/>
    <x v="4"/>
    <x v="41"/>
    <x v="0"/>
  </r>
  <r>
    <x v="605"/>
    <x v="2"/>
    <n v="3"/>
    <x v="250"/>
    <s v="05-07-2016"/>
    <x v="3"/>
    <x v="0"/>
    <x v="0"/>
    <x v="0"/>
    <n v="5"/>
    <x v="0"/>
    <s v="MI"/>
    <s v="21-03-2016"/>
    <n v="723"/>
    <n v="212"/>
    <n v="29.322268326417706"/>
    <n v="10.352697095435685"/>
    <n v="7485"/>
    <n v="10.751037344398341"/>
    <n v="288"/>
    <n v="7773"/>
    <n v="91"/>
    <x v="0"/>
    <x v="9"/>
    <x v="81"/>
    <x v="1"/>
  </r>
  <r>
    <x v="606"/>
    <x v="0"/>
    <n v="6"/>
    <x v="44"/>
    <s v="13-06-2016"/>
    <x v="6"/>
    <x v="3"/>
    <x v="3"/>
    <x v="2"/>
    <n v="5"/>
    <x v="3"/>
    <s v="IL"/>
    <s v="18-06-2016"/>
    <n v="323"/>
    <n v="323"/>
    <n v="100"/>
    <n v="10.009287925696594"/>
    <n v="3233"/>
    <n v="11.117647058823529"/>
    <n v="358"/>
    <n v="3591"/>
    <n v="60"/>
    <x v="0"/>
    <x v="9"/>
    <x v="41"/>
    <x v="0"/>
  </r>
  <r>
    <x v="607"/>
    <x v="2"/>
    <n v="1"/>
    <x v="10"/>
    <s v="01-08-2016"/>
    <x v="5"/>
    <x v="10"/>
    <x v="10"/>
    <x v="1"/>
    <n v="5"/>
    <x v="10"/>
    <s v="IL"/>
    <s v="06-08-2016"/>
    <n v="320"/>
    <n v="320"/>
    <n v="100"/>
    <n v="13.409375000000001"/>
    <n v="4291"/>
    <n v="26.581250000000001"/>
    <n v="4215"/>
    <n v="8506"/>
    <n v="88"/>
    <x v="0"/>
    <x v="2"/>
    <x v="41"/>
    <x v="0"/>
  </r>
  <r>
    <x v="608"/>
    <x v="0"/>
    <n v="3"/>
    <x v="70"/>
    <s v="11-04-2016"/>
    <x v="0"/>
    <x v="21"/>
    <x v="21"/>
    <x v="2"/>
    <n v="5"/>
    <x v="21"/>
    <s v="IL"/>
    <s v="13-04-2016"/>
    <n v="609"/>
    <n v="609"/>
    <n v="100"/>
    <n v="1.1855500821018063"/>
    <n v="722"/>
    <n v="2.1724137931034484"/>
    <n v="601"/>
    <n v="1323"/>
    <n v="82"/>
    <x v="0"/>
    <x v="5"/>
    <x v="76"/>
    <x v="0"/>
  </r>
  <r>
    <x v="609"/>
    <x v="0"/>
    <n v="4"/>
    <x v="173"/>
    <s v="23-05-2016"/>
    <x v="7"/>
    <x v="7"/>
    <x v="7"/>
    <x v="5"/>
    <n v="5"/>
    <x v="7"/>
    <s v="WI"/>
    <s v="28-05-2016"/>
    <n v="535"/>
    <n v="480"/>
    <n v="89.719626168224295"/>
    <n v="9.6"/>
    <n v="5136"/>
    <n v="6.7943925233644862"/>
    <n v="-1501"/>
    <n v="3635"/>
    <n v="93"/>
    <x v="0"/>
    <x v="5"/>
    <x v="41"/>
    <x v="0"/>
  </r>
  <r>
    <x v="610"/>
    <x v="2"/>
    <n v="5"/>
    <x v="55"/>
    <s v="27-03-2016"/>
    <x v="1"/>
    <x v="16"/>
    <x v="16"/>
    <x v="4"/>
    <n v="5"/>
    <x v="16"/>
    <s v="MI"/>
    <s v="01-04-2016"/>
    <n v="341"/>
    <n v="341"/>
    <n v="100"/>
    <n v="2.4222873900293256"/>
    <n v="826"/>
    <n v="3.7067448680351904"/>
    <n v="438"/>
    <n v="1264"/>
    <n v="63"/>
    <x v="0"/>
    <x v="6"/>
    <x v="41"/>
    <x v="0"/>
  </r>
  <r>
    <x v="611"/>
    <x v="0"/>
    <n v="1"/>
    <x v="317"/>
    <s v="10-05-2016"/>
    <x v="7"/>
    <x v="15"/>
    <x v="15"/>
    <x v="4"/>
    <n v="5"/>
    <x v="15"/>
    <s v="IL"/>
    <s v="15-05-2016"/>
    <n v="415"/>
    <n v="367"/>
    <n v="88.433734939759034"/>
    <n v="17.149397590361446"/>
    <n v="7117"/>
    <n v="27.457831325301203"/>
    <n v="4278"/>
    <n v="11395"/>
    <n v="70"/>
    <x v="0"/>
    <x v="4"/>
    <x v="41"/>
    <x v="0"/>
  </r>
  <r>
    <x v="612"/>
    <x v="0"/>
    <n v="1"/>
    <x v="60"/>
    <s v="24-08-2016"/>
    <x v="5"/>
    <x v="3"/>
    <x v="3"/>
    <x v="2"/>
    <n v="5"/>
    <x v="3"/>
    <s v="IL"/>
    <s v="29-08-2016"/>
    <n v="755"/>
    <n v="366"/>
    <n v="48.476821192052981"/>
    <n v="7.5774834437086094"/>
    <n v="5721"/>
    <n v="13.120529801324503"/>
    <n v="4185"/>
    <n v="9906"/>
    <n v="92"/>
    <x v="0"/>
    <x v="9"/>
    <x v="41"/>
    <x v="0"/>
  </r>
  <r>
    <x v="613"/>
    <x v="2"/>
    <n v="6"/>
    <x v="318"/>
    <s v="17-04-2016"/>
    <x v="0"/>
    <x v="17"/>
    <x v="17"/>
    <x v="3"/>
    <n v="5"/>
    <x v="17"/>
    <s v="OH"/>
    <s v="24-04-2016"/>
    <n v="267"/>
    <n v="267"/>
    <n v="100"/>
    <n v="0.47191011235955055"/>
    <n v="126"/>
    <n v="2.7453183520599249"/>
    <n v="607"/>
    <n v="733"/>
    <n v="62"/>
    <x v="0"/>
    <x v="6"/>
    <x v="4"/>
    <x v="0"/>
  </r>
  <r>
    <x v="614"/>
    <x v="0"/>
    <n v="3"/>
    <x v="290"/>
    <s v="08-03-2016"/>
    <x v="1"/>
    <x v="1"/>
    <x v="1"/>
    <x v="1"/>
    <n v="5"/>
    <x v="1"/>
    <s v="WI"/>
    <s v="21-03-2016"/>
    <n v="411"/>
    <n v="411"/>
    <n v="100"/>
    <n v="20.017031630170315"/>
    <n v="8227"/>
    <n v="21.773722627737225"/>
    <n v="722"/>
    <n v="8949"/>
    <n v="70"/>
    <x v="0"/>
    <x v="1"/>
    <x v="15"/>
    <x v="0"/>
  </r>
  <r>
    <x v="615"/>
    <x v="2"/>
    <n v="5"/>
    <x v="45"/>
    <s v="18-04-2016"/>
    <x v="0"/>
    <x v="0"/>
    <x v="0"/>
    <x v="0"/>
    <n v="5"/>
    <x v="0"/>
    <s v="MI"/>
    <s v="21-03-2016"/>
    <n v="383"/>
    <n v="383"/>
    <n v="100"/>
    <n v="4.2610966057441253"/>
    <n v="1632"/>
    <n v="6.0313315926892948"/>
    <n v="678"/>
    <n v="2310"/>
    <n v="64"/>
    <x v="0"/>
    <x v="3"/>
    <x v="82"/>
    <x v="1"/>
  </r>
  <r>
    <x v="616"/>
    <x v="2"/>
    <n v="4"/>
    <x v="85"/>
    <s v="09-08-2016"/>
    <x v="5"/>
    <x v="4"/>
    <x v="4"/>
    <x v="2"/>
    <n v="5"/>
    <x v="4"/>
    <s v="MI"/>
    <s v="11-08-2016"/>
    <n v="260"/>
    <n v="260"/>
    <n v="100"/>
    <n v="24.111538461538462"/>
    <n v="6269"/>
    <n v="16.207692307692309"/>
    <n v="-2055"/>
    <n v="4214"/>
    <n v="73"/>
    <x v="0"/>
    <x v="6"/>
    <x v="76"/>
    <x v="0"/>
  </r>
  <r>
    <x v="617"/>
    <x v="2"/>
    <n v="1"/>
    <x v="303"/>
    <s v="21-08-2016"/>
    <x v="5"/>
    <x v="9"/>
    <x v="9"/>
    <x v="3"/>
    <n v="5"/>
    <x v="9"/>
    <s v="IN"/>
    <s v="24-08-2016"/>
    <n v="365"/>
    <n v="365"/>
    <n v="100"/>
    <n v="20.624657534246577"/>
    <n v="7528"/>
    <n v="34.232876712328768"/>
    <n v="4967"/>
    <n v="12495"/>
    <n v="79"/>
    <x v="0"/>
    <x v="1"/>
    <x v="64"/>
    <x v="0"/>
  </r>
  <r>
    <x v="618"/>
    <x v="0"/>
    <n v="2"/>
    <x v="246"/>
    <s v="25-05-2016"/>
    <x v="7"/>
    <x v="19"/>
    <x v="19"/>
    <x v="0"/>
    <n v="5"/>
    <x v="19"/>
    <s v="WI"/>
    <s v="27-05-2016"/>
    <n v="808"/>
    <n v="217"/>
    <n v="26.856435643564357"/>
    <n v="1.0148514851485149"/>
    <n v="820"/>
    <n v="2.120049504950495"/>
    <n v="893"/>
    <n v="1713"/>
    <n v="69"/>
    <x v="0"/>
    <x v="4"/>
    <x v="76"/>
    <x v="0"/>
  </r>
  <r>
    <x v="619"/>
    <x v="2"/>
    <n v="5"/>
    <x v="5"/>
    <s v="14-06-2016"/>
    <x v="6"/>
    <x v="16"/>
    <x v="16"/>
    <x v="4"/>
    <n v="5"/>
    <x v="16"/>
    <s v="MI"/>
    <s v="21-06-2016"/>
    <n v="501"/>
    <n v="501"/>
    <n v="100"/>
    <n v="8.2275449101796401"/>
    <n v="4122"/>
    <n v="10.145708582834331"/>
    <n v="961"/>
    <n v="5083"/>
    <n v="94"/>
    <x v="0"/>
    <x v="0"/>
    <x v="4"/>
    <x v="0"/>
  </r>
  <r>
    <x v="620"/>
    <x v="0"/>
    <n v="3"/>
    <x v="247"/>
    <s v="02-05-2016"/>
    <x v="7"/>
    <x v="13"/>
    <x v="13"/>
    <x v="1"/>
    <n v="5"/>
    <x v="13"/>
    <s v="OH"/>
    <s v="08-05-2016"/>
    <n v="680"/>
    <n v="680"/>
    <n v="100"/>
    <n v="5.8308823529411766"/>
    <n v="3965"/>
    <n v="6.6470588235294121"/>
    <n v="555"/>
    <n v="4520"/>
    <n v="56"/>
    <x v="0"/>
    <x v="3"/>
    <x v="28"/>
    <x v="0"/>
  </r>
  <r>
    <x v="621"/>
    <x v="2"/>
    <n v="2"/>
    <x v="7"/>
    <s v="16-05-2016"/>
    <x v="7"/>
    <x v="14"/>
    <x v="14"/>
    <x v="1"/>
    <n v="5"/>
    <x v="14"/>
    <s v="IL"/>
    <s v="20-05-2016"/>
    <n v="923"/>
    <n v="339"/>
    <n v="36.728060671722645"/>
    <n v="8.5752979414951245"/>
    <n v="7915"/>
    <n v="8.8981581798483216"/>
    <n v="298"/>
    <n v="8213"/>
    <n v="92"/>
    <x v="0"/>
    <x v="4"/>
    <x v="1"/>
    <x v="0"/>
  </r>
  <r>
    <x v="622"/>
    <x v="2"/>
    <n v="3"/>
    <x v="249"/>
    <s v="22-08-2016"/>
    <x v="5"/>
    <x v="15"/>
    <x v="15"/>
    <x v="4"/>
    <n v="5"/>
    <x v="15"/>
    <s v="IL"/>
    <s v="30-08-2016"/>
    <n v="252"/>
    <n v="252"/>
    <n v="100"/>
    <n v="9.6468253968253972"/>
    <n v="2431"/>
    <n v="10.829365079365079"/>
    <n v="298"/>
    <n v="2729"/>
    <n v="94"/>
    <x v="0"/>
    <x v="5"/>
    <x v="5"/>
    <x v="0"/>
  </r>
  <r>
    <x v="623"/>
    <x v="0"/>
    <n v="5"/>
    <x v="183"/>
    <s v="26-05-2016"/>
    <x v="7"/>
    <x v="12"/>
    <x v="12"/>
    <x v="3"/>
    <n v="5"/>
    <x v="12"/>
    <s v="MI"/>
    <s v="29-05-2016"/>
    <n v="1146"/>
    <n v="673"/>
    <n v="58.726003490401403"/>
    <n v="2.7129144851657943"/>
    <n v="3109"/>
    <n v="2.8403141361256545"/>
    <n v="146"/>
    <n v="3255"/>
    <n v="58"/>
    <x v="0"/>
    <x v="1"/>
    <x v="64"/>
    <x v="0"/>
  </r>
  <r>
    <x v="624"/>
    <x v="2"/>
    <n v="1"/>
    <x v="10"/>
    <s v="24-03-2016"/>
    <x v="1"/>
    <x v="8"/>
    <x v="8"/>
    <x v="3"/>
    <n v="5"/>
    <x v="8"/>
    <s v="OH"/>
    <s v="27-03-2016"/>
    <n v="1143"/>
    <n v="669"/>
    <n v="58.530183727034121"/>
    <n v="6.6544181977252848"/>
    <n v="7606"/>
    <n v="10.238845144356956"/>
    <n v="4097"/>
    <n v="11703"/>
    <n v="92"/>
    <x v="0"/>
    <x v="5"/>
    <x v="64"/>
    <x v="0"/>
  </r>
  <r>
    <x v="625"/>
    <x v="2"/>
    <n v="4"/>
    <x v="260"/>
    <s v="12-04-2016"/>
    <x v="0"/>
    <x v="8"/>
    <x v="8"/>
    <x v="3"/>
    <n v="5"/>
    <x v="8"/>
    <s v="OH"/>
    <s v="17-04-2016"/>
    <n v="717"/>
    <n v="717"/>
    <n v="100"/>
    <n v="4.3347280334728033"/>
    <n v="3108"/>
    <n v="1.3626220362622037"/>
    <n v="-2131"/>
    <n v="977"/>
    <n v="71"/>
    <x v="0"/>
    <x v="9"/>
    <x v="41"/>
    <x v="0"/>
  </r>
  <r>
    <x v="626"/>
    <x v="2"/>
    <n v="2"/>
    <x v="311"/>
    <s v="03-02-2016"/>
    <x v="2"/>
    <x v="20"/>
    <x v="20"/>
    <x v="1"/>
    <n v="5"/>
    <x v="20"/>
    <s v="IL"/>
    <s v="21-03-2016"/>
    <n v="905"/>
    <n v="571"/>
    <n v="63.093922651933696"/>
    <n v="2.6674033149171272"/>
    <n v="2414"/>
    <n v="2.9425414364640883"/>
    <n v="249"/>
    <n v="2663"/>
    <n v="99"/>
    <x v="0"/>
    <x v="9"/>
    <x v="83"/>
    <x v="0"/>
  </r>
  <r>
    <x v="627"/>
    <x v="2"/>
    <n v="2"/>
    <x v="35"/>
    <s v="16-08-2016"/>
    <x v="5"/>
    <x v="21"/>
    <x v="21"/>
    <x v="2"/>
    <n v="5"/>
    <x v="21"/>
    <s v="IL"/>
    <s v="21-08-2016"/>
    <n v="357"/>
    <n v="357"/>
    <n v="100"/>
    <n v="4.2661064425770308"/>
    <n v="1523"/>
    <n v="5.4173669467787118"/>
    <n v="411"/>
    <n v="1934"/>
    <n v="56"/>
    <x v="0"/>
    <x v="0"/>
    <x v="41"/>
    <x v="0"/>
  </r>
  <r>
    <x v="628"/>
    <x v="0"/>
    <n v="5"/>
    <x v="97"/>
    <s v="17-07-2016"/>
    <x v="3"/>
    <x v="5"/>
    <x v="5"/>
    <x v="3"/>
    <n v="5"/>
    <x v="5"/>
    <s v="IA"/>
    <s v="20-07-2016"/>
    <n v="594"/>
    <n v="594"/>
    <n v="100"/>
    <n v="14.025252525252526"/>
    <n v="8331"/>
    <n v="14.513468013468014"/>
    <n v="290"/>
    <n v="8621"/>
    <n v="74"/>
    <x v="0"/>
    <x v="9"/>
    <x v="64"/>
    <x v="0"/>
  </r>
  <r>
    <x v="629"/>
    <x v="0"/>
    <n v="6"/>
    <x v="187"/>
    <s v="02-03-2016"/>
    <x v="1"/>
    <x v="19"/>
    <x v="19"/>
    <x v="0"/>
    <n v="5"/>
    <x v="19"/>
    <s v="WI"/>
    <s v="07-03-2016"/>
    <n v="689"/>
    <n v="689"/>
    <n v="100"/>
    <n v="0.18287373004354138"/>
    <n v="126"/>
    <n v="0.42670537010159654"/>
    <n v="168"/>
    <n v="294"/>
    <n v="82"/>
    <x v="0"/>
    <x v="3"/>
    <x v="41"/>
    <x v="0"/>
  </r>
  <r>
    <x v="630"/>
    <x v="0"/>
    <n v="1"/>
    <x v="17"/>
    <s v="02-04-2016"/>
    <x v="0"/>
    <x v="4"/>
    <x v="4"/>
    <x v="2"/>
    <n v="5"/>
    <x v="4"/>
    <s v="MI"/>
    <s v="05-04-2016"/>
    <n v="638"/>
    <n v="638"/>
    <n v="100"/>
    <n v="3.9122257053291536"/>
    <n v="2496"/>
    <n v="11.164576802507836"/>
    <n v="4627"/>
    <n v="7123"/>
    <n v="50"/>
    <x v="0"/>
    <x v="4"/>
    <x v="64"/>
    <x v="0"/>
  </r>
  <r>
    <x v="631"/>
    <x v="0"/>
    <n v="4"/>
    <x v="18"/>
    <s v="29-07-2016"/>
    <x v="3"/>
    <x v="20"/>
    <x v="20"/>
    <x v="1"/>
    <n v="5"/>
    <x v="20"/>
    <s v="IL"/>
    <s v="03-08-2016"/>
    <n v="429"/>
    <n v="216"/>
    <n v="50.349650349650354"/>
    <n v="15.643356643356643"/>
    <n v="6711"/>
    <n v="13.037296037296038"/>
    <n v="-1118"/>
    <n v="5593"/>
    <n v="58"/>
    <x v="0"/>
    <x v="9"/>
    <x v="41"/>
    <x v="0"/>
  </r>
  <r>
    <x v="632"/>
    <x v="0"/>
    <n v="3"/>
    <x v="281"/>
    <s v="01-06-2016"/>
    <x v="6"/>
    <x v="17"/>
    <x v="17"/>
    <x v="3"/>
    <n v="5"/>
    <x v="17"/>
    <s v="OH"/>
    <s v="06-06-2016"/>
    <n v="594"/>
    <n v="594"/>
    <n v="100"/>
    <n v="11.619528619528619"/>
    <n v="6902"/>
    <n v="13.107744107744107"/>
    <n v="884"/>
    <n v="7786"/>
    <n v="56"/>
    <x v="0"/>
    <x v="9"/>
    <x v="41"/>
    <x v="0"/>
  </r>
  <r>
    <x v="633"/>
    <x v="1"/>
    <n v="4"/>
    <x v="280"/>
    <s v="25-08-2016"/>
    <x v="5"/>
    <x v="14"/>
    <x v="14"/>
    <x v="1"/>
    <n v="4"/>
    <x v="14"/>
    <s v="IL"/>
    <s v="29-08-2016"/>
    <n v="536"/>
    <n v="536"/>
    <n v="100"/>
    <n v="13.574626865671641"/>
    <n v="7276"/>
    <n v="10.779850746268657"/>
    <n v="-1498"/>
    <n v="5778"/>
    <n v="61"/>
    <x v="1"/>
    <x v="1"/>
    <x v="1"/>
    <x v="0"/>
  </r>
  <r>
    <x v="634"/>
    <x v="1"/>
    <n v="4"/>
    <x v="82"/>
    <s v="03-04-2016"/>
    <x v="0"/>
    <x v="9"/>
    <x v="9"/>
    <x v="3"/>
    <n v="4"/>
    <x v="9"/>
    <s v="IN"/>
    <s v="07-04-2016"/>
    <n v="332"/>
    <n v="332"/>
    <n v="100"/>
    <n v="14.117469879518072"/>
    <n v="4687"/>
    <n v="9.2891566265060241"/>
    <n v="-1603"/>
    <n v="3084"/>
    <n v="68"/>
    <x v="1"/>
    <x v="0"/>
    <x v="1"/>
    <x v="0"/>
  </r>
  <r>
    <x v="635"/>
    <x v="0"/>
    <n v="4"/>
    <x v="228"/>
    <s v="14-05-2016"/>
    <x v="7"/>
    <x v="19"/>
    <x v="19"/>
    <x v="0"/>
    <n v="4"/>
    <x v="19"/>
    <s v="WI"/>
    <s v="18-05-2016"/>
    <n v="1041"/>
    <n v="328"/>
    <n v="31.508165225744477"/>
    <n v="7.3035542747358306"/>
    <n v="7603"/>
    <n v="5.2987512007684918"/>
    <n v="-2087"/>
    <n v="5516"/>
    <n v="97"/>
    <x v="1"/>
    <x v="0"/>
    <x v="1"/>
    <x v="0"/>
  </r>
  <r>
    <x v="636"/>
    <x v="0"/>
    <n v="7"/>
    <x v="37"/>
    <s v="01-02-2016"/>
    <x v="2"/>
    <x v="15"/>
    <x v="15"/>
    <x v="4"/>
    <n v="4"/>
    <x v="15"/>
    <s v="IL"/>
    <s v="05-02-2016"/>
    <n v="732"/>
    <n v="620"/>
    <n v="84.699453551912569"/>
    <n v="5.2950819672131146"/>
    <n v="3876"/>
    <n v="6.1079234972677598"/>
    <n v="595"/>
    <n v="4471"/>
    <n v="65"/>
    <x v="1"/>
    <x v="4"/>
    <x v="1"/>
    <x v="0"/>
  </r>
  <r>
    <x v="637"/>
    <x v="1"/>
    <n v="8"/>
    <x v="312"/>
    <s v="19-03-2016"/>
    <x v="1"/>
    <x v="22"/>
    <x v="22"/>
    <x v="0"/>
    <n v="4"/>
    <x v="22"/>
    <s v="IL"/>
    <s v="22-03-2016"/>
    <n v="1094"/>
    <n v="258"/>
    <n v="23.583180987202926"/>
    <n v="7.8117001828153567"/>
    <n v="8546"/>
    <n v="8.0658135283363794"/>
    <n v="278"/>
    <n v="8824"/>
    <n v="86"/>
    <x v="1"/>
    <x v="8"/>
    <x v="64"/>
    <x v="0"/>
  </r>
  <r>
    <x v="638"/>
    <x v="0"/>
    <n v="8"/>
    <x v="250"/>
    <s v="29-01-2016"/>
    <x v="4"/>
    <x v="16"/>
    <x v="16"/>
    <x v="4"/>
    <n v="4"/>
    <x v="16"/>
    <s v="MI"/>
    <s v="02-02-2016"/>
    <n v="455"/>
    <n v="455"/>
    <n v="100"/>
    <n v="2.0615384615384613"/>
    <n v="938"/>
    <n v="3.8395604395604397"/>
    <n v="809"/>
    <n v="1747"/>
    <n v="89"/>
    <x v="1"/>
    <x v="4"/>
    <x v="1"/>
    <x v="0"/>
  </r>
  <r>
    <x v="639"/>
    <x v="0"/>
    <n v="5"/>
    <x v="64"/>
    <s v="02-05-2016"/>
    <x v="7"/>
    <x v="19"/>
    <x v="19"/>
    <x v="0"/>
    <n v="4"/>
    <x v="19"/>
    <s v="WI"/>
    <s v="06-05-2016"/>
    <n v="609"/>
    <n v="609"/>
    <n v="100"/>
    <n v="8.6863711001642034"/>
    <n v="5290"/>
    <n v="10.308702791461412"/>
    <n v="988"/>
    <n v="6278"/>
    <n v="61"/>
    <x v="1"/>
    <x v="5"/>
    <x v="1"/>
    <x v="0"/>
  </r>
  <r>
    <x v="640"/>
    <x v="0"/>
    <n v="8"/>
    <x v="129"/>
    <s v="23-08-2016"/>
    <x v="5"/>
    <x v="6"/>
    <x v="6"/>
    <x v="4"/>
    <n v="4"/>
    <x v="6"/>
    <s v="IN"/>
    <s v="27-08-2016"/>
    <n v="986"/>
    <n v="264"/>
    <n v="26.774847870182555"/>
    <n v="6.6470588235294121"/>
    <n v="6554"/>
    <n v="7.4290060851926976"/>
    <n v="771"/>
    <n v="7325"/>
    <n v="90"/>
    <x v="1"/>
    <x v="3"/>
    <x v="1"/>
    <x v="0"/>
  </r>
  <r>
    <x v="641"/>
    <x v="0"/>
    <n v="6"/>
    <x v="150"/>
    <s v="24-07-2016"/>
    <x v="3"/>
    <x v="16"/>
    <x v="16"/>
    <x v="4"/>
    <n v="4"/>
    <x v="16"/>
    <s v="MI"/>
    <s v="28-07-2016"/>
    <n v="336"/>
    <n v="336"/>
    <n v="100"/>
    <n v="1.6636904761904763"/>
    <n v="559"/>
    <n v="3.4017857142857144"/>
    <n v="584"/>
    <n v="1143"/>
    <n v="64"/>
    <x v="1"/>
    <x v="5"/>
    <x v="1"/>
    <x v="0"/>
  </r>
  <r>
    <x v="642"/>
    <x v="0"/>
    <n v="7"/>
    <x v="84"/>
    <s v="11-04-2016"/>
    <x v="0"/>
    <x v="8"/>
    <x v="8"/>
    <x v="3"/>
    <n v="4"/>
    <x v="8"/>
    <s v="OH"/>
    <s v="15-04-2016"/>
    <n v="1002"/>
    <n v="735"/>
    <n v="73.353293413173645"/>
    <n v="6.0948103792415171"/>
    <n v="6107"/>
    <n v="6.4341317365269459"/>
    <n v="340"/>
    <n v="6447"/>
    <n v="62"/>
    <x v="1"/>
    <x v="1"/>
    <x v="1"/>
    <x v="0"/>
  </r>
  <r>
    <x v="643"/>
    <x v="1"/>
    <n v="6"/>
    <x v="158"/>
    <s v="06-05-2016"/>
    <x v="7"/>
    <x v="5"/>
    <x v="5"/>
    <x v="3"/>
    <n v="4"/>
    <x v="5"/>
    <s v="IA"/>
    <s v="10-05-2016"/>
    <n v="705"/>
    <n v="522"/>
    <n v="74.042553191489361"/>
    <n v="4.9021276595744681"/>
    <n v="3456"/>
    <n v="5.3106382978723401"/>
    <n v="288"/>
    <n v="3744"/>
    <n v="51"/>
    <x v="1"/>
    <x v="0"/>
    <x v="1"/>
    <x v="0"/>
  </r>
  <r>
    <x v="644"/>
    <x v="0"/>
    <n v="6"/>
    <x v="307"/>
    <s v="31-08-2016"/>
    <x v="5"/>
    <x v="14"/>
    <x v="14"/>
    <x v="1"/>
    <n v="4"/>
    <x v="14"/>
    <s v="IL"/>
    <s v="04-09-2016"/>
    <n v="419"/>
    <n v="419"/>
    <n v="100"/>
    <n v="0.80429594272076377"/>
    <n v="337"/>
    <n v="2.5131264916467781"/>
    <n v="716"/>
    <n v="1053"/>
    <n v="86"/>
    <x v="1"/>
    <x v="1"/>
    <x v="1"/>
    <x v="0"/>
  </r>
  <r>
    <x v="645"/>
    <x v="1"/>
    <n v="5"/>
    <x v="299"/>
    <s v="19-03-2016"/>
    <x v="1"/>
    <x v="23"/>
    <x v="23"/>
    <x v="1"/>
    <n v="4"/>
    <x v="23"/>
    <s v="WI"/>
    <s v="21-03-2016"/>
    <n v="222"/>
    <n v="222"/>
    <n v="100"/>
    <n v="33.626126126126124"/>
    <n v="7465"/>
    <n v="34.77927927927928"/>
    <n v="256"/>
    <n v="7721"/>
    <n v="99"/>
    <x v="1"/>
    <x v="7"/>
    <x v="76"/>
    <x v="0"/>
  </r>
  <r>
    <x v="646"/>
    <x v="0"/>
    <n v="8"/>
    <x v="274"/>
    <s v="12-01-2016"/>
    <x v="4"/>
    <x v="11"/>
    <x v="11"/>
    <x v="2"/>
    <n v="4"/>
    <x v="11"/>
    <s v="MI"/>
    <s v="16-01-2016"/>
    <n v="701"/>
    <n v="668"/>
    <n v="95.292439372325248"/>
    <n v="2.9985734664764623"/>
    <n v="2102"/>
    <n v="4.0599144079885878"/>
    <n v="744"/>
    <n v="2846"/>
    <n v="67"/>
    <x v="1"/>
    <x v="4"/>
    <x v="1"/>
    <x v="0"/>
  </r>
  <r>
    <x v="647"/>
    <x v="1"/>
    <n v="5"/>
    <x v="217"/>
    <s v="17-06-2016"/>
    <x v="6"/>
    <x v="7"/>
    <x v="7"/>
    <x v="5"/>
    <n v="4"/>
    <x v="7"/>
    <s v="WI"/>
    <s v="21-06-2016"/>
    <n v="858"/>
    <n v="677"/>
    <n v="78.904428904428897"/>
    <n v="8.2808857808857805"/>
    <n v="7105"/>
    <n v="8.7156177156177161"/>
    <n v="373"/>
    <n v="7478"/>
    <n v="70"/>
    <x v="1"/>
    <x v="7"/>
    <x v="1"/>
    <x v="0"/>
  </r>
  <r>
    <x v="648"/>
    <x v="1"/>
    <n v="4"/>
    <x v="232"/>
    <s v="14-08-2016"/>
    <x v="5"/>
    <x v="22"/>
    <x v="22"/>
    <x v="0"/>
    <n v="4"/>
    <x v="22"/>
    <s v="IL"/>
    <s v="16-08-2016"/>
    <n v="740"/>
    <n v="684"/>
    <n v="92.432432432432435"/>
    <n v="9.6297297297297302"/>
    <n v="7126"/>
    <n v="6.6716216216216218"/>
    <n v="-2189"/>
    <n v="4937"/>
    <n v="57"/>
    <x v="1"/>
    <x v="5"/>
    <x v="76"/>
    <x v="0"/>
  </r>
  <r>
    <x v="649"/>
    <x v="0"/>
    <n v="7"/>
    <x v="67"/>
    <s v="06-03-2016"/>
    <x v="1"/>
    <x v="18"/>
    <x v="18"/>
    <x v="1"/>
    <n v="4"/>
    <x v="18"/>
    <s v="IN"/>
    <s v="09-03-2016"/>
    <n v="669"/>
    <n v="332"/>
    <n v="49.626307922272048"/>
    <n v="3.3408071748878925"/>
    <n v="2235"/>
    <n v="3.9686098654708521"/>
    <n v="420"/>
    <n v="2655"/>
    <n v="85"/>
    <x v="1"/>
    <x v="8"/>
    <x v="64"/>
    <x v="0"/>
  </r>
  <r>
    <x v="650"/>
    <x v="1"/>
    <n v="5"/>
    <x v="234"/>
    <s v="14-01-2016"/>
    <x v="4"/>
    <x v="20"/>
    <x v="20"/>
    <x v="1"/>
    <n v="4"/>
    <x v="20"/>
    <s v="IL"/>
    <s v="18-01-2016"/>
    <n v="362"/>
    <n v="362"/>
    <n v="100"/>
    <n v="10.193370165745856"/>
    <n v="3690"/>
    <n v="12.729281767955801"/>
    <n v="918"/>
    <n v="4608"/>
    <n v="99"/>
    <x v="1"/>
    <x v="9"/>
    <x v="1"/>
    <x v="0"/>
  </r>
  <r>
    <x v="651"/>
    <x v="0"/>
    <n v="7"/>
    <x v="160"/>
    <s v="19-04-2016"/>
    <x v="0"/>
    <x v="17"/>
    <x v="17"/>
    <x v="3"/>
    <n v="4"/>
    <x v="17"/>
    <s v="OH"/>
    <s v="20-04-2016"/>
    <n v="981"/>
    <n v="619"/>
    <n v="63.098878695208974"/>
    <n v="3.5066258919469928"/>
    <n v="3440"/>
    <n v="4.2089704383282367"/>
    <n v="689"/>
    <n v="4129"/>
    <n v="89"/>
    <x v="1"/>
    <x v="2"/>
    <x v="84"/>
    <x v="0"/>
  </r>
  <r>
    <x v="652"/>
    <x v="0"/>
    <n v="5"/>
    <x v="24"/>
    <s v="13-06-2016"/>
    <x v="6"/>
    <x v="22"/>
    <x v="22"/>
    <x v="0"/>
    <n v="4"/>
    <x v="22"/>
    <s v="IL"/>
    <s v="17-06-2016"/>
    <n v="830"/>
    <n v="265"/>
    <n v="31.92771084337349"/>
    <n v="1.8506024096385543"/>
    <n v="1536"/>
    <n v="2.2819277108433735"/>
    <n v="358"/>
    <n v="1894"/>
    <n v="82"/>
    <x v="1"/>
    <x v="7"/>
    <x v="1"/>
    <x v="0"/>
  </r>
  <r>
    <x v="653"/>
    <x v="1"/>
    <n v="6"/>
    <x v="25"/>
    <s v="10-01-2016"/>
    <x v="4"/>
    <x v="20"/>
    <x v="20"/>
    <x v="1"/>
    <n v="4"/>
    <x v="20"/>
    <s v="IL"/>
    <s v="14-01-2016"/>
    <n v="1085"/>
    <n v="716"/>
    <n v="65.990783410138249"/>
    <n v="6.6211981566820279"/>
    <n v="7184"/>
    <n v="7.2820276497695851"/>
    <n v="717"/>
    <n v="7901"/>
    <n v="73"/>
    <x v="1"/>
    <x v="1"/>
    <x v="1"/>
    <x v="0"/>
  </r>
  <r>
    <x v="654"/>
    <x v="0"/>
    <n v="6"/>
    <x v="255"/>
    <s v="14-02-2016"/>
    <x v="2"/>
    <x v="17"/>
    <x v="17"/>
    <x v="3"/>
    <n v="4"/>
    <x v="17"/>
    <s v="OH"/>
    <s v="18-02-2016"/>
    <n v="773"/>
    <n v="496"/>
    <n v="64.165588615782667"/>
    <n v="10.381630012936611"/>
    <n v="8025"/>
    <n v="11.322121604139715"/>
    <n v="727"/>
    <n v="8752"/>
    <n v="59"/>
    <x v="1"/>
    <x v="0"/>
    <x v="1"/>
    <x v="0"/>
  </r>
  <r>
    <x v="655"/>
    <x v="0"/>
    <n v="6"/>
    <x v="193"/>
    <s v="03-06-2016"/>
    <x v="6"/>
    <x v="3"/>
    <x v="3"/>
    <x v="2"/>
    <n v="4"/>
    <x v="3"/>
    <s v="IL"/>
    <s v="07-06-2016"/>
    <n v="622"/>
    <n v="425"/>
    <n v="68.327974276527328"/>
    <n v="12.483922829581994"/>
    <n v="7765"/>
    <n v="12.971061093247588"/>
    <n v="303"/>
    <n v="8068"/>
    <n v="70"/>
    <x v="1"/>
    <x v="7"/>
    <x v="1"/>
    <x v="0"/>
  </r>
  <r>
    <x v="656"/>
    <x v="0"/>
    <n v="7"/>
    <x v="90"/>
    <s v="22-05-2016"/>
    <x v="7"/>
    <x v="10"/>
    <x v="10"/>
    <x v="1"/>
    <n v="4"/>
    <x v="10"/>
    <s v="IL"/>
    <s v="26-05-2016"/>
    <n v="701"/>
    <n v="290"/>
    <n v="41.36947218259629"/>
    <n v="2.810271041369472"/>
    <n v="1970"/>
    <n v="3.196861626248217"/>
    <n v="271"/>
    <n v="2241"/>
    <n v="57"/>
    <x v="1"/>
    <x v="4"/>
    <x v="1"/>
    <x v="0"/>
  </r>
  <r>
    <x v="657"/>
    <x v="0"/>
    <n v="5"/>
    <x v="315"/>
    <s v="25-03-2016"/>
    <x v="1"/>
    <x v="22"/>
    <x v="22"/>
    <x v="0"/>
    <n v="4"/>
    <x v="22"/>
    <s v="IL"/>
    <s v="27-03-2016"/>
    <n v="1069"/>
    <n v="362"/>
    <n v="33.863423760523851"/>
    <n v="2.7885874649204863"/>
    <n v="2981"/>
    <n v="3.2956033676333023"/>
    <n v="542"/>
    <n v="3523"/>
    <n v="83"/>
    <x v="1"/>
    <x v="7"/>
    <x v="76"/>
    <x v="0"/>
  </r>
  <r>
    <x v="658"/>
    <x v="1"/>
    <n v="5"/>
    <x v="262"/>
    <s v="03-01-2016"/>
    <x v="4"/>
    <x v="1"/>
    <x v="1"/>
    <x v="1"/>
    <n v="4"/>
    <x v="1"/>
    <s v="WI"/>
    <s v="07-01-2016"/>
    <n v="492"/>
    <n v="492"/>
    <n v="100"/>
    <n v="4.4512195121951219"/>
    <n v="2190"/>
    <n v="6.2439024390243905"/>
    <n v="882"/>
    <n v="3072"/>
    <n v="81"/>
    <x v="1"/>
    <x v="1"/>
    <x v="1"/>
    <x v="0"/>
  </r>
  <r>
    <x v="659"/>
    <x v="0"/>
    <n v="8"/>
    <x v="194"/>
    <s v="20-07-2016"/>
    <x v="3"/>
    <x v="6"/>
    <x v="6"/>
    <x v="4"/>
    <n v="4"/>
    <x v="6"/>
    <s v="IN"/>
    <s v="24-07-2016"/>
    <n v="1055"/>
    <n v="717"/>
    <n v="67.962085308056871"/>
    <n v="1.1715639810426541"/>
    <n v="1236"/>
    <n v="1.9099526066350712"/>
    <n v="779"/>
    <n v="2015"/>
    <n v="84"/>
    <x v="1"/>
    <x v="4"/>
    <x v="1"/>
    <x v="0"/>
  </r>
  <r>
    <x v="660"/>
    <x v="1"/>
    <n v="6"/>
    <x v="71"/>
    <s v="25-03-2016"/>
    <x v="1"/>
    <x v="13"/>
    <x v="13"/>
    <x v="1"/>
    <n v="4"/>
    <x v="13"/>
    <s v="OH"/>
    <s v="26-03-2016"/>
    <n v="313"/>
    <n v="313"/>
    <n v="100"/>
    <n v="11.434504792332268"/>
    <n v="3579"/>
    <n v="13.357827476038338"/>
    <n v="602"/>
    <n v="4181"/>
    <n v="60"/>
    <x v="1"/>
    <x v="3"/>
    <x v="84"/>
    <x v="0"/>
  </r>
  <r>
    <x v="661"/>
    <x v="1"/>
    <n v="5"/>
    <x v="238"/>
    <s v="24-01-2016"/>
    <x v="4"/>
    <x v="0"/>
    <x v="0"/>
    <x v="0"/>
    <n v="4"/>
    <x v="0"/>
    <s v="MI"/>
    <s v="28-01-2016"/>
    <n v="392"/>
    <n v="392"/>
    <n v="100"/>
    <n v="17.918367346938776"/>
    <n v="7024"/>
    <n v="18.303571428571427"/>
    <n v="151"/>
    <n v="7175"/>
    <n v="78"/>
    <x v="1"/>
    <x v="6"/>
    <x v="1"/>
    <x v="0"/>
  </r>
  <r>
    <x v="662"/>
    <x v="0"/>
    <n v="5"/>
    <x v="136"/>
    <s v="18-01-2016"/>
    <x v="4"/>
    <x v="21"/>
    <x v="21"/>
    <x v="2"/>
    <n v="4"/>
    <x v="21"/>
    <s v="IL"/>
    <s v="22-01-2016"/>
    <n v="813"/>
    <n v="241"/>
    <n v="29.643296432964327"/>
    <n v="5.1094710947109467"/>
    <n v="4154"/>
    <n v="6.0602706027060274"/>
    <n v="773"/>
    <n v="4927"/>
    <n v="80"/>
    <x v="1"/>
    <x v="8"/>
    <x v="1"/>
    <x v="0"/>
  </r>
  <r>
    <x v="663"/>
    <x v="0"/>
    <n v="4"/>
    <x v="153"/>
    <s v="04-07-2016"/>
    <x v="3"/>
    <x v="11"/>
    <x v="11"/>
    <x v="2"/>
    <n v="4"/>
    <x v="11"/>
    <s v="MI"/>
    <s v="08-07-2016"/>
    <n v="937"/>
    <n v="227"/>
    <n v="24.226254002134475"/>
    <n v="5.9018143009605124"/>
    <n v="5530"/>
    <n v="3.6766275346851653"/>
    <n v="-2085"/>
    <n v="3445"/>
    <n v="66"/>
    <x v="1"/>
    <x v="8"/>
    <x v="1"/>
    <x v="0"/>
  </r>
  <r>
    <x v="664"/>
    <x v="0"/>
    <n v="8"/>
    <x v="221"/>
    <s v="29-02-2016"/>
    <x v="2"/>
    <x v="15"/>
    <x v="15"/>
    <x v="4"/>
    <n v="4"/>
    <x v="15"/>
    <s v="IL"/>
    <s v="01-03-2016"/>
    <n v="550"/>
    <n v="421"/>
    <n v="76.545454545454547"/>
    <n v="12.123636363636363"/>
    <n v="6668"/>
    <n v="13.463636363636363"/>
    <n v="737"/>
    <n v="7405"/>
    <n v="87"/>
    <x v="1"/>
    <x v="3"/>
    <x v="84"/>
    <x v="0"/>
  </r>
  <r>
    <x v="665"/>
    <x v="0"/>
    <n v="6"/>
    <x v="138"/>
    <s v="25-04-2016"/>
    <x v="0"/>
    <x v="2"/>
    <x v="2"/>
    <x v="1"/>
    <n v="4"/>
    <x v="2"/>
    <s v="IL"/>
    <s v="29-04-2016"/>
    <n v="441"/>
    <n v="441"/>
    <n v="100"/>
    <n v="0.14512471655328799"/>
    <n v="64"/>
    <n v="1.2380952380952381"/>
    <n v="482"/>
    <n v="546"/>
    <n v="98"/>
    <x v="1"/>
    <x v="4"/>
    <x v="1"/>
    <x v="0"/>
  </r>
  <r>
    <x v="666"/>
    <x v="1"/>
    <n v="7"/>
    <x v="319"/>
    <s v="09-05-2016"/>
    <x v="7"/>
    <x v="4"/>
    <x v="4"/>
    <x v="2"/>
    <n v="4"/>
    <x v="4"/>
    <s v="MI"/>
    <s v="13-05-2016"/>
    <n v="1116"/>
    <n v="299"/>
    <n v="26.792114695340501"/>
    <n v="7.0474910394265233"/>
    <n v="7865"/>
    <n v="7.2679211469534053"/>
    <n v="246"/>
    <n v="8111"/>
    <n v="96"/>
    <x v="1"/>
    <x v="5"/>
    <x v="1"/>
    <x v="0"/>
  </r>
  <r>
    <x v="667"/>
    <x v="1"/>
    <n v="7"/>
    <x v="95"/>
    <s v="02-06-2016"/>
    <x v="6"/>
    <x v="21"/>
    <x v="21"/>
    <x v="2"/>
    <n v="4"/>
    <x v="21"/>
    <s v="IL"/>
    <s v="06-06-2016"/>
    <n v="343"/>
    <n v="343"/>
    <n v="100"/>
    <n v="17.787172011661809"/>
    <n v="6101"/>
    <n v="18.52186588921283"/>
    <n v="252"/>
    <n v="6353"/>
    <n v="88"/>
    <x v="1"/>
    <x v="8"/>
    <x v="1"/>
    <x v="0"/>
  </r>
  <r>
    <x v="668"/>
    <x v="1"/>
    <n v="8"/>
    <x v="317"/>
    <s v="10-05-2016"/>
    <x v="7"/>
    <x v="17"/>
    <x v="17"/>
    <x v="3"/>
    <n v="4"/>
    <x v="17"/>
    <s v="OH"/>
    <s v="13-05-2016"/>
    <n v="834"/>
    <n v="580"/>
    <n v="69.544364508393286"/>
    <n v="1.1438848920863309"/>
    <n v="954"/>
    <n v="1.9580335731414868"/>
    <n v="679"/>
    <n v="1633"/>
    <n v="68"/>
    <x v="1"/>
    <x v="7"/>
    <x v="64"/>
    <x v="0"/>
  </r>
  <r>
    <x v="669"/>
    <x v="0"/>
    <n v="4"/>
    <x v="320"/>
    <s v="26-02-2016"/>
    <x v="2"/>
    <x v="23"/>
    <x v="23"/>
    <x v="1"/>
    <n v="4"/>
    <x v="23"/>
    <s v="WI"/>
    <s v="28-02-2016"/>
    <n v="704"/>
    <n v="376"/>
    <n v="53.409090909090907"/>
    <n v="9.4247159090909083"/>
    <n v="6635"/>
    <n v="6.78125"/>
    <n v="-1861"/>
    <n v="4774"/>
    <n v="68"/>
    <x v="1"/>
    <x v="1"/>
    <x v="76"/>
    <x v="0"/>
  </r>
  <r>
    <x v="670"/>
    <x v="1"/>
    <n v="7"/>
    <x v="56"/>
    <s v="08-02-2016"/>
    <x v="2"/>
    <x v="15"/>
    <x v="15"/>
    <x v="4"/>
    <n v="4"/>
    <x v="15"/>
    <s v="IL"/>
    <s v="12-02-2016"/>
    <n v="1005"/>
    <n v="461"/>
    <n v="45.870646766169152"/>
    <n v="0.15621890547263681"/>
    <n v="157"/>
    <n v="0.52437810945273633"/>
    <n v="370"/>
    <n v="527"/>
    <n v="87"/>
    <x v="1"/>
    <x v="7"/>
    <x v="1"/>
    <x v="0"/>
  </r>
  <r>
    <x v="671"/>
    <x v="1"/>
    <n v="4"/>
    <x v="210"/>
    <s v="25-03-2016"/>
    <x v="1"/>
    <x v="16"/>
    <x v="16"/>
    <x v="4"/>
    <n v="4"/>
    <x v="16"/>
    <s v="MI"/>
    <s v="29-03-2016"/>
    <n v="383"/>
    <n v="310"/>
    <n v="80.93994778067885"/>
    <n v="9.5744125326370764"/>
    <n v="3667"/>
    <n v="3.1566579634464751"/>
    <n v="-2458"/>
    <n v="1209"/>
    <n v="51"/>
    <x v="1"/>
    <x v="8"/>
    <x v="1"/>
    <x v="0"/>
  </r>
  <r>
    <x v="672"/>
    <x v="0"/>
    <n v="5"/>
    <x v="266"/>
    <s v="04-01-2016"/>
    <x v="4"/>
    <x v="7"/>
    <x v="7"/>
    <x v="5"/>
    <n v="4"/>
    <x v="7"/>
    <s v="WI"/>
    <s v="08-01-2016"/>
    <n v="742"/>
    <n v="215"/>
    <n v="28.975741239892184"/>
    <n v="6.6819407008086253"/>
    <n v="4958"/>
    <n v="6.8557951482479789"/>
    <n v="129"/>
    <n v="5087"/>
    <n v="58"/>
    <x v="1"/>
    <x v="7"/>
    <x v="1"/>
    <x v="0"/>
  </r>
  <r>
    <x v="673"/>
    <x v="0"/>
    <n v="4"/>
    <x v="163"/>
    <s v="26-06-2016"/>
    <x v="6"/>
    <x v="14"/>
    <x v="14"/>
    <x v="1"/>
    <n v="4"/>
    <x v="14"/>
    <s v="IL"/>
    <s v="30-06-2016"/>
    <n v="778"/>
    <n v="342"/>
    <n v="43.958868894601544"/>
    <n v="6.8316195372750643"/>
    <n v="5315"/>
    <n v="3.7853470437017993"/>
    <n v="-2370"/>
    <n v="2945"/>
    <n v="86"/>
    <x v="1"/>
    <x v="2"/>
    <x v="1"/>
    <x v="0"/>
  </r>
  <r>
    <x v="674"/>
    <x v="1"/>
    <n v="5"/>
    <x v="224"/>
    <s v="26-07-2016"/>
    <x v="3"/>
    <x v="22"/>
    <x v="22"/>
    <x v="0"/>
    <n v="4"/>
    <x v="22"/>
    <s v="IL"/>
    <s v="28-07-2016"/>
    <n v="758"/>
    <n v="681"/>
    <n v="89.841688654353561"/>
    <n v="3.9511873350923481"/>
    <n v="2995"/>
    <n v="5.2374670184696566"/>
    <n v="975"/>
    <n v="3970"/>
    <n v="62"/>
    <x v="1"/>
    <x v="6"/>
    <x v="76"/>
    <x v="0"/>
  </r>
  <r>
    <x v="675"/>
    <x v="0"/>
    <n v="7"/>
    <x v="77"/>
    <s v="07-02-2016"/>
    <x v="2"/>
    <x v="21"/>
    <x v="21"/>
    <x v="2"/>
    <n v="4"/>
    <x v="21"/>
    <s v="IL"/>
    <s v="11-02-2016"/>
    <n v="313"/>
    <n v="313"/>
    <n v="100"/>
    <n v="12.94888178913738"/>
    <n v="4053"/>
    <n v="14.424920127795527"/>
    <n v="462"/>
    <n v="4515"/>
    <n v="99"/>
    <x v="1"/>
    <x v="8"/>
    <x v="1"/>
    <x v="0"/>
  </r>
  <r>
    <x v="676"/>
    <x v="0"/>
    <n v="5"/>
    <x v="198"/>
    <s v="31-05-2016"/>
    <x v="7"/>
    <x v="13"/>
    <x v="13"/>
    <x v="1"/>
    <n v="4"/>
    <x v="13"/>
    <s v="OH"/>
    <s v="04-06-2016"/>
    <n v="1043"/>
    <n v="213"/>
    <n v="20.421860019175455"/>
    <n v="2.4650047938638542"/>
    <n v="2571"/>
    <n v="3.2531160115052731"/>
    <n v="822"/>
    <n v="3393"/>
    <n v="67"/>
    <x v="1"/>
    <x v="6"/>
    <x v="1"/>
    <x v="0"/>
  </r>
  <r>
    <x v="677"/>
    <x v="0"/>
    <n v="8"/>
    <x v="156"/>
    <s v="15-03-2016"/>
    <x v="1"/>
    <x v="12"/>
    <x v="12"/>
    <x v="3"/>
    <n v="4"/>
    <x v="12"/>
    <s v="MI"/>
    <s v="19-03-2016"/>
    <n v="948"/>
    <n v="437"/>
    <n v="46.097046413502106"/>
    <n v="8.7172995780590714"/>
    <n v="8264"/>
    <n v="9.3291139240506329"/>
    <n v="580"/>
    <n v="8844"/>
    <n v="75"/>
    <x v="1"/>
    <x v="4"/>
    <x v="1"/>
    <x v="0"/>
  </r>
  <r>
    <x v="678"/>
    <x v="1"/>
    <n v="7"/>
    <x v="225"/>
    <s v="22-03-2016"/>
    <x v="1"/>
    <x v="17"/>
    <x v="17"/>
    <x v="3"/>
    <n v="4"/>
    <x v="17"/>
    <s v="OH"/>
    <s v="23-03-2016"/>
    <n v="649"/>
    <n v="649"/>
    <n v="100"/>
    <n v="7.3266563944530043"/>
    <n v="4755"/>
    <n v="7.7380585516178737"/>
    <n v="267"/>
    <n v="5022"/>
    <n v="79"/>
    <x v="1"/>
    <x v="3"/>
    <x v="84"/>
    <x v="0"/>
  </r>
  <r>
    <x v="679"/>
    <x v="1"/>
    <n v="8"/>
    <x v="293"/>
    <s v="29-05-2016"/>
    <x v="7"/>
    <x v="23"/>
    <x v="23"/>
    <x v="1"/>
    <n v="4"/>
    <x v="23"/>
    <s v="WI"/>
    <s v="02-06-2016"/>
    <n v="1181"/>
    <n v="216"/>
    <n v="18.289585097375106"/>
    <n v="1.3378492802709567"/>
    <n v="1580"/>
    <n v="1.4868755292125317"/>
    <n v="176"/>
    <n v="1756"/>
    <n v="75"/>
    <x v="1"/>
    <x v="8"/>
    <x v="1"/>
    <x v="0"/>
  </r>
  <r>
    <x v="680"/>
    <x v="0"/>
    <n v="4"/>
    <x v="36"/>
    <s v="19-03-2016"/>
    <x v="1"/>
    <x v="1"/>
    <x v="1"/>
    <x v="1"/>
    <n v="4"/>
    <x v="1"/>
    <s v="WI"/>
    <s v="23-03-2016"/>
    <n v="1132"/>
    <n v="616"/>
    <n v="54.416961130742045"/>
    <n v="2.6422261484098941"/>
    <n v="2991"/>
    <n v="0.80477031802120136"/>
    <n v="-2080"/>
    <n v="911"/>
    <n v="100"/>
    <x v="1"/>
    <x v="0"/>
    <x v="1"/>
    <x v="0"/>
  </r>
  <r>
    <x v="681"/>
    <x v="1"/>
    <n v="6"/>
    <x v="199"/>
    <s v="24-07-2016"/>
    <x v="3"/>
    <x v="16"/>
    <x v="16"/>
    <x v="4"/>
    <n v="4"/>
    <x v="16"/>
    <s v="MI"/>
    <s v="28-07-2016"/>
    <n v="654"/>
    <n v="585"/>
    <n v="89.449541284403665"/>
    <n v="6.166666666666667"/>
    <n v="4033"/>
    <n v="6.6299694189602443"/>
    <n v="303"/>
    <n v="4336"/>
    <n v="92"/>
    <x v="1"/>
    <x v="1"/>
    <x v="1"/>
    <x v="0"/>
  </r>
  <r>
    <x v="682"/>
    <x v="1"/>
    <n v="7"/>
    <x v="318"/>
    <s v="22-07-2016"/>
    <x v="3"/>
    <x v="23"/>
    <x v="23"/>
    <x v="1"/>
    <n v="4"/>
    <x v="23"/>
    <s v="WI"/>
    <s v="24-07-2016"/>
    <n v="545"/>
    <n v="545"/>
    <n v="100"/>
    <n v="3.763302752293578"/>
    <n v="2051"/>
    <n v="4.5926605504587155"/>
    <n v="452"/>
    <n v="2503"/>
    <n v="98"/>
    <x v="1"/>
    <x v="8"/>
    <x v="76"/>
    <x v="0"/>
  </r>
  <r>
    <x v="683"/>
    <x v="0"/>
    <n v="5"/>
    <x v="143"/>
    <s v="06-06-2016"/>
    <x v="6"/>
    <x v="21"/>
    <x v="21"/>
    <x v="2"/>
    <n v="4"/>
    <x v="21"/>
    <s v="IL"/>
    <s v="10-06-2016"/>
    <n v="368"/>
    <n v="280"/>
    <n v="76.08695652173914"/>
    <n v="8.4266304347826093"/>
    <n v="3101"/>
    <n v="9.2554347826086953"/>
    <n v="305"/>
    <n v="3406"/>
    <n v="86"/>
    <x v="1"/>
    <x v="8"/>
    <x v="1"/>
    <x v="0"/>
  </r>
  <r>
    <x v="684"/>
    <x v="1"/>
    <n v="8"/>
    <x v="0"/>
    <s v="22-01-2016"/>
    <x v="4"/>
    <x v="3"/>
    <x v="3"/>
    <x v="2"/>
    <n v="4"/>
    <x v="3"/>
    <s v="IL"/>
    <s v="26-01-2016"/>
    <n v="805"/>
    <n v="594"/>
    <n v="73.788819875776397"/>
    <n v="7.9788819875776396"/>
    <n v="6423"/>
    <n v="8.7689440993788814"/>
    <n v="636"/>
    <n v="7059"/>
    <n v="79"/>
    <x v="1"/>
    <x v="8"/>
    <x v="1"/>
    <x v="0"/>
  </r>
  <r>
    <x v="685"/>
    <x v="0"/>
    <n v="6"/>
    <x v="100"/>
    <s v="28-05-2016"/>
    <x v="7"/>
    <x v="22"/>
    <x v="22"/>
    <x v="0"/>
    <n v="4"/>
    <x v="22"/>
    <s v="IL"/>
    <s v="31-05-2016"/>
    <n v="511"/>
    <n v="312"/>
    <n v="61.05675146771037"/>
    <n v="1.0528375733855186"/>
    <n v="538"/>
    <n v="2.2211350293542074"/>
    <n v="597"/>
    <n v="1135"/>
    <n v="59"/>
    <x v="1"/>
    <x v="1"/>
    <x v="64"/>
    <x v="0"/>
  </r>
  <r>
    <x v="686"/>
    <x v="1"/>
    <n v="5"/>
    <x v="261"/>
    <s v="13-07-2016"/>
    <x v="3"/>
    <x v="9"/>
    <x v="9"/>
    <x v="3"/>
    <n v="4"/>
    <x v="9"/>
    <s v="IN"/>
    <s v="17-07-2016"/>
    <n v="869"/>
    <n v="762"/>
    <n v="87.686996547756053"/>
    <n v="3.6409666283084006"/>
    <n v="3164"/>
    <n v="4.7180667433831989"/>
    <n v="936"/>
    <n v="4100"/>
    <n v="58"/>
    <x v="1"/>
    <x v="2"/>
    <x v="1"/>
    <x v="0"/>
  </r>
  <r>
    <x v="687"/>
    <x v="0"/>
    <n v="8"/>
    <x v="170"/>
    <s v="15-04-2016"/>
    <x v="0"/>
    <x v="17"/>
    <x v="17"/>
    <x v="3"/>
    <n v="4"/>
    <x v="17"/>
    <s v="OH"/>
    <s v="17-04-2016"/>
    <n v="510"/>
    <n v="510"/>
    <n v="100"/>
    <n v="7.7450980392156863"/>
    <n v="3950"/>
    <n v="9.3392156862745104"/>
    <n v="813"/>
    <n v="4763"/>
    <n v="98"/>
    <x v="1"/>
    <x v="8"/>
    <x v="76"/>
    <x v="0"/>
  </r>
  <r>
    <x v="688"/>
    <x v="1"/>
    <n v="6"/>
    <x v="230"/>
    <s v="15-04-2016"/>
    <x v="0"/>
    <x v="6"/>
    <x v="6"/>
    <x v="4"/>
    <n v="4"/>
    <x v="6"/>
    <s v="IN"/>
    <s v="19-04-2016"/>
    <n v="1121"/>
    <n v="572"/>
    <n v="51.025869759143625"/>
    <n v="4.5619982158786794"/>
    <n v="5114"/>
    <n v="4.7047279214986615"/>
    <n v="160"/>
    <n v="5274"/>
    <n v="86"/>
    <x v="1"/>
    <x v="4"/>
    <x v="1"/>
    <x v="0"/>
  </r>
  <r>
    <x v="689"/>
    <x v="1"/>
    <n v="8"/>
    <x v="43"/>
    <s v="31-05-2016"/>
    <x v="7"/>
    <x v="17"/>
    <x v="17"/>
    <x v="3"/>
    <n v="4"/>
    <x v="17"/>
    <s v="OH"/>
    <s v="04-06-2016"/>
    <n v="1158"/>
    <n v="403"/>
    <n v="34.801381692573401"/>
    <n v="1.7340241796200346"/>
    <n v="2008"/>
    <n v="1.886873920552677"/>
    <n v="177"/>
    <n v="2185"/>
    <n v="91"/>
    <x v="1"/>
    <x v="5"/>
    <x v="1"/>
    <x v="0"/>
  </r>
  <r>
    <x v="690"/>
    <x v="0"/>
    <n v="6"/>
    <x v="103"/>
    <s v="22-05-2016"/>
    <x v="7"/>
    <x v="14"/>
    <x v="14"/>
    <x v="1"/>
    <n v="4"/>
    <x v="14"/>
    <s v="IL"/>
    <s v="26-05-2016"/>
    <n v="1013"/>
    <n v="562"/>
    <n v="55.478775913129319"/>
    <n v="6.8232971372161897"/>
    <n v="6912"/>
    <n v="7.6544916090819353"/>
    <n v="842"/>
    <n v="7754"/>
    <n v="56"/>
    <x v="1"/>
    <x v="3"/>
    <x v="1"/>
    <x v="0"/>
  </r>
  <r>
    <x v="691"/>
    <x v="1"/>
    <n v="8"/>
    <x v="321"/>
    <s v="30-05-2016"/>
    <x v="7"/>
    <x v="22"/>
    <x v="22"/>
    <x v="0"/>
    <n v="4"/>
    <x v="22"/>
    <s v="IL"/>
    <s v="31-05-2016"/>
    <n v="1087"/>
    <n v="737"/>
    <n v="67.801287948482056"/>
    <n v="5.8077276908923645"/>
    <n v="6313"/>
    <n v="6.1186752529898802"/>
    <n v="338"/>
    <n v="6651"/>
    <n v="79"/>
    <x v="1"/>
    <x v="8"/>
    <x v="84"/>
    <x v="0"/>
  </r>
  <r>
    <x v="692"/>
    <x v="1"/>
    <n v="4"/>
    <x v="216"/>
    <s v="05-04-2016"/>
    <x v="0"/>
    <x v="1"/>
    <x v="1"/>
    <x v="1"/>
    <n v="4"/>
    <x v="1"/>
    <s v="WI"/>
    <s v="09-04-2016"/>
    <n v="623"/>
    <n v="623"/>
    <n v="100"/>
    <n v="8.0914927768860352"/>
    <n v="5041"/>
    <n v="4.5698234349919744"/>
    <n v="-2194"/>
    <n v="2847"/>
    <n v="70"/>
    <x v="1"/>
    <x v="1"/>
    <x v="1"/>
    <x v="0"/>
  </r>
  <r>
    <x v="693"/>
    <x v="1"/>
    <n v="8"/>
    <x v="291"/>
    <s v="27-07-2016"/>
    <x v="3"/>
    <x v="8"/>
    <x v="8"/>
    <x v="3"/>
    <n v="4"/>
    <x v="8"/>
    <s v="OH"/>
    <s v="31-07-2016"/>
    <n v="1098"/>
    <n v="626"/>
    <n v="57.012750455373407"/>
    <n v="0.49362477231329688"/>
    <n v="542"/>
    <n v="1.3278688524590163"/>
    <n v="916"/>
    <n v="1458"/>
    <n v="69"/>
    <x v="1"/>
    <x v="7"/>
    <x v="1"/>
    <x v="0"/>
  </r>
  <r>
    <x v="694"/>
    <x v="1"/>
    <n v="5"/>
    <x v="217"/>
    <s v="30-03-2016"/>
    <x v="1"/>
    <x v="6"/>
    <x v="6"/>
    <x v="4"/>
    <n v="4"/>
    <x v="6"/>
    <s v="IN"/>
    <s v="03-04-2016"/>
    <n v="557"/>
    <n v="501"/>
    <n v="89.946140035906637"/>
    <n v="2.9138240574506282"/>
    <n v="1623"/>
    <n v="4.3464991023339321"/>
    <n v="798"/>
    <n v="2421"/>
    <n v="74"/>
    <x v="1"/>
    <x v="6"/>
    <x v="1"/>
    <x v="0"/>
  </r>
  <r>
    <x v="695"/>
    <x v="1"/>
    <n v="4"/>
    <x v="87"/>
    <s v="03-08-2016"/>
    <x v="5"/>
    <x v="14"/>
    <x v="14"/>
    <x v="1"/>
    <n v="4"/>
    <x v="14"/>
    <s v="IL"/>
    <s v="07-08-2016"/>
    <n v="842"/>
    <n v="644"/>
    <n v="76.484560570071253"/>
    <n v="6.3883610451306412"/>
    <n v="5379"/>
    <n v="3.5071258907363418"/>
    <n v="-2426"/>
    <n v="2953"/>
    <n v="57"/>
    <x v="1"/>
    <x v="0"/>
    <x v="1"/>
    <x v="0"/>
  </r>
  <r>
    <x v="696"/>
    <x v="1"/>
    <n v="8"/>
    <x v="67"/>
    <s v="20-08-2016"/>
    <x v="5"/>
    <x v="22"/>
    <x v="22"/>
    <x v="0"/>
    <n v="4"/>
    <x v="22"/>
    <s v="IL"/>
    <s v="24-08-2016"/>
    <n v="453"/>
    <n v="453"/>
    <n v="100"/>
    <n v="5.445916114790287"/>
    <n v="2467"/>
    <n v="7.0794701986754971"/>
    <n v="740"/>
    <n v="3207"/>
    <n v="62"/>
    <x v="1"/>
    <x v="9"/>
    <x v="1"/>
    <x v="0"/>
  </r>
  <r>
    <x v="697"/>
    <x v="1"/>
    <n v="7"/>
    <x v="50"/>
    <s v="11-03-2016"/>
    <x v="1"/>
    <x v="0"/>
    <x v="0"/>
    <x v="0"/>
    <n v="4"/>
    <x v="0"/>
    <s v="MI"/>
    <s v="15-03-2016"/>
    <n v="303"/>
    <n v="303"/>
    <n v="100"/>
    <n v="15.788778877887788"/>
    <n v="4784"/>
    <n v="17.171617161716171"/>
    <n v="419"/>
    <n v="5203"/>
    <n v="80"/>
    <x v="1"/>
    <x v="5"/>
    <x v="1"/>
    <x v="0"/>
  </r>
  <r>
    <x v="698"/>
    <x v="1"/>
    <n v="8"/>
    <x v="203"/>
    <s v="02-03-2016"/>
    <x v="1"/>
    <x v="21"/>
    <x v="21"/>
    <x v="2"/>
    <n v="4"/>
    <x v="21"/>
    <s v="IL"/>
    <s v="06-03-2016"/>
    <n v="1022"/>
    <n v="479"/>
    <n v="46.868884540117421"/>
    <n v="6.3571428571428568"/>
    <n v="6497"/>
    <n v="6.6722113502935425"/>
    <n v="322"/>
    <n v="6819"/>
    <n v="67"/>
    <x v="1"/>
    <x v="9"/>
    <x v="1"/>
    <x v="0"/>
  </r>
  <r>
    <x v="699"/>
    <x v="1"/>
    <n v="8"/>
    <x v="6"/>
    <s v="20-02-2016"/>
    <x v="2"/>
    <x v="2"/>
    <x v="2"/>
    <x v="1"/>
    <n v="4"/>
    <x v="2"/>
    <s v="IL"/>
    <s v="24-02-2016"/>
    <n v="321"/>
    <n v="225"/>
    <n v="70.09345794392523"/>
    <n v="18.710280373831775"/>
    <n v="6006"/>
    <n v="21.535825545171338"/>
    <n v="907"/>
    <n v="6913"/>
    <n v="100"/>
    <x v="1"/>
    <x v="7"/>
    <x v="1"/>
    <x v="0"/>
  </r>
  <r>
    <x v="700"/>
    <x v="1"/>
    <n v="5"/>
    <x v="89"/>
    <s v="11-01-2016"/>
    <x v="4"/>
    <x v="4"/>
    <x v="4"/>
    <x v="2"/>
    <n v="4"/>
    <x v="4"/>
    <s v="MI"/>
    <s v="15-01-2016"/>
    <n v="225"/>
    <n v="225"/>
    <n v="100"/>
    <n v="0.56888888888888889"/>
    <n v="128"/>
    <n v="3.8577777777777778"/>
    <n v="740"/>
    <n v="868"/>
    <n v="81"/>
    <x v="1"/>
    <x v="3"/>
    <x v="1"/>
    <x v="0"/>
  </r>
  <r>
    <x v="701"/>
    <x v="1"/>
    <n v="7"/>
    <x v="106"/>
    <s v="22-07-2016"/>
    <x v="3"/>
    <x v="3"/>
    <x v="3"/>
    <x v="2"/>
    <n v="4"/>
    <x v="3"/>
    <s v="IL"/>
    <s v="26-07-2016"/>
    <n v="1128"/>
    <n v="489"/>
    <n v="43.351063829787236"/>
    <n v="1.5070921985815602"/>
    <n v="1700"/>
    <n v="2.0656028368794326"/>
    <n v="630"/>
    <n v="2330"/>
    <n v="78"/>
    <x v="1"/>
    <x v="9"/>
    <x v="1"/>
    <x v="0"/>
  </r>
  <r>
    <x v="702"/>
    <x v="1"/>
    <n v="6"/>
    <x v="322"/>
    <s v="29-03-2016"/>
    <x v="1"/>
    <x v="15"/>
    <x v="15"/>
    <x v="4"/>
    <n v="4"/>
    <x v="15"/>
    <s v="IL"/>
    <s v="02-04-2016"/>
    <n v="791"/>
    <n v="531"/>
    <n v="67.130214917825541"/>
    <n v="3.1782553729456384"/>
    <n v="2514"/>
    <n v="3.925410872313527"/>
    <n v="591"/>
    <n v="3105"/>
    <n v="83"/>
    <x v="1"/>
    <x v="9"/>
    <x v="1"/>
    <x v="0"/>
  </r>
  <r>
    <x v="703"/>
    <x v="0"/>
    <n v="5"/>
    <x v="241"/>
    <s v="03-06-2016"/>
    <x v="6"/>
    <x v="20"/>
    <x v="20"/>
    <x v="1"/>
    <n v="4"/>
    <x v="20"/>
    <s v="IL"/>
    <s v="07-06-2016"/>
    <n v="891"/>
    <n v="200"/>
    <n v="22.446689113355781"/>
    <n v="9.4051627384960721"/>
    <n v="8380"/>
    <n v="9.8092031425364752"/>
    <n v="360"/>
    <n v="8740"/>
    <n v="91"/>
    <x v="1"/>
    <x v="2"/>
    <x v="1"/>
    <x v="0"/>
  </r>
  <r>
    <x v="704"/>
    <x v="0"/>
    <n v="8"/>
    <x v="146"/>
    <s v="04-01-2016"/>
    <x v="4"/>
    <x v="12"/>
    <x v="12"/>
    <x v="3"/>
    <n v="4"/>
    <x v="12"/>
    <s v="MI"/>
    <s v="08-01-2016"/>
    <n v="1003"/>
    <n v="302"/>
    <n v="30.109670987038882"/>
    <n v="7.3698903290129607"/>
    <n v="7392"/>
    <n v="8.0747756729810565"/>
    <n v="707"/>
    <n v="8099"/>
    <n v="58"/>
    <x v="1"/>
    <x v="7"/>
    <x v="1"/>
    <x v="0"/>
  </r>
  <r>
    <x v="705"/>
    <x v="0"/>
    <n v="8"/>
    <x v="93"/>
    <s v="12-05-2016"/>
    <x v="7"/>
    <x v="14"/>
    <x v="14"/>
    <x v="1"/>
    <n v="4"/>
    <x v="14"/>
    <s v="IL"/>
    <s v="16-05-2016"/>
    <n v="201"/>
    <n v="201"/>
    <n v="100"/>
    <n v="24.074626865671643"/>
    <n v="4839"/>
    <n v="25.601990049751244"/>
    <n v="307"/>
    <n v="5146"/>
    <n v="95"/>
    <x v="1"/>
    <x v="4"/>
    <x v="1"/>
    <x v="0"/>
  </r>
  <r>
    <x v="706"/>
    <x v="0"/>
    <n v="4"/>
    <x v="70"/>
    <s v="24-01-2016"/>
    <x v="4"/>
    <x v="21"/>
    <x v="21"/>
    <x v="2"/>
    <n v="4"/>
    <x v="21"/>
    <s v="IL"/>
    <s v="28-01-2016"/>
    <n v="672"/>
    <n v="376"/>
    <n v="55.952380952380956"/>
    <n v="5.4226190476190474"/>
    <n v="3644"/>
    <n v="2.3214285714285716"/>
    <n v="-2084"/>
    <n v="1560"/>
    <n v="84"/>
    <x v="1"/>
    <x v="0"/>
    <x v="1"/>
    <x v="0"/>
  </r>
  <r>
    <x v="707"/>
    <x v="1"/>
    <n v="8"/>
    <x v="11"/>
    <s v="29-07-2016"/>
    <x v="3"/>
    <x v="16"/>
    <x v="16"/>
    <x v="4"/>
    <n v="4"/>
    <x v="16"/>
    <s v="MI"/>
    <s v="02-08-2016"/>
    <n v="876"/>
    <n v="357"/>
    <n v="40.753424657534246"/>
    <n v="4.269406392694064"/>
    <n v="3740"/>
    <n v="5.1632420091324205"/>
    <n v="783"/>
    <n v="4523"/>
    <n v="62"/>
    <x v="1"/>
    <x v="3"/>
    <x v="1"/>
    <x v="0"/>
  </r>
  <r>
    <x v="708"/>
    <x v="0"/>
    <n v="6"/>
    <x v="53"/>
    <s v="05-06-2016"/>
    <x v="6"/>
    <x v="1"/>
    <x v="1"/>
    <x v="1"/>
    <n v="4"/>
    <x v="1"/>
    <s v="WI"/>
    <s v="09-06-2016"/>
    <n v="742"/>
    <n v="733"/>
    <n v="98.787061994609161"/>
    <n v="9.5956873315363875"/>
    <n v="7120"/>
    <n v="10.366576819407008"/>
    <n v="572"/>
    <n v="7692"/>
    <n v="78"/>
    <x v="1"/>
    <x v="2"/>
    <x v="1"/>
    <x v="0"/>
  </r>
  <r>
    <x v="709"/>
    <x v="0"/>
    <n v="5"/>
    <x v="175"/>
    <s v="07-03-2016"/>
    <x v="1"/>
    <x v="8"/>
    <x v="8"/>
    <x v="3"/>
    <n v="4"/>
    <x v="8"/>
    <s v="OH"/>
    <s v="11-03-2016"/>
    <n v="273"/>
    <n v="273"/>
    <n v="100"/>
    <n v="12.095238095238095"/>
    <n v="3302"/>
    <n v="12.783882783882785"/>
    <n v="188"/>
    <n v="3490"/>
    <n v="71"/>
    <x v="1"/>
    <x v="2"/>
    <x v="1"/>
    <x v="0"/>
  </r>
  <r>
    <x v="710"/>
    <x v="1"/>
    <n v="8"/>
    <x v="243"/>
    <s v="16-08-2016"/>
    <x v="5"/>
    <x v="2"/>
    <x v="2"/>
    <x v="1"/>
    <n v="4"/>
    <x v="2"/>
    <s v="IL"/>
    <s v="20-08-2016"/>
    <n v="1094"/>
    <n v="619"/>
    <n v="56.581352833638022"/>
    <n v="3.0703839122486287"/>
    <n v="3359"/>
    <n v="3.3692870201096894"/>
    <n v="327"/>
    <n v="3686"/>
    <n v="67"/>
    <x v="1"/>
    <x v="2"/>
    <x v="1"/>
    <x v="0"/>
  </r>
  <r>
    <x v="711"/>
    <x v="1"/>
    <n v="5"/>
    <x v="109"/>
    <s v="05-07-2016"/>
    <x v="3"/>
    <x v="0"/>
    <x v="0"/>
    <x v="0"/>
    <n v="4"/>
    <x v="0"/>
    <s v="MI"/>
    <s v="09-07-2016"/>
    <n v="464"/>
    <n v="464"/>
    <n v="100"/>
    <n v="9.8793103448275854"/>
    <n v="4584"/>
    <n v="11.967672413793103"/>
    <n v="969"/>
    <n v="5553"/>
    <n v="89"/>
    <x v="1"/>
    <x v="6"/>
    <x v="1"/>
    <x v="0"/>
  </r>
  <r>
    <x v="712"/>
    <x v="1"/>
    <n v="6"/>
    <x v="269"/>
    <s v="10-06-2016"/>
    <x v="6"/>
    <x v="21"/>
    <x v="21"/>
    <x v="2"/>
    <n v="4"/>
    <x v="21"/>
    <s v="IL"/>
    <s v="14-06-2016"/>
    <n v="1027"/>
    <n v="756"/>
    <n v="73.612463485881207"/>
    <n v="4.6786757546251216"/>
    <n v="4805"/>
    <n v="5.6338851022395326"/>
    <n v="981"/>
    <n v="5786"/>
    <n v="67"/>
    <x v="1"/>
    <x v="3"/>
    <x v="1"/>
    <x v="0"/>
  </r>
  <r>
    <x v="713"/>
    <x v="1"/>
    <n v="5"/>
    <x v="317"/>
    <s v="22-02-2016"/>
    <x v="2"/>
    <x v="15"/>
    <x v="15"/>
    <x v="4"/>
    <n v="4"/>
    <x v="15"/>
    <s v="IL"/>
    <s v="25-02-2016"/>
    <n v="932"/>
    <n v="341"/>
    <n v="36.587982832618025"/>
    <n v="4.9613733905579398"/>
    <n v="4624"/>
    <n v="5.1534334763948495"/>
    <n v="179"/>
    <n v="4803"/>
    <n v="92"/>
    <x v="1"/>
    <x v="8"/>
    <x v="64"/>
    <x v="0"/>
  </r>
  <r>
    <x v="714"/>
    <x v="1"/>
    <n v="4"/>
    <x v="76"/>
    <s v="10-08-2016"/>
    <x v="5"/>
    <x v="19"/>
    <x v="19"/>
    <x v="0"/>
    <n v="4"/>
    <x v="19"/>
    <s v="WI"/>
    <s v="14-08-2016"/>
    <n v="246"/>
    <n v="246"/>
    <n v="100"/>
    <n v="12.447154471544716"/>
    <n v="3062"/>
    <n v="4.821138211382114"/>
    <n v="-1876"/>
    <n v="1186"/>
    <n v="66"/>
    <x v="1"/>
    <x v="5"/>
    <x v="1"/>
    <x v="0"/>
  </r>
  <r>
    <x v="715"/>
    <x v="1"/>
    <n v="8"/>
    <x v="224"/>
    <s v="20-03-2016"/>
    <x v="1"/>
    <x v="13"/>
    <x v="13"/>
    <x v="1"/>
    <n v="4"/>
    <x v="13"/>
    <s v="OH"/>
    <s v="24-03-2016"/>
    <n v="827"/>
    <n v="565"/>
    <n v="68.319226118500609"/>
    <n v="6.97944377267231"/>
    <n v="5772"/>
    <n v="7.3482466747279327"/>
    <n v="305"/>
    <n v="6077"/>
    <n v="56"/>
    <x v="1"/>
    <x v="8"/>
    <x v="1"/>
    <x v="0"/>
  </r>
  <r>
    <x v="716"/>
    <x v="0"/>
    <n v="6"/>
    <x v="58"/>
    <s v="08-01-2016"/>
    <x v="4"/>
    <x v="10"/>
    <x v="10"/>
    <x v="1"/>
    <n v="4"/>
    <x v="10"/>
    <s v="IL"/>
    <s v="12-01-2016"/>
    <n v="1153"/>
    <n v="360"/>
    <n v="31.222896790980055"/>
    <n v="1.1049436253252385"/>
    <n v="1274"/>
    <n v="1.8993928881179531"/>
    <n v="916"/>
    <n v="2190"/>
    <n v="64"/>
    <x v="1"/>
    <x v="1"/>
    <x v="1"/>
    <x v="0"/>
  </r>
  <r>
    <x v="717"/>
    <x v="0"/>
    <n v="7"/>
    <x v="112"/>
    <s v="10-03-2016"/>
    <x v="1"/>
    <x v="16"/>
    <x v="16"/>
    <x v="4"/>
    <n v="4"/>
    <x v="16"/>
    <s v="MI"/>
    <s v="14-03-2016"/>
    <n v="1039"/>
    <n v="547"/>
    <n v="52.646775745909522"/>
    <n v="3.8537054860442734"/>
    <n v="4004"/>
    <n v="4.4398460057747835"/>
    <n v="609"/>
    <n v="4613"/>
    <n v="61"/>
    <x v="1"/>
    <x v="0"/>
    <x v="1"/>
    <x v="0"/>
  </r>
  <r>
    <x v="718"/>
    <x v="1"/>
    <n v="8"/>
    <x v="166"/>
    <s v="08-07-2016"/>
    <x v="3"/>
    <x v="10"/>
    <x v="10"/>
    <x v="1"/>
    <n v="4"/>
    <x v="10"/>
    <s v="IL"/>
    <s v="12-07-2016"/>
    <n v="232"/>
    <n v="232"/>
    <n v="100"/>
    <n v="14.655172413793103"/>
    <n v="3400"/>
    <n v="16.081896551724139"/>
    <n v="331"/>
    <n v="3731"/>
    <n v="63"/>
    <x v="1"/>
    <x v="9"/>
    <x v="1"/>
    <x v="0"/>
  </r>
  <r>
    <x v="719"/>
    <x v="0"/>
    <n v="7"/>
    <x v="302"/>
    <s v="20-07-2016"/>
    <x v="3"/>
    <x v="15"/>
    <x v="15"/>
    <x v="4"/>
    <n v="4"/>
    <x v="15"/>
    <s v="IL"/>
    <s v="22-07-2016"/>
    <n v="922"/>
    <n v="572"/>
    <n v="62.039045553145336"/>
    <n v="4.9229934924078087"/>
    <n v="4539"/>
    <n v="5.8492407809110629"/>
    <n v="854"/>
    <n v="5393"/>
    <n v="65"/>
    <x v="1"/>
    <x v="4"/>
    <x v="76"/>
    <x v="0"/>
  </r>
  <r>
    <x v="720"/>
    <x v="0"/>
    <n v="5"/>
    <x v="16"/>
    <s v="11-02-2016"/>
    <x v="2"/>
    <x v="12"/>
    <x v="12"/>
    <x v="3"/>
    <n v="4"/>
    <x v="12"/>
    <s v="MI"/>
    <s v="15-02-2016"/>
    <n v="245"/>
    <n v="245"/>
    <n v="100"/>
    <n v="12.653061224489797"/>
    <n v="3100"/>
    <n v="14.657142857142857"/>
    <n v="491"/>
    <n v="3591"/>
    <n v="62"/>
    <x v="1"/>
    <x v="1"/>
    <x v="1"/>
    <x v="0"/>
  </r>
  <r>
    <x v="721"/>
    <x v="1"/>
    <n v="4"/>
    <x v="80"/>
    <s v="03-05-2016"/>
    <x v="7"/>
    <x v="19"/>
    <x v="19"/>
    <x v="0"/>
    <n v="4"/>
    <x v="19"/>
    <s v="WI"/>
    <s v="07-05-2016"/>
    <n v="524"/>
    <n v="451"/>
    <n v="86.068702290076331"/>
    <n v="8.1603053435114496"/>
    <n v="4276"/>
    <n v="4.6221374045801529"/>
    <n v="-1854"/>
    <n v="2422"/>
    <n v="58"/>
    <x v="1"/>
    <x v="3"/>
    <x v="1"/>
    <x v="0"/>
  </r>
  <r>
    <x v="722"/>
    <x v="0"/>
    <n v="5"/>
    <x v="18"/>
    <s v="16-03-2016"/>
    <x v="1"/>
    <x v="2"/>
    <x v="2"/>
    <x v="1"/>
    <n v="4"/>
    <x v="2"/>
    <s v="IL"/>
    <s v="20-03-2016"/>
    <n v="1001"/>
    <n v="788"/>
    <n v="78.721278721278722"/>
    <n v="4.2437562437562439"/>
    <n v="4248"/>
    <n v="4.6923076923076925"/>
    <n v="449"/>
    <n v="4697"/>
    <n v="78"/>
    <x v="1"/>
    <x v="3"/>
    <x v="1"/>
    <x v="0"/>
  </r>
  <r>
    <x v="723"/>
    <x v="0"/>
    <n v="8"/>
    <x v="157"/>
    <s v="19-07-2016"/>
    <x v="3"/>
    <x v="21"/>
    <x v="21"/>
    <x v="2"/>
    <n v="4"/>
    <x v="21"/>
    <s v="IL"/>
    <s v="23-07-2016"/>
    <n v="373"/>
    <n v="366"/>
    <n v="98.123324396782834"/>
    <n v="12.450402144772118"/>
    <n v="4644"/>
    <n v="14.576407506702413"/>
    <n v="793"/>
    <n v="5437"/>
    <n v="70"/>
    <x v="1"/>
    <x v="9"/>
    <x v="1"/>
    <x v="0"/>
  </r>
  <r>
    <x v="724"/>
    <x v="0"/>
    <n v="8"/>
    <x v="250"/>
    <s v="18-06-2016"/>
    <x v="6"/>
    <x v="3"/>
    <x v="3"/>
    <x v="2"/>
    <n v="4"/>
    <x v="3"/>
    <s v="IL"/>
    <s v="22-06-2016"/>
    <n v="656"/>
    <n v="257"/>
    <n v="39.176829268292686"/>
    <n v="0.59298780487804881"/>
    <n v="389"/>
    <n v="0.8125"/>
    <n v="144"/>
    <n v="533"/>
    <n v="71"/>
    <x v="1"/>
    <x v="5"/>
    <x v="1"/>
    <x v="0"/>
  </r>
  <r>
    <x v="725"/>
    <x v="1"/>
    <n v="4"/>
    <x v="251"/>
    <s v="12-01-2016"/>
    <x v="4"/>
    <x v="22"/>
    <x v="22"/>
    <x v="0"/>
    <n v="4"/>
    <x v="22"/>
    <s v="IL"/>
    <s v="15-01-2016"/>
    <n v="347"/>
    <n v="347"/>
    <n v="100"/>
    <n v="17.910662824207492"/>
    <n v="6215"/>
    <n v="12.510086455331413"/>
    <n v="-1874"/>
    <n v="4341"/>
    <n v="78"/>
    <x v="1"/>
    <x v="9"/>
    <x v="64"/>
    <x v="0"/>
  </r>
  <r>
    <x v="726"/>
    <x v="1"/>
    <n v="5"/>
    <x v="22"/>
    <s v="18-07-2016"/>
    <x v="3"/>
    <x v="4"/>
    <x v="4"/>
    <x v="2"/>
    <n v="4"/>
    <x v="4"/>
    <s v="MI"/>
    <s v="22-07-2016"/>
    <n v="1186"/>
    <n v="373"/>
    <n v="31.450252951096118"/>
    <n v="2.6964586846543002"/>
    <n v="3198"/>
    <n v="2.9097807757166949"/>
    <n v="253"/>
    <n v="3451"/>
    <n v="84"/>
    <x v="1"/>
    <x v="1"/>
    <x v="1"/>
    <x v="0"/>
  </r>
  <r>
    <x v="727"/>
    <x v="1"/>
    <n v="5"/>
    <x v="116"/>
    <s v="21-08-2016"/>
    <x v="5"/>
    <x v="21"/>
    <x v="21"/>
    <x v="2"/>
    <n v="4"/>
    <x v="21"/>
    <s v="IL"/>
    <s v="25-08-2016"/>
    <n v="994"/>
    <n v="290"/>
    <n v="29.175050301810867"/>
    <n v="5.6338028169014086E-2"/>
    <n v="56"/>
    <n v="1.0221327967806841"/>
    <n v="960"/>
    <n v="1016"/>
    <n v="73"/>
    <x v="1"/>
    <x v="8"/>
    <x v="1"/>
    <x v="0"/>
  </r>
  <r>
    <x v="728"/>
    <x v="1"/>
    <n v="5"/>
    <x v="252"/>
    <s v="21-05-2016"/>
    <x v="7"/>
    <x v="17"/>
    <x v="17"/>
    <x v="3"/>
    <n v="4"/>
    <x v="17"/>
    <s v="OH"/>
    <s v="24-05-2016"/>
    <n v="993"/>
    <n v="227"/>
    <n v="22.860020140986908"/>
    <n v="8.5790533736153076"/>
    <n v="8519"/>
    <n v="8.809667673716012"/>
    <n v="229"/>
    <n v="8748"/>
    <n v="57"/>
    <x v="1"/>
    <x v="0"/>
    <x v="64"/>
    <x v="0"/>
  </r>
  <r>
    <x v="729"/>
    <x v="1"/>
    <n v="6"/>
    <x v="267"/>
    <s v="20-01-2016"/>
    <x v="4"/>
    <x v="22"/>
    <x v="22"/>
    <x v="0"/>
    <n v="4"/>
    <x v="22"/>
    <s v="IL"/>
    <s v="24-01-2016"/>
    <n v="1143"/>
    <n v="591"/>
    <n v="51.706036745406827"/>
    <n v="6.1181102362204722"/>
    <n v="6993"/>
    <n v="6.621172353455818"/>
    <n v="575"/>
    <n v="7568"/>
    <n v="67"/>
    <x v="1"/>
    <x v="6"/>
    <x v="1"/>
    <x v="0"/>
  </r>
  <r>
    <x v="730"/>
    <x v="0"/>
    <n v="7"/>
    <x v="191"/>
    <s v="28-02-2016"/>
    <x v="2"/>
    <x v="20"/>
    <x v="20"/>
    <x v="1"/>
    <n v="4"/>
    <x v="20"/>
    <s v="IL"/>
    <s v="03-03-2016"/>
    <n v="699"/>
    <n v="678"/>
    <n v="96.995708154506431"/>
    <n v="11.464949928469242"/>
    <n v="8014"/>
    <n v="12.058655221745351"/>
    <n v="415"/>
    <n v="8429"/>
    <n v="53"/>
    <x v="1"/>
    <x v="1"/>
    <x v="1"/>
    <x v="0"/>
  </r>
  <r>
    <x v="731"/>
    <x v="0"/>
    <n v="4"/>
    <x v="172"/>
    <s v="08-03-2016"/>
    <x v="1"/>
    <x v="14"/>
    <x v="14"/>
    <x v="1"/>
    <n v="4"/>
    <x v="14"/>
    <s v="IL"/>
    <s v="12-03-2016"/>
    <n v="388"/>
    <n v="388"/>
    <n v="100"/>
    <n v="15.646907216494846"/>
    <n v="6071"/>
    <n v="10.059278350515465"/>
    <n v="-2168"/>
    <n v="3903"/>
    <n v="82"/>
    <x v="1"/>
    <x v="9"/>
    <x v="1"/>
    <x v="0"/>
  </r>
  <r>
    <x v="732"/>
    <x v="1"/>
    <n v="6"/>
    <x v="232"/>
    <s v="03-08-2016"/>
    <x v="5"/>
    <x v="18"/>
    <x v="18"/>
    <x v="1"/>
    <n v="4"/>
    <x v="18"/>
    <s v="IN"/>
    <s v="07-08-2016"/>
    <n v="339"/>
    <n v="339"/>
    <n v="100"/>
    <n v="13.867256637168142"/>
    <n v="4701"/>
    <n v="16.026548672566371"/>
    <n v="732"/>
    <n v="5433"/>
    <n v="66"/>
    <x v="1"/>
    <x v="0"/>
    <x v="1"/>
    <x v="0"/>
  </r>
  <r>
    <x v="733"/>
    <x v="0"/>
    <n v="8"/>
    <x v="67"/>
    <s v="12-02-2016"/>
    <x v="2"/>
    <x v="13"/>
    <x v="13"/>
    <x v="1"/>
    <n v="4"/>
    <x v="13"/>
    <s v="OH"/>
    <s v="16-02-2016"/>
    <n v="976"/>
    <n v="484"/>
    <n v="49.590163934426229"/>
    <n v="0.85040983606557374"/>
    <n v="830"/>
    <n v="1.5235655737704918"/>
    <n v="657"/>
    <n v="1487"/>
    <n v="73"/>
    <x v="1"/>
    <x v="3"/>
    <x v="1"/>
    <x v="0"/>
  </r>
  <r>
    <x v="734"/>
    <x v="0"/>
    <n v="4"/>
    <x v="104"/>
    <s v="17-05-2016"/>
    <x v="7"/>
    <x v="17"/>
    <x v="17"/>
    <x v="3"/>
    <n v="4"/>
    <x v="17"/>
    <s v="OH"/>
    <s v="20-05-2016"/>
    <n v="953"/>
    <n v="462"/>
    <n v="48.478488982161593"/>
    <n v="3.0304302203567679"/>
    <n v="2888"/>
    <n v="0.30535152151101785"/>
    <n v="-2597"/>
    <n v="291"/>
    <n v="83"/>
    <x v="1"/>
    <x v="6"/>
    <x v="64"/>
    <x v="0"/>
  </r>
  <r>
    <x v="735"/>
    <x v="0"/>
    <n v="7"/>
    <x v="246"/>
    <s v="22-05-2016"/>
    <x v="7"/>
    <x v="19"/>
    <x v="19"/>
    <x v="0"/>
    <n v="4"/>
    <x v="19"/>
    <s v="WI"/>
    <s v="26-05-2016"/>
    <n v="1094"/>
    <n v="208"/>
    <n v="19.012797074954296"/>
    <n v="6.8089579524680071"/>
    <n v="7449"/>
    <n v="6.9524680073126142"/>
    <n v="157"/>
    <n v="7606"/>
    <n v="96"/>
    <x v="1"/>
    <x v="0"/>
    <x v="1"/>
    <x v="0"/>
  </r>
  <r>
    <x v="736"/>
    <x v="0"/>
    <n v="6"/>
    <x v="247"/>
    <s v="24-01-2016"/>
    <x v="4"/>
    <x v="13"/>
    <x v="13"/>
    <x v="1"/>
    <n v="4"/>
    <x v="13"/>
    <s v="OH"/>
    <s v="25-01-2016"/>
    <n v="202"/>
    <n v="202"/>
    <n v="100"/>
    <n v="1.8811881188118811"/>
    <n v="380"/>
    <n v="3.9207920792079207"/>
    <n v="412"/>
    <n v="792"/>
    <n v="96"/>
    <x v="1"/>
    <x v="2"/>
    <x v="84"/>
    <x v="0"/>
  </r>
  <r>
    <x v="737"/>
    <x v="0"/>
    <n v="5"/>
    <x v="315"/>
    <s v="22-08-2016"/>
    <x v="5"/>
    <x v="18"/>
    <x v="18"/>
    <x v="1"/>
    <n v="4"/>
    <x v="18"/>
    <s v="IN"/>
    <s v="26-08-2016"/>
    <n v="552"/>
    <n v="552"/>
    <n v="100"/>
    <n v="5.4981884057971016"/>
    <n v="3035"/>
    <n v="5.6793478260869561"/>
    <n v="100"/>
    <n v="3135"/>
    <n v="88"/>
    <x v="1"/>
    <x v="5"/>
    <x v="1"/>
    <x v="0"/>
  </r>
  <r>
    <x v="738"/>
    <x v="1"/>
    <n v="7"/>
    <x v="300"/>
    <s v="21-04-2016"/>
    <x v="0"/>
    <x v="17"/>
    <x v="17"/>
    <x v="3"/>
    <n v="4"/>
    <x v="17"/>
    <s v="OH"/>
    <s v="25-04-2016"/>
    <n v="241"/>
    <n v="241"/>
    <n v="100"/>
    <n v="6.6431535269709547"/>
    <n v="1601"/>
    <n v="10.663900414937759"/>
    <n v="969"/>
    <n v="2570"/>
    <n v="94"/>
    <x v="1"/>
    <x v="2"/>
    <x v="1"/>
    <x v="0"/>
  </r>
  <r>
    <x v="739"/>
    <x v="0"/>
    <n v="8"/>
    <x v="120"/>
    <s v="10-08-2016"/>
    <x v="5"/>
    <x v="0"/>
    <x v="0"/>
    <x v="0"/>
    <n v="4"/>
    <x v="0"/>
    <s v="MI"/>
    <s v="14-08-2016"/>
    <n v="369"/>
    <n v="339"/>
    <n v="91.869918699186996"/>
    <n v="14.715447154471544"/>
    <n v="5430"/>
    <n v="15.588075880758808"/>
    <n v="322"/>
    <n v="5752"/>
    <n v="76"/>
    <x v="1"/>
    <x v="2"/>
    <x v="1"/>
    <x v="0"/>
  </r>
  <r>
    <x v="740"/>
    <x v="0"/>
    <n v="5"/>
    <x v="107"/>
    <s v="03-07-2016"/>
    <x v="3"/>
    <x v="18"/>
    <x v="18"/>
    <x v="1"/>
    <n v="4"/>
    <x v="18"/>
    <s v="IN"/>
    <s v="05-07-2016"/>
    <n v="1086"/>
    <n v="305"/>
    <n v="28.084714548802946"/>
    <n v="5.6298342541436464"/>
    <n v="6114"/>
    <n v="6.2034990791896867"/>
    <n v="623"/>
    <n v="6737"/>
    <n v="95"/>
    <x v="1"/>
    <x v="4"/>
    <x v="76"/>
    <x v="0"/>
  </r>
  <r>
    <x v="741"/>
    <x v="1"/>
    <n v="5"/>
    <x v="195"/>
    <s v="17-03-2016"/>
    <x v="1"/>
    <x v="17"/>
    <x v="17"/>
    <x v="3"/>
    <n v="4"/>
    <x v="17"/>
    <s v="OH"/>
    <s v="19-03-2016"/>
    <n v="1076"/>
    <n v="798"/>
    <n v="74.163568773234203"/>
    <n v="3.3085501858736062"/>
    <n v="3560"/>
    <n v="3.6366171003717471"/>
    <n v="353"/>
    <n v="3913"/>
    <n v="57"/>
    <x v="1"/>
    <x v="8"/>
    <x v="76"/>
    <x v="0"/>
  </r>
  <r>
    <x v="742"/>
    <x v="0"/>
    <n v="6"/>
    <x v="70"/>
    <s v="01-06-2016"/>
    <x v="6"/>
    <x v="14"/>
    <x v="14"/>
    <x v="1"/>
    <n v="4"/>
    <x v="14"/>
    <s v="IL"/>
    <s v="05-06-2016"/>
    <n v="558"/>
    <n v="558"/>
    <n v="100"/>
    <n v="10.650537634408602"/>
    <n v="5943"/>
    <n v="12.10752688172043"/>
    <n v="813"/>
    <n v="6756"/>
    <n v="70"/>
    <x v="1"/>
    <x v="4"/>
    <x v="1"/>
    <x v="0"/>
  </r>
  <r>
    <x v="743"/>
    <x v="0"/>
    <n v="6"/>
    <x v="71"/>
    <s v="07-05-2016"/>
    <x v="7"/>
    <x v="22"/>
    <x v="22"/>
    <x v="0"/>
    <n v="4"/>
    <x v="22"/>
    <s v="IL"/>
    <s v="11-05-2016"/>
    <n v="533"/>
    <n v="429"/>
    <n v="80.487804878048792"/>
    <n v="11.165103189493433"/>
    <n v="5951"/>
    <n v="12.76360225140713"/>
    <n v="852"/>
    <n v="6803"/>
    <n v="73"/>
    <x v="1"/>
    <x v="3"/>
    <x v="1"/>
    <x v="0"/>
  </r>
  <r>
    <x v="744"/>
    <x v="0"/>
    <n v="4"/>
    <x v="29"/>
    <s v="05-08-2016"/>
    <x v="5"/>
    <x v="19"/>
    <x v="19"/>
    <x v="0"/>
    <n v="4"/>
    <x v="19"/>
    <s v="WI"/>
    <s v="09-08-2016"/>
    <n v="735"/>
    <n v="587"/>
    <n v="79.863945578231295"/>
    <n v="10.357823129251701"/>
    <n v="7613"/>
    <n v="7.7183673469387752"/>
    <n v="-1940"/>
    <n v="5673"/>
    <n v="89"/>
    <x v="1"/>
    <x v="7"/>
    <x v="1"/>
    <x v="0"/>
  </r>
  <r>
    <x v="745"/>
    <x v="1"/>
    <n v="4"/>
    <x v="288"/>
    <s v="15-06-2016"/>
    <x v="6"/>
    <x v="13"/>
    <x v="13"/>
    <x v="1"/>
    <n v="4"/>
    <x v="13"/>
    <s v="OH"/>
    <s v="18-06-2016"/>
    <n v="536"/>
    <n v="416"/>
    <n v="77.611940298507463"/>
    <n v="13.236940298507463"/>
    <n v="7095"/>
    <n v="8.8675373134328357"/>
    <n v="-2342"/>
    <n v="4753"/>
    <n v="50"/>
    <x v="1"/>
    <x v="3"/>
    <x v="64"/>
    <x v="0"/>
  </r>
  <r>
    <x v="746"/>
    <x v="0"/>
    <n v="7"/>
    <x v="73"/>
    <s v="14-02-2016"/>
    <x v="2"/>
    <x v="7"/>
    <x v="7"/>
    <x v="5"/>
    <n v="4"/>
    <x v="7"/>
    <s v="WI"/>
    <s v="18-02-2016"/>
    <n v="620"/>
    <n v="458"/>
    <n v="73.870967741935488"/>
    <n v="4.2241935483870972"/>
    <n v="2619"/>
    <n v="4.5790322580645162"/>
    <n v="220"/>
    <n v="2839"/>
    <n v="66"/>
    <x v="1"/>
    <x v="9"/>
    <x v="1"/>
    <x v="0"/>
  </r>
  <r>
    <x v="747"/>
    <x v="0"/>
    <n v="8"/>
    <x v="242"/>
    <s v="22-08-2016"/>
    <x v="5"/>
    <x v="14"/>
    <x v="14"/>
    <x v="1"/>
    <n v="4"/>
    <x v="14"/>
    <s v="IL"/>
    <s v="26-08-2016"/>
    <n v="1020"/>
    <n v="320"/>
    <n v="31.372549019607842"/>
    <n v="7.9137254901960787"/>
    <n v="8072"/>
    <n v="8.7480392156862745"/>
    <n v="851"/>
    <n v="8923"/>
    <n v="64"/>
    <x v="1"/>
    <x v="0"/>
    <x v="1"/>
    <x v="0"/>
  </r>
  <r>
    <x v="748"/>
    <x v="1"/>
    <n v="6"/>
    <x v="243"/>
    <s v="15-02-2016"/>
    <x v="2"/>
    <x v="20"/>
    <x v="20"/>
    <x v="1"/>
    <n v="4"/>
    <x v="20"/>
    <s v="IL"/>
    <s v="19-02-2016"/>
    <n v="490"/>
    <n v="490"/>
    <n v="100"/>
    <n v="2.7938775510204081"/>
    <n v="1369"/>
    <n v="4.2897959183673473"/>
    <n v="733"/>
    <n v="2102"/>
    <n v="90"/>
    <x v="1"/>
    <x v="4"/>
    <x v="1"/>
    <x v="0"/>
  </r>
  <r>
    <x v="749"/>
    <x v="1"/>
    <n v="4"/>
    <x v="124"/>
    <s v="16-08-2016"/>
    <x v="5"/>
    <x v="7"/>
    <x v="7"/>
    <x v="5"/>
    <n v="4"/>
    <x v="7"/>
    <s v="WI"/>
    <s v="20-08-2016"/>
    <n v="868"/>
    <n v="249"/>
    <n v="28.686635944700463"/>
    <n v="8.0794930875576032"/>
    <n v="7013"/>
    <n v="5.5207373271889404"/>
    <n v="-2221"/>
    <n v="4792"/>
    <n v="82"/>
    <x v="1"/>
    <x v="9"/>
    <x v="1"/>
    <x v="0"/>
  </r>
  <r>
    <x v="750"/>
    <x v="0"/>
    <n v="7"/>
    <x v="12"/>
    <s v="31-08-2016"/>
    <x v="5"/>
    <x v="19"/>
    <x v="19"/>
    <x v="0"/>
    <n v="4"/>
    <x v="19"/>
    <s v="WI"/>
    <s v="04-09-2016"/>
    <n v="1099"/>
    <n v="433"/>
    <n v="39.399454049135578"/>
    <n v="4.8334849863512286"/>
    <n v="5312"/>
    <n v="5.5022747952684261"/>
    <n v="735"/>
    <n v="6047"/>
    <n v="80"/>
    <x v="1"/>
    <x v="6"/>
    <x v="1"/>
    <x v="0"/>
  </r>
  <r>
    <x v="751"/>
    <x v="0"/>
    <n v="4"/>
    <x v="258"/>
    <s v="28-01-2016"/>
    <x v="4"/>
    <x v="0"/>
    <x v="0"/>
    <x v="0"/>
    <n v="4"/>
    <x v="0"/>
    <s v="MI"/>
    <s v="01-02-2016"/>
    <n v="905"/>
    <n v="681"/>
    <n v="75.248618784530379"/>
    <n v="8.4729281767955804"/>
    <n v="7668"/>
    <n v="6.1403314917127068"/>
    <n v="-2111"/>
    <n v="5557"/>
    <n v="75"/>
    <x v="1"/>
    <x v="9"/>
    <x v="1"/>
    <x v="0"/>
  </r>
  <r>
    <x v="752"/>
    <x v="1"/>
    <n v="6"/>
    <x v="222"/>
    <s v="07-07-2016"/>
    <x v="3"/>
    <x v="11"/>
    <x v="11"/>
    <x v="2"/>
    <n v="4"/>
    <x v="11"/>
    <s v="MI"/>
    <s v="11-07-2016"/>
    <n v="248"/>
    <n v="248"/>
    <n v="100"/>
    <n v="4.8266129032258061"/>
    <n v="1197"/>
    <n v="8.125"/>
    <n v="818"/>
    <n v="2015"/>
    <n v="85"/>
    <x v="1"/>
    <x v="9"/>
    <x v="1"/>
    <x v="0"/>
  </r>
  <r>
    <x v="753"/>
    <x v="1"/>
    <n v="6"/>
    <x v="270"/>
    <s v="13-02-2016"/>
    <x v="2"/>
    <x v="6"/>
    <x v="6"/>
    <x v="4"/>
    <n v="4"/>
    <x v="6"/>
    <s v="IN"/>
    <s v="17-02-2016"/>
    <n v="429"/>
    <n v="429"/>
    <n v="100"/>
    <n v="4.2191142191142195"/>
    <n v="1810"/>
    <n v="5.5314685314685317"/>
    <n v="563"/>
    <n v="2373"/>
    <n v="84"/>
    <x v="1"/>
    <x v="6"/>
    <x v="1"/>
    <x v="0"/>
  </r>
  <r>
    <x v="754"/>
    <x v="1"/>
    <n v="5"/>
    <x v="125"/>
    <s v="24-04-2016"/>
    <x v="0"/>
    <x v="13"/>
    <x v="13"/>
    <x v="1"/>
    <n v="4"/>
    <x v="13"/>
    <s v="OH"/>
    <s v="25-04-2016"/>
    <n v="1118"/>
    <n v="613"/>
    <n v="54.830053667262966"/>
    <n v="6.8962432915921292"/>
    <n v="7710"/>
    <n v="7.1189624329159216"/>
    <n v="249"/>
    <n v="7959"/>
    <n v="60"/>
    <x v="1"/>
    <x v="0"/>
    <x v="84"/>
    <x v="0"/>
  </r>
  <r>
    <x v="755"/>
    <x v="1"/>
    <n v="4"/>
    <x v="289"/>
    <s v="28-01-2016"/>
    <x v="4"/>
    <x v="2"/>
    <x v="2"/>
    <x v="1"/>
    <n v="4"/>
    <x v="2"/>
    <s v="IL"/>
    <s v="01-02-2016"/>
    <n v="443"/>
    <n v="443"/>
    <n v="100"/>
    <n v="18.492099322799096"/>
    <n v="8192"/>
    <n v="13.135440180586908"/>
    <n v="-2373"/>
    <n v="5819"/>
    <n v="77"/>
    <x v="1"/>
    <x v="4"/>
    <x v="1"/>
    <x v="0"/>
  </r>
  <r>
    <x v="756"/>
    <x v="0"/>
    <n v="6"/>
    <x v="33"/>
    <s v="13-01-2016"/>
    <x v="4"/>
    <x v="6"/>
    <x v="6"/>
    <x v="4"/>
    <n v="4"/>
    <x v="6"/>
    <s v="IN"/>
    <s v="17-01-2016"/>
    <n v="794"/>
    <n v="453"/>
    <n v="57.052896725440803"/>
    <n v="6.2204030226700251"/>
    <n v="4939"/>
    <n v="7.2707808564231735"/>
    <n v="834"/>
    <n v="5773"/>
    <n v="51"/>
    <x v="1"/>
    <x v="2"/>
    <x v="1"/>
    <x v="0"/>
  </r>
  <r>
    <x v="757"/>
    <x v="0"/>
    <n v="8"/>
    <x v="184"/>
    <s v="04-05-2016"/>
    <x v="7"/>
    <x v="15"/>
    <x v="15"/>
    <x v="4"/>
    <n v="4"/>
    <x v="15"/>
    <s v="IL"/>
    <s v="05-05-2016"/>
    <n v="491"/>
    <n v="491"/>
    <n v="100"/>
    <n v="3.1221995926680246"/>
    <n v="1533"/>
    <n v="3.4847250509164969"/>
    <n v="178"/>
    <n v="1711"/>
    <n v="71"/>
    <x v="1"/>
    <x v="0"/>
    <x v="84"/>
    <x v="0"/>
  </r>
  <r>
    <x v="758"/>
    <x v="1"/>
    <n v="6"/>
    <x v="34"/>
    <s v="22-08-2016"/>
    <x v="5"/>
    <x v="3"/>
    <x v="3"/>
    <x v="2"/>
    <n v="4"/>
    <x v="3"/>
    <s v="IL"/>
    <s v="26-08-2016"/>
    <n v="436"/>
    <n v="436"/>
    <n v="100"/>
    <n v="7.5963302752293576"/>
    <n v="3312"/>
    <n v="8.9472477064220186"/>
    <n v="589"/>
    <n v="3901"/>
    <n v="68"/>
    <x v="1"/>
    <x v="6"/>
    <x v="1"/>
    <x v="0"/>
  </r>
  <r>
    <x v="759"/>
    <x v="0"/>
    <n v="6"/>
    <x v="96"/>
    <s v="03-05-2016"/>
    <x v="7"/>
    <x v="19"/>
    <x v="19"/>
    <x v="0"/>
    <n v="4"/>
    <x v="19"/>
    <s v="WI"/>
    <s v="07-05-2016"/>
    <n v="558"/>
    <n v="480"/>
    <n v="86.021505376344081"/>
    <n v="7.1648745519713257"/>
    <n v="3998"/>
    <n v="7.870967741935484"/>
    <n v="394"/>
    <n v="4392"/>
    <n v="80"/>
    <x v="1"/>
    <x v="6"/>
    <x v="1"/>
    <x v="0"/>
  </r>
  <r>
    <x v="760"/>
    <x v="0"/>
    <n v="2"/>
    <x v="35"/>
    <s v="02-07-2016"/>
    <x v="3"/>
    <x v="21"/>
    <x v="21"/>
    <x v="2"/>
    <n v="4"/>
    <x v="21"/>
    <s v="IL"/>
    <s v="06-07-2016"/>
    <n v="1180"/>
    <n v="446"/>
    <n v="37.796610169491522"/>
    <n v="4.1694915254237293"/>
    <n v="4920"/>
    <n v="4.4542372881355936"/>
    <n v="336"/>
    <n v="5256"/>
    <n v="86"/>
    <x v="1"/>
    <x v="6"/>
    <x v="1"/>
    <x v="0"/>
  </r>
  <r>
    <x v="761"/>
    <x v="0"/>
    <n v="2"/>
    <x v="97"/>
    <s v="17-07-2016"/>
    <x v="3"/>
    <x v="5"/>
    <x v="5"/>
    <x v="3"/>
    <n v="4"/>
    <x v="5"/>
    <s v="IA"/>
    <s v="21-07-2016"/>
    <n v="225"/>
    <n v="217"/>
    <n v="96.444444444444443"/>
    <n v="20.657777777777778"/>
    <n v="4648"/>
    <n v="21.844444444444445"/>
    <n v="267"/>
    <n v="4915"/>
    <n v="87"/>
    <x v="1"/>
    <x v="5"/>
    <x v="1"/>
    <x v="0"/>
  </r>
  <r>
    <x v="762"/>
    <x v="1"/>
    <n v="2"/>
    <x v="141"/>
    <s v="11-04-2016"/>
    <x v="0"/>
    <x v="17"/>
    <x v="17"/>
    <x v="3"/>
    <n v="4"/>
    <x v="17"/>
    <s v="OH"/>
    <s v="12-04-2016"/>
    <n v="498"/>
    <n v="498"/>
    <n v="100"/>
    <n v="8.0662650602409638"/>
    <n v="4017"/>
    <n v="8.8975903614457827"/>
    <n v="414"/>
    <n v="4431"/>
    <n v="78"/>
    <x v="1"/>
    <x v="6"/>
    <x v="84"/>
    <x v="0"/>
  </r>
  <r>
    <x v="763"/>
    <x v="0"/>
    <n v="6"/>
    <x v="297"/>
    <s v="01-07-2016"/>
    <x v="3"/>
    <x v="22"/>
    <x v="22"/>
    <x v="0"/>
    <n v="4"/>
    <x v="22"/>
    <s v="IL"/>
    <s v="05-07-2016"/>
    <n v="685"/>
    <n v="568"/>
    <n v="82.919708029197082"/>
    <n v="6.7547445255474452"/>
    <n v="4627"/>
    <n v="7.7693430656934304"/>
    <n v="695"/>
    <n v="5322"/>
    <n v="68"/>
    <x v="1"/>
    <x v="8"/>
    <x v="1"/>
    <x v="0"/>
  </r>
  <r>
    <x v="764"/>
    <x v="1"/>
    <n v="5"/>
    <x v="179"/>
    <s v="15-02-2016"/>
    <x v="2"/>
    <x v="9"/>
    <x v="9"/>
    <x v="3"/>
    <n v="4"/>
    <x v="9"/>
    <s v="IN"/>
    <s v="19-02-2016"/>
    <n v="500"/>
    <n v="500"/>
    <n v="100"/>
    <n v="4.4400000000000004"/>
    <n v="2220"/>
    <n v="6.3319999999999999"/>
    <n v="946"/>
    <n v="3166"/>
    <n v="87"/>
    <x v="1"/>
    <x v="7"/>
    <x v="1"/>
    <x v="0"/>
  </r>
  <r>
    <x v="765"/>
    <x v="1"/>
    <n v="4"/>
    <x v="200"/>
    <s v="11-08-2016"/>
    <x v="5"/>
    <x v="13"/>
    <x v="13"/>
    <x v="1"/>
    <n v="4"/>
    <x v="13"/>
    <s v="OH"/>
    <s v="12-08-2016"/>
    <n v="1175"/>
    <n v="582"/>
    <n v="49.531914893617021"/>
    <n v="4.0936170212765957"/>
    <n v="4810"/>
    <n v="2.6706382978723404"/>
    <n v="-1672"/>
    <n v="3138"/>
    <n v="51"/>
    <x v="1"/>
    <x v="6"/>
    <x v="84"/>
    <x v="0"/>
  </r>
  <r>
    <x v="766"/>
    <x v="0"/>
    <n v="1"/>
    <x v="201"/>
    <s v="11-07-2016"/>
    <x v="3"/>
    <x v="20"/>
    <x v="20"/>
    <x v="1"/>
    <n v="4"/>
    <x v="20"/>
    <s v="IL"/>
    <s v="15-07-2016"/>
    <n v="968"/>
    <n v="560"/>
    <n v="57.851239669421481"/>
    <n v="5.8522727272727275"/>
    <n v="5665"/>
    <n v="10.12396694214876"/>
    <n v="4135"/>
    <n v="9800"/>
    <n v="97"/>
    <x v="1"/>
    <x v="2"/>
    <x v="1"/>
    <x v="0"/>
  </r>
  <r>
    <x v="767"/>
    <x v="0"/>
    <n v="5"/>
    <x v="81"/>
    <s v="04-01-2016"/>
    <x v="4"/>
    <x v="17"/>
    <x v="17"/>
    <x v="3"/>
    <n v="4"/>
    <x v="17"/>
    <s v="OH"/>
    <s v="08-01-2016"/>
    <n v="736"/>
    <n v="353"/>
    <n v="47.961956521739133"/>
    <n v="1.6494565217391304"/>
    <n v="1214"/>
    <n v="2.9252717391304346"/>
    <n v="939"/>
    <n v="2153"/>
    <n v="97"/>
    <x v="1"/>
    <x v="0"/>
    <x v="1"/>
    <x v="0"/>
  </r>
  <r>
    <x v="768"/>
    <x v="1"/>
    <n v="6"/>
    <x v="189"/>
    <s v="11-08-2016"/>
    <x v="5"/>
    <x v="21"/>
    <x v="21"/>
    <x v="2"/>
    <n v="4"/>
    <x v="21"/>
    <s v="IL"/>
    <s v="15-08-2016"/>
    <n v="751"/>
    <n v="612"/>
    <n v="81.491344873501987"/>
    <n v="7.6298268974700401"/>
    <n v="5730"/>
    <n v="8.515312916111851"/>
    <n v="665"/>
    <n v="6395"/>
    <n v="98"/>
    <x v="1"/>
    <x v="2"/>
    <x v="1"/>
    <x v="0"/>
  </r>
  <r>
    <x v="769"/>
    <x v="0"/>
    <n v="3"/>
    <x v="1"/>
    <s v="10-01-2016"/>
    <x v="4"/>
    <x v="1"/>
    <x v="1"/>
    <x v="1"/>
    <n v="4"/>
    <x v="1"/>
    <s v="WI"/>
    <s v="14-01-2016"/>
    <n v="954"/>
    <n v="515"/>
    <n v="53.983228511530399"/>
    <n v="6.1928721174004195"/>
    <n v="5908"/>
    <n v="7.232704402515723"/>
    <n v="992"/>
    <n v="6900"/>
    <n v="54"/>
    <x v="1"/>
    <x v="0"/>
    <x v="1"/>
    <x v="0"/>
  </r>
  <r>
    <x v="770"/>
    <x v="0"/>
    <n v="1"/>
    <x v="115"/>
    <s v="18-03-2016"/>
    <x v="1"/>
    <x v="8"/>
    <x v="8"/>
    <x v="3"/>
    <n v="4"/>
    <x v="8"/>
    <s v="OH"/>
    <s v="22-03-2016"/>
    <n v="515"/>
    <n v="267"/>
    <n v="51.84466019417475"/>
    <n v="0.85825242718446604"/>
    <n v="442"/>
    <n v="8.5029126213592239"/>
    <n v="3937"/>
    <n v="4379"/>
    <n v="83"/>
    <x v="1"/>
    <x v="4"/>
    <x v="1"/>
    <x v="0"/>
  </r>
  <r>
    <x v="771"/>
    <x v="2"/>
    <n v="2"/>
    <x v="102"/>
    <s v="01-08-2016"/>
    <x v="5"/>
    <x v="11"/>
    <x v="11"/>
    <x v="2"/>
    <n v="4"/>
    <x v="11"/>
    <s v="MI"/>
    <s v="05-08-2016"/>
    <n v="504"/>
    <n v="504"/>
    <n v="100"/>
    <n v="13.952380952380953"/>
    <n v="7032"/>
    <n v="15.172619047619047"/>
    <n v="615"/>
    <n v="7647"/>
    <n v="75"/>
    <x v="1"/>
    <x v="4"/>
    <x v="1"/>
    <x v="0"/>
  </r>
  <r>
    <x v="772"/>
    <x v="0"/>
    <n v="4"/>
    <x v="316"/>
    <s v="30-05-2016"/>
    <x v="7"/>
    <x v="15"/>
    <x v="15"/>
    <x v="4"/>
    <n v="4"/>
    <x v="15"/>
    <s v="IL"/>
    <s v="03-06-2016"/>
    <n v="1124"/>
    <n v="476"/>
    <n v="42.34875444839858"/>
    <n v="5.1761565836298935"/>
    <n v="5818"/>
    <n v="3.9172597864768681"/>
    <n v="-1415"/>
    <n v="4403"/>
    <n v="71"/>
    <x v="1"/>
    <x v="2"/>
    <x v="1"/>
    <x v="0"/>
  </r>
  <r>
    <x v="773"/>
    <x v="0"/>
    <n v="3"/>
    <x v="250"/>
    <s v="15-04-2016"/>
    <x v="0"/>
    <x v="16"/>
    <x v="16"/>
    <x v="4"/>
    <n v="4"/>
    <x v="16"/>
    <s v="MI"/>
    <s v="19-04-2016"/>
    <n v="822"/>
    <n v="367"/>
    <n v="44.647201946472023"/>
    <n v="9.5559610705596114"/>
    <n v="7855"/>
    <n v="10.104622871046228"/>
    <n v="451"/>
    <n v="8306"/>
    <n v="95"/>
    <x v="1"/>
    <x v="2"/>
    <x v="1"/>
    <x v="0"/>
  </r>
  <r>
    <x v="774"/>
    <x v="2"/>
    <n v="2"/>
    <x v="251"/>
    <s v="26-03-2016"/>
    <x v="1"/>
    <x v="13"/>
    <x v="13"/>
    <x v="1"/>
    <n v="4"/>
    <x v="13"/>
    <s v="OH"/>
    <s v="28-03-2016"/>
    <n v="270"/>
    <n v="270"/>
    <n v="100"/>
    <n v="18.7"/>
    <n v="5049"/>
    <n v="20.766666666666666"/>
    <n v="558"/>
    <n v="5607"/>
    <n v="93"/>
    <x v="1"/>
    <x v="1"/>
    <x v="76"/>
    <x v="0"/>
  </r>
  <r>
    <x v="775"/>
    <x v="2"/>
    <n v="3"/>
    <x v="181"/>
    <s v="20-02-2016"/>
    <x v="2"/>
    <x v="22"/>
    <x v="22"/>
    <x v="0"/>
    <n v="4"/>
    <x v="22"/>
    <s v="IL"/>
    <s v="24-02-2016"/>
    <n v="1162"/>
    <n v="602"/>
    <n v="51.807228915662648"/>
    <n v="1.4165232358003443"/>
    <n v="1646"/>
    <n v="1.7504302925989672"/>
    <n v="388"/>
    <n v="2034"/>
    <n v="90"/>
    <x v="1"/>
    <x v="8"/>
    <x v="1"/>
    <x v="0"/>
  </r>
  <r>
    <x v="776"/>
    <x v="2"/>
    <n v="1"/>
    <x v="4"/>
    <s v="16-05-2016"/>
    <x v="7"/>
    <x v="4"/>
    <x v="4"/>
    <x v="2"/>
    <n v="4"/>
    <x v="4"/>
    <s v="MI"/>
    <s v="20-05-2016"/>
    <n v="281"/>
    <n v="281"/>
    <n v="100"/>
    <n v="22.430604982206404"/>
    <n v="6303"/>
    <n v="38.665480427046262"/>
    <n v="4562"/>
    <n v="10865"/>
    <n v="74"/>
    <x v="1"/>
    <x v="4"/>
    <x v="1"/>
    <x v="0"/>
  </r>
  <r>
    <x v="777"/>
    <x v="2"/>
    <n v="6"/>
    <x v="117"/>
    <s v="19-07-2016"/>
    <x v="3"/>
    <x v="17"/>
    <x v="17"/>
    <x v="3"/>
    <n v="4"/>
    <x v="17"/>
    <s v="OH"/>
    <s v="23-07-2016"/>
    <n v="398"/>
    <n v="398"/>
    <n v="100"/>
    <n v="8.4723618090452266"/>
    <n v="3372"/>
    <n v="9.9296482412060296"/>
    <n v="580"/>
    <n v="3952"/>
    <n v="53"/>
    <x v="1"/>
    <x v="7"/>
    <x v="1"/>
    <x v="0"/>
  </r>
  <r>
    <x v="778"/>
    <x v="2"/>
    <n v="5"/>
    <x v="46"/>
    <s v="06-07-2016"/>
    <x v="3"/>
    <x v="22"/>
    <x v="22"/>
    <x v="0"/>
    <n v="4"/>
    <x v="22"/>
    <s v="IL"/>
    <s v="08-07-2016"/>
    <n v="977"/>
    <n v="350"/>
    <n v="35.823950870010236"/>
    <n v="3.4462640736949846"/>
    <n v="3367"/>
    <n v="4.1770726714431934"/>
    <n v="714"/>
    <n v="4081"/>
    <n v="57"/>
    <x v="1"/>
    <x v="4"/>
    <x v="76"/>
    <x v="0"/>
  </r>
  <r>
    <x v="779"/>
    <x v="2"/>
    <n v="6"/>
    <x v="171"/>
    <s v="25-08-2016"/>
    <x v="5"/>
    <x v="9"/>
    <x v="9"/>
    <x v="3"/>
    <n v="4"/>
    <x v="9"/>
    <s v="IN"/>
    <s v="29-08-2016"/>
    <n v="1159"/>
    <n v="566"/>
    <n v="48.835202761000865"/>
    <n v="5.6540120793787745"/>
    <n v="6553"/>
    <n v="6.2450388265746337"/>
    <n v="685"/>
    <n v="7238"/>
    <n v="92"/>
    <x v="1"/>
    <x v="5"/>
    <x v="1"/>
    <x v="0"/>
  </r>
  <r>
    <x v="780"/>
    <x v="0"/>
    <n v="3"/>
    <x v="232"/>
    <s v="11-07-2016"/>
    <x v="3"/>
    <x v="22"/>
    <x v="22"/>
    <x v="0"/>
    <n v="4"/>
    <x v="22"/>
    <s v="IL"/>
    <s v="15-07-2016"/>
    <n v="248"/>
    <n v="248"/>
    <n v="100"/>
    <n v="27.032258064516128"/>
    <n v="6704"/>
    <n v="29.72983870967742"/>
    <n v="669"/>
    <n v="7373"/>
    <n v="100"/>
    <x v="1"/>
    <x v="7"/>
    <x v="1"/>
    <x v="0"/>
  </r>
  <r>
    <x v="781"/>
    <x v="2"/>
    <n v="6"/>
    <x v="49"/>
    <s v="30-01-2016"/>
    <x v="4"/>
    <x v="9"/>
    <x v="9"/>
    <x v="3"/>
    <n v="4"/>
    <x v="9"/>
    <s v="IN"/>
    <s v="03-02-2016"/>
    <n v="306"/>
    <n v="306"/>
    <n v="100"/>
    <n v="0.86928104575163401"/>
    <n v="266"/>
    <n v="3.8169934640522878"/>
    <n v="902"/>
    <n v="1168"/>
    <n v="78"/>
    <x v="1"/>
    <x v="2"/>
    <x v="1"/>
    <x v="0"/>
  </r>
  <r>
    <x v="782"/>
    <x v="2"/>
    <n v="1"/>
    <x v="253"/>
    <s v="16-05-2016"/>
    <x v="7"/>
    <x v="23"/>
    <x v="23"/>
    <x v="1"/>
    <n v="4"/>
    <x v="23"/>
    <s v="WI"/>
    <s v="17-05-2016"/>
    <n v="397"/>
    <n v="397"/>
    <n v="100"/>
    <n v="18.055415617128464"/>
    <n v="7168"/>
    <n v="28.41309823677582"/>
    <n v="4112"/>
    <n v="11280"/>
    <n v="90"/>
    <x v="1"/>
    <x v="8"/>
    <x v="84"/>
    <x v="0"/>
  </r>
  <r>
    <x v="783"/>
    <x v="2"/>
    <n v="6"/>
    <x v="104"/>
    <s v="09-01-2016"/>
    <x v="4"/>
    <x v="15"/>
    <x v="15"/>
    <x v="4"/>
    <n v="4"/>
    <x v="15"/>
    <s v="IL"/>
    <s v="13-01-2016"/>
    <n v="866"/>
    <n v="474"/>
    <n v="54.734411085450354"/>
    <n v="9.5046189376443415"/>
    <n v="8231"/>
    <n v="9.9976905311778292"/>
    <n v="427"/>
    <n v="8658"/>
    <n v="75"/>
    <x v="1"/>
    <x v="4"/>
    <x v="1"/>
    <x v="0"/>
  </r>
  <r>
    <x v="784"/>
    <x v="0"/>
    <n v="2"/>
    <x v="234"/>
    <s v="15-03-2016"/>
    <x v="1"/>
    <x v="20"/>
    <x v="20"/>
    <x v="1"/>
    <n v="4"/>
    <x v="20"/>
    <s v="IL"/>
    <s v="19-03-2016"/>
    <n v="514"/>
    <n v="514"/>
    <n v="100"/>
    <n v="10.132295719844358"/>
    <n v="5208"/>
    <n v="10.918287937743191"/>
    <n v="404"/>
    <n v="5612"/>
    <n v="50"/>
    <x v="1"/>
    <x v="1"/>
    <x v="1"/>
    <x v="0"/>
  </r>
  <r>
    <x v="785"/>
    <x v="2"/>
    <n v="5"/>
    <x v="23"/>
    <s v="07-05-2016"/>
    <x v="7"/>
    <x v="14"/>
    <x v="14"/>
    <x v="1"/>
    <n v="4"/>
    <x v="14"/>
    <s v="IL"/>
    <s v="11-05-2016"/>
    <n v="482"/>
    <n v="482"/>
    <n v="100"/>
    <n v="9.784232365145229"/>
    <n v="4716"/>
    <n v="10.404564315352697"/>
    <n v="299"/>
    <n v="5015"/>
    <n v="71"/>
    <x v="1"/>
    <x v="3"/>
    <x v="1"/>
    <x v="0"/>
  </r>
  <r>
    <x v="786"/>
    <x v="2"/>
    <n v="6"/>
    <x v="275"/>
    <s v="18-03-2016"/>
    <x v="1"/>
    <x v="13"/>
    <x v="13"/>
    <x v="1"/>
    <n v="4"/>
    <x v="13"/>
    <s v="OH"/>
    <s v="22-03-2016"/>
    <n v="1079"/>
    <n v="452"/>
    <n v="41.890639481000925"/>
    <n v="7.3345690454124188"/>
    <n v="7914"/>
    <n v="8.1010194624652456"/>
    <n v="827"/>
    <n v="8741"/>
    <n v="98"/>
    <x v="1"/>
    <x v="9"/>
    <x v="1"/>
    <x v="0"/>
  </r>
  <r>
    <x v="787"/>
    <x v="0"/>
    <n v="5"/>
    <x v="25"/>
    <s v="21-02-2016"/>
    <x v="2"/>
    <x v="20"/>
    <x v="20"/>
    <x v="1"/>
    <n v="4"/>
    <x v="20"/>
    <s v="IL"/>
    <s v="25-02-2016"/>
    <n v="813"/>
    <n v="438"/>
    <n v="53.874538745387454"/>
    <n v="10.420664206642066"/>
    <n v="8472"/>
    <n v="10.971709717097172"/>
    <n v="448"/>
    <n v="8920"/>
    <n v="83"/>
    <x v="1"/>
    <x v="3"/>
    <x v="1"/>
    <x v="0"/>
  </r>
  <r>
    <x v="788"/>
    <x v="2"/>
    <n v="1"/>
    <x v="255"/>
    <s v="08-05-2016"/>
    <x v="7"/>
    <x v="17"/>
    <x v="17"/>
    <x v="3"/>
    <n v="4"/>
    <x v="17"/>
    <s v="OH"/>
    <s v="10-05-2016"/>
    <n v="338"/>
    <n v="297"/>
    <n v="87.869822485207109"/>
    <n v="14.695266272189349"/>
    <n v="4967"/>
    <n v="26.497041420118343"/>
    <n v="3989"/>
    <n v="8956"/>
    <n v="54"/>
    <x v="1"/>
    <x v="6"/>
    <x v="76"/>
    <x v="0"/>
  </r>
  <r>
    <x v="789"/>
    <x v="2"/>
    <n v="3"/>
    <x v="249"/>
    <s v="25-06-2016"/>
    <x v="6"/>
    <x v="23"/>
    <x v="23"/>
    <x v="1"/>
    <n v="4"/>
    <x v="23"/>
    <s v="WI"/>
    <s v="29-06-2016"/>
    <n v="1078"/>
    <n v="782"/>
    <n v="72.541743970315395"/>
    <n v="5.8794063079777361"/>
    <n v="6338"/>
    <n v="6.1270871985157696"/>
    <n v="267"/>
    <n v="6605"/>
    <n v="95"/>
    <x v="1"/>
    <x v="2"/>
    <x v="1"/>
    <x v="0"/>
  </r>
  <r>
    <x v="790"/>
    <x v="2"/>
    <n v="2"/>
    <x v="28"/>
    <s v="30-01-2016"/>
    <x v="4"/>
    <x v="14"/>
    <x v="14"/>
    <x v="1"/>
    <n v="4"/>
    <x v="14"/>
    <s v="IL"/>
    <s v="03-02-2016"/>
    <n v="881"/>
    <n v="534"/>
    <n v="60.612939841089677"/>
    <n v="6.0681044267877411"/>
    <n v="5346"/>
    <n v="6.4347332576617484"/>
    <n v="323"/>
    <n v="5669"/>
    <n v="89"/>
    <x v="1"/>
    <x v="6"/>
    <x v="1"/>
    <x v="0"/>
  </r>
  <r>
    <x v="791"/>
    <x v="2"/>
    <n v="4"/>
    <x v="238"/>
    <s v="09-08-2016"/>
    <x v="5"/>
    <x v="0"/>
    <x v="0"/>
    <x v="0"/>
    <n v="4"/>
    <x v="0"/>
    <s v="MI"/>
    <s v="13-08-2016"/>
    <n v="1010"/>
    <n v="724"/>
    <n v="71.683168316831683"/>
    <n v="6.6495049504950492"/>
    <n v="6716"/>
    <n v="4.6188118811881189"/>
    <n v="-2051"/>
    <n v="4665"/>
    <n v="61"/>
    <x v="1"/>
    <x v="4"/>
    <x v="1"/>
    <x v="0"/>
  </r>
  <r>
    <x v="792"/>
    <x v="0"/>
    <n v="2"/>
    <x v="276"/>
    <s v="11-07-2016"/>
    <x v="3"/>
    <x v="14"/>
    <x v="14"/>
    <x v="1"/>
    <n v="4"/>
    <x v="14"/>
    <s v="IL"/>
    <s v="15-07-2016"/>
    <n v="1007"/>
    <n v="475"/>
    <n v="47.169811320754718"/>
    <n v="2.8649453823237341"/>
    <n v="2885"/>
    <n v="3.644488579940417"/>
    <n v="785"/>
    <n v="3670"/>
    <n v="75"/>
    <x v="1"/>
    <x v="7"/>
    <x v="1"/>
    <x v="0"/>
  </r>
  <r>
    <x v="793"/>
    <x v="0"/>
    <n v="3"/>
    <x v="138"/>
    <s v="06-08-2016"/>
    <x v="5"/>
    <x v="2"/>
    <x v="2"/>
    <x v="1"/>
    <n v="4"/>
    <x v="2"/>
    <s v="IL"/>
    <s v="10-08-2016"/>
    <n v="514"/>
    <n v="273"/>
    <n v="53.112840466926073"/>
    <n v="11.178988326848248"/>
    <n v="5746"/>
    <n v="12.562256809338521"/>
    <n v="711"/>
    <n v="6457"/>
    <n v="73"/>
    <x v="1"/>
    <x v="5"/>
    <x v="1"/>
    <x v="0"/>
  </r>
  <r>
    <x v="794"/>
    <x v="0"/>
    <n v="1"/>
    <x v="323"/>
    <s v="25-06-2016"/>
    <x v="6"/>
    <x v="23"/>
    <x v="23"/>
    <x v="1"/>
    <n v="4"/>
    <x v="23"/>
    <s v="WI"/>
    <s v="28-06-2016"/>
    <n v="794"/>
    <n v="706"/>
    <n v="88.916876574307295"/>
    <n v="0.48866498740554154"/>
    <n v="388"/>
    <n v="6.2103274559193951"/>
    <n v="4543"/>
    <n v="4931"/>
    <n v="77"/>
    <x v="1"/>
    <x v="6"/>
    <x v="64"/>
    <x v="0"/>
  </r>
  <r>
    <x v="795"/>
    <x v="2"/>
    <n v="2"/>
    <x v="124"/>
    <s v="19-01-2016"/>
    <x v="4"/>
    <x v="6"/>
    <x v="6"/>
    <x v="4"/>
    <n v="4"/>
    <x v="6"/>
    <s v="IN"/>
    <s v="23-01-2016"/>
    <n v="1155"/>
    <n v="455"/>
    <n v="39.393939393939391"/>
    <n v="5.7610389610389614"/>
    <n v="6654"/>
    <n v="6.4987012987012989"/>
    <n v="852"/>
    <n v="7506"/>
    <n v="77"/>
    <x v="1"/>
    <x v="0"/>
    <x v="1"/>
    <x v="0"/>
  </r>
  <r>
    <x v="796"/>
    <x v="0"/>
    <n v="2"/>
    <x v="12"/>
    <s v="03-03-2016"/>
    <x v="1"/>
    <x v="7"/>
    <x v="7"/>
    <x v="5"/>
    <n v="4"/>
    <x v="7"/>
    <s v="WI"/>
    <s v="07-03-2016"/>
    <n v="704"/>
    <n v="468"/>
    <n v="66.477272727272734"/>
    <n v="7.4076704545454541"/>
    <n v="5215"/>
    <n v="8.436079545454545"/>
    <n v="724"/>
    <n v="5939"/>
    <n v="96"/>
    <x v="1"/>
    <x v="2"/>
    <x v="1"/>
    <x v="0"/>
  </r>
  <r>
    <x v="797"/>
    <x v="0"/>
    <n v="2"/>
    <x v="317"/>
    <s v="30-03-2016"/>
    <x v="1"/>
    <x v="17"/>
    <x v="17"/>
    <x v="3"/>
    <n v="4"/>
    <x v="17"/>
    <s v="OH"/>
    <s v="03-04-2016"/>
    <n v="849"/>
    <n v="408"/>
    <n v="48.056537102473499"/>
    <n v="5.4040047114252063"/>
    <n v="4588"/>
    <n v="5.5229681978798588"/>
    <n v="101"/>
    <n v="4689"/>
    <n v="89"/>
    <x v="1"/>
    <x v="8"/>
    <x v="1"/>
    <x v="0"/>
  </r>
  <r>
    <x v="798"/>
    <x v="0"/>
    <n v="3"/>
    <x v="30"/>
    <s v="06-05-2016"/>
    <x v="7"/>
    <x v="21"/>
    <x v="21"/>
    <x v="2"/>
    <n v="4"/>
    <x v="21"/>
    <s v="IL"/>
    <s v="10-05-2016"/>
    <n v="835"/>
    <n v="627"/>
    <n v="75.089820359281433"/>
    <n v="8.862275449101796E-2"/>
    <n v="74"/>
    <n v="0.43592814371257482"/>
    <n v="290"/>
    <n v="364"/>
    <n v="71"/>
    <x v="1"/>
    <x v="7"/>
    <x v="1"/>
    <x v="0"/>
  </r>
  <r>
    <x v="799"/>
    <x v="2"/>
    <n v="6"/>
    <x v="210"/>
    <s v="06-01-2016"/>
    <x v="4"/>
    <x v="16"/>
    <x v="16"/>
    <x v="4"/>
    <n v="4"/>
    <x v="16"/>
    <s v="MI"/>
    <s v="10-01-2016"/>
    <n v="509"/>
    <n v="218"/>
    <n v="42.829076620825148"/>
    <n v="0.7053045186640472"/>
    <n v="359"/>
    <n v="2.1944990176817289"/>
    <n v="758"/>
    <n v="1117"/>
    <n v="82"/>
    <x v="1"/>
    <x v="9"/>
    <x v="1"/>
    <x v="0"/>
  </r>
  <r>
    <x v="800"/>
    <x v="2"/>
    <n v="2"/>
    <x v="13"/>
    <s v="06-02-2016"/>
    <x v="2"/>
    <x v="8"/>
    <x v="8"/>
    <x v="3"/>
    <n v="4"/>
    <x v="8"/>
    <s v="OH"/>
    <s v="10-02-2016"/>
    <n v="784"/>
    <n v="410"/>
    <n v="52.295918367346935"/>
    <n v="7.6301020408163263"/>
    <n v="5982"/>
    <n v="8.575255102040817"/>
    <n v="741"/>
    <n v="6723"/>
    <n v="66"/>
    <x v="1"/>
    <x v="5"/>
    <x v="1"/>
    <x v="0"/>
  </r>
  <r>
    <x v="801"/>
    <x v="2"/>
    <n v="5"/>
    <x v="148"/>
    <s v="20-01-2016"/>
    <x v="4"/>
    <x v="18"/>
    <x v="18"/>
    <x v="1"/>
    <n v="4"/>
    <x v="18"/>
    <s v="IN"/>
    <s v="23-01-2016"/>
    <n v="360"/>
    <n v="212"/>
    <n v="58.888888888888893"/>
    <n v="4.8583333333333334"/>
    <n v="1749"/>
    <n v="6.7722222222222221"/>
    <n v="689"/>
    <n v="2438"/>
    <n v="63"/>
    <x v="1"/>
    <x v="7"/>
    <x v="64"/>
    <x v="0"/>
  </r>
  <r>
    <x v="802"/>
    <x v="2"/>
    <n v="6"/>
    <x v="164"/>
    <s v="28-02-2016"/>
    <x v="2"/>
    <x v="1"/>
    <x v="1"/>
    <x v="1"/>
    <n v="4"/>
    <x v="1"/>
    <s v="WI"/>
    <s v="03-03-2016"/>
    <n v="721"/>
    <n v="717"/>
    <n v="99.445214979195555"/>
    <n v="11.531206657420249"/>
    <n v="8314"/>
    <n v="11.908460471567267"/>
    <n v="272"/>
    <n v="8586"/>
    <n v="74"/>
    <x v="1"/>
    <x v="3"/>
    <x v="1"/>
    <x v="0"/>
  </r>
  <r>
    <x v="803"/>
    <x v="0"/>
    <n v="1"/>
    <x v="212"/>
    <s v="05-06-2016"/>
    <x v="6"/>
    <x v="5"/>
    <x v="5"/>
    <x v="3"/>
    <n v="4"/>
    <x v="5"/>
    <s v="IA"/>
    <s v="09-06-2016"/>
    <n v="417"/>
    <n v="417"/>
    <n v="100"/>
    <n v="13.450839328537171"/>
    <n v="5609"/>
    <n v="25.7242206235012"/>
    <n v="5118"/>
    <n v="10727"/>
    <n v="63"/>
    <x v="1"/>
    <x v="4"/>
    <x v="1"/>
    <x v="0"/>
  </r>
  <r>
    <x v="804"/>
    <x v="2"/>
    <n v="2"/>
    <x v="178"/>
    <s v="23-05-2016"/>
    <x v="7"/>
    <x v="22"/>
    <x v="22"/>
    <x v="0"/>
    <n v="4"/>
    <x v="22"/>
    <s v="IL"/>
    <s v="27-05-2016"/>
    <n v="660"/>
    <n v="464"/>
    <n v="70.303030303030297"/>
    <n v="6.5454545454545459"/>
    <n v="4320"/>
    <n v="7.1893939393939394"/>
    <n v="425"/>
    <n v="4745"/>
    <n v="92"/>
    <x v="1"/>
    <x v="3"/>
    <x v="1"/>
    <x v="0"/>
  </r>
  <r>
    <x v="805"/>
    <x v="2"/>
    <n v="4"/>
    <x v="98"/>
    <s v="13-06-2016"/>
    <x v="6"/>
    <x v="18"/>
    <x v="18"/>
    <x v="1"/>
    <n v="4"/>
    <x v="18"/>
    <s v="IN"/>
    <s v="17-06-2016"/>
    <n v="1050"/>
    <n v="266"/>
    <n v="25.333333333333336"/>
    <n v="7.4914285714285711"/>
    <n v="7866"/>
    <n v="5.38"/>
    <n v="-2217"/>
    <n v="5649"/>
    <n v="82"/>
    <x v="1"/>
    <x v="8"/>
    <x v="1"/>
    <x v="0"/>
  </r>
  <r>
    <x v="806"/>
    <x v="2"/>
    <n v="5"/>
    <x v="312"/>
    <s v="09-06-2016"/>
    <x v="6"/>
    <x v="13"/>
    <x v="13"/>
    <x v="1"/>
    <n v="4"/>
    <x v="13"/>
    <s v="OH"/>
    <s v="12-06-2016"/>
    <n v="476"/>
    <n v="476"/>
    <n v="100"/>
    <n v="15.966386554621849"/>
    <n v="7600"/>
    <n v="16.350840336134453"/>
    <n v="183"/>
    <n v="7783"/>
    <n v="93"/>
    <x v="1"/>
    <x v="5"/>
    <x v="64"/>
    <x v="0"/>
  </r>
  <r>
    <x v="807"/>
    <x v="2"/>
    <n v="6"/>
    <x v="2"/>
    <s v="02-07-2016"/>
    <x v="3"/>
    <x v="20"/>
    <x v="20"/>
    <x v="1"/>
    <n v="4"/>
    <x v="20"/>
    <s v="IL"/>
    <s v="06-07-2016"/>
    <n v="1069"/>
    <n v="416"/>
    <n v="38.91487371375117"/>
    <n v="4.7970065481758652"/>
    <n v="5128"/>
    <n v="5.1019644527595887"/>
    <n v="326"/>
    <n v="5454"/>
    <n v="68"/>
    <x v="1"/>
    <x v="4"/>
    <x v="1"/>
    <x v="0"/>
  </r>
  <r>
    <x v="808"/>
    <x v="2"/>
    <n v="6"/>
    <x v="170"/>
    <s v="04-02-2016"/>
    <x v="2"/>
    <x v="17"/>
    <x v="17"/>
    <x v="3"/>
    <n v="4"/>
    <x v="17"/>
    <s v="OH"/>
    <s v="08-02-2016"/>
    <n v="481"/>
    <n v="284"/>
    <n v="59.043659043659048"/>
    <n v="4.3659043659043659"/>
    <n v="2100"/>
    <n v="6.2806652806652803"/>
    <n v="921"/>
    <n v="3021"/>
    <n v="57"/>
    <x v="1"/>
    <x v="2"/>
    <x v="1"/>
    <x v="0"/>
  </r>
  <r>
    <x v="809"/>
    <x v="0"/>
    <n v="3"/>
    <x v="202"/>
    <s v="08-01-2016"/>
    <x v="4"/>
    <x v="22"/>
    <x v="22"/>
    <x v="0"/>
    <n v="4"/>
    <x v="22"/>
    <s v="IL"/>
    <s v="09-01-2016"/>
    <n v="838"/>
    <n v="422"/>
    <n v="50.35799522673031"/>
    <n v="0.27326968973747018"/>
    <n v="229"/>
    <n v="1.2326968973747017"/>
    <n v="804"/>
    <n v="1033"/>
    <n v="52"/>
    <x v="1"/>
    <x v="4"/>
    <x v="84"/>
    <x v="0"/>
  </r>
  <r>
    <x v="810"/>
    <x v="0"/>
    <n v="3"/>
    <x v="149"/>
    <s v="17-07-2016"/>
    <x v="3"/>
    <x v="1"/>
    <x v="1"/>
    <x v="1"/>
    <n v="4"/>
    <x v="1"/>
    <s v="WI"/>
    <s v="21-07-2016"/>
    <n v="650"/>
    <n v="432"/>
    <n v="66.461538461538467"/>
    <n v="3.1353846153846154"/>
    <n v="2038"/>
    <n v="3.3569230769230769"/>
    <n v="144"/>
    <n v="2182"/>
    <n v="94"/>
    <x v="1"/>
    <x v="2"/>
    <x v="1"/>
    <x v="0"/>
  </r>
  <r>
    <x v="811"/>
    <x v="2"/>
    <n v="1"/>
    <x v="313"/>
    <s v="22-02-2016"/>
    <x v="2"/>
    <x v="15"/>
    <x v="15"/>
    <x v="4"/>
    <n v="4"/>
    <x v="15"/>
    <s v="IL"/>
    <s v="24-02-2016"/>
    <n v="341"/>
    <n v="341"/>
    <n v="100"/>
    <n v="3.5689149560117301"/>
    <n v="1217"/>
    <n v="18.589442815249267"/>
    <n v="5122"/>
    <n v="6339"/>
    <n v="91"/>
    <x v="1"/>
    <x v="0"/>
    <x v="76"/>
    <x v="0"/>
  </r>
  <r>
    <x v="812"/>
    <x v="0"/>
    <n v="5"/>
    <x v="116"/>
    <s v="24-07-2016"/>
    <x v="3"/>
    <x v="5"/>
    <x v="5"/>
    <x v="3"/>
    <n v="4"/>
    <x v="5"/>
    <s v="IA"/>
    <s v="28-07-2016"/>
    <n v="926"/>
    <n v="377"/>
    <n v="40.712742980561558"/>
    <n v="4.1814254859611228"/>
    <n v="3872"/>
    <n v="4.5518358531317498"/>
    <n v="343"/>
    <n v="4215"/>
    <n v="77"/>
    <x v="1"/>
    <x v="9"/>
    <x v="1"/>
    <x v="0"/>
  </r>
  <r>
    <x v="813"/>
    <x v="2"/>
    <n v="3"/>
    <x v="64"/>
    <s v="03-07-2016"/>
    <x v="3"/>
    <x v="7"/>
    <x v="7"/>
    <x v="5"/>
    <n v="4"/>
    <x v="7"/>
    <s v="WI"/>
    <s v="07-07-2016"/>
    <n v="424"/>
    <n v="424"/>
    <n v="100"/>
    <n v="7.1367924528301883"/>
    <n v="3026"/>
    <n v="8.2594339622641506"/>
    <n v="476"/>
    <n v="3502"/>
    <n v="57"/>
    <x v="1"/>
    <x v="9"/>
    <x v="1"/>
    <x v="0"/>
  </r>
  <r>
    <x v="814"/>
    <x v="0"/>
    <n v="1"/>
    <x v="43"/>
    <s v="27-07-2016"/>
    <x v="3"/>
    <x v="17"/>
    <x v="17"/>
    <x v="3"/>
    <n v="4"/>
    <x v="17"/>
    <s v="OH"/>
    <s v="29-07-2016"/>
    <n v="1005"/>
    <n v="634"/>
    <n v="63.084577114427866"/>
    <n v="3.2626865671641792"/>
    <n v="3279"/>
    <n v="7.3393034825870647"/>
    <n v="4097"/>
    <n v="7376"/>
    <n v="88"/>
    <x v="1"/>
    <x v="3"/>
    <x v="76"/>
    <x v="0"/>
  </r>
  <r>
    <x v="815"/>
    <x v="0"/>
    <n v="2"/>
    <x v="150"/>
    <s v="06-04-2016"/>
    <x v="0"/>
    <x v="0"/>
    <x v="0"/>
    <x v="0"/>
    <n v="4"/>
    <x v="0"/>
    <s v="MI"/>
    <s v="10-04-2016"/>
    <n v="859"/>
    <n v="685"/>
    <n v="79.74388824214202"/>
    <n v="9.286379511059371"/>
    <n v="7977"/>
    <n v="9.9173457508731087"/>
    <n v="542"/>
    <n v="8519"/>
    <n v="77"/>
    <x v="1"/>
    <x v="4"/>
    <x v="1"/>
    <x v="0"/>
  </r>
  <r>
    <x v="816"/>
    <x v="0"/>
    <n v="6"/>
    <x v="240"/>
    <s v="17-03-2016"/>
    <x v="1"/>
    <x v="0"/>
    <x v="0"/>
    <x v="0"/>
    <n v="4"/>
    <x v="0"/>
    <s v="MI"/>
    <s v="21-03-2016"/>
    <n v="248"/>
    <n v="248"/>
    <n v="100"/>
    <n v="12.455645161290322"/>
    <n v="3089"/>
    <n v="16.016129032258064"/>
    <n v="883"/>
    <n v="3972"/>
    <n v="64"/>
    <x v="1"/>
    <x v="0"/>
    <x v="1"/>
    <x v="0"/>
  </r>
  <r>
    <x v="817"/>
    <x v="2"/>
    <n v="3"/>
    <x v="68"/>
    <s v="16-04-2016"/>
    <x v="0"/>
    <x v="2"/>
    <x v="2"/>
    <x v="1"/>
    <n v="4"/>
    <x v="2"/>
    <s v="IL"/>
    <s v="20-04-2016"/>
    <n v="1105"/>
    <n v="792"/>
    <n v="71.674208144796381"/>
    <n v="6.658823529411765"/>
    <n v="7358"/>
    <n v="7.3828054298642538"/>
    <n v="800"/>
    <n v="8158"/>
    <n v="69"/>
    <x v="1"/>
    <x v="8"/>
    <x v="1"/>
    <x v="0"/>
  </r>
  <r>
    <x v="818"/>
    <x v="0"/>
    <n v="1"/>
    <x v="131"/>
    <s v="24-06-2016"/>
    <x v="6"/>
    <x v="19"/>
    <x v="19"/>
    <x v="0"/>
    <n v="4"/>
    <x v="19"/>
    <s v="WI"/>
    <s v="28-06-2016"/>
    <n v="365"/>
    <n v="365"/>
    <n v="100"/>
    <n v="13.898630136986302"/>
    <n v="5073"/>
    <n v="25.052054794520547"/>
    <n v="4071"/>
    <n v="9144"/>
    <n v="51"/>
    <x v="1"/>
    <x v="4"/>
    <x v="1"/>
    <x v="0"/>
  </r>
  <r>
    <x v="819"/>
    <x v="2"/>
    <n v="3"/>
    <x v="50"/>
    <s v="27-08-2016"/>
    <x v="5"/>
    <x v="0"/>
    <x v="0"/>
    <x v="0"/>
    <n v="4"/>
    <x v="0"/>
    <s v="MI"/>
    <s v="31-08-2016"/>
    <n v="410"/>
    <n v="410"/>
    <n v="100"/>
    <n v="16.990243902439026"/>
    <n v="6966"/>
    <n v="17.34390243902439"/>
    <n v="145"/>
    <n v="7111"/>
    <n v="85"/>
    <x v="1"/>
    <x v="4"/>
    <x v="1"/>
    <x v="0"/>
  </r>
  <r>
    <x v="820"/>
    <x v="2"/>
    <n v="6"/>
    <x v="144"/>
    <s v="03-07-2016"/>
    <x v="3"/>
    <x v="18"/>
    <x v="18"/>
    <x v="1"/>
    <n v="4"/>
    <x v="18"/>
    <s v="IN"/>
    <s v="05-07-2016"/>
    <n v="778"/>
    <n v="635"/>
    <n v="81.619537275064275"/>
    <n v="5.1349614395886887"/>
    <n v="3995"/>
    <n v="5.5784061696658096"/>
    <n v="345"/>
    <n v="4340"/>
    <n v="100"/>
    <x v="1"/>
    <x v="4"/>
    <x v="76"/>
    <x v="0"/>
  </r>
  <r>
    <x v="821"/>
    <x v="0"/>
    <n v="3"/>
    <x v="23"/>
    <s v="06-02-2016"/>
    <x v="2"/>
    <x v="5"/>
    <x v="5"/>
    <x v="3"/>
    <n v="4"/>
    <x v="5"/>
    <s v="IA"/>
    <s v="10-02-2016"/>
    <n v="251"/>
    <n v="251"/>
    <n v="100"/>
    <n v="30.988047808764939"/>
    <n v="7778"/>
    <n v="33.749003984063748"/>
    <n v="693"/>
    <n v="8471"/>
    <n v="76"/>
    <x v="1"/>
    <x v="7"/>
    <x v="1"/>
    <x v="0"/>
  </r>
  <r>
    <x v="822"/>
    <x v="0"/>
    <n v="6"/>
    <x v="296"/>
    <s v="22-02-2016"/>
    <x v="2"/>
    <x v="17"/>
    <x v="17"/>
    <x v="3"/>
    <n v="4"/>
    <x v="17"/>
    <s v="OH"/>
    <s v="24-02-2016"/>
    <n v="992"/>
    <n v="324"/>
    <n v="32.661290322580641"/>
    <n v="2.965725806451613"/>
    <n v="2942"/>
    <n v="3.7036290322580645"/>
    <n v="732"/>
    <n v="3674"/>
    <n v="55"/>
    <x v="1"/>
    <x v="5"/>
    <x v="76"/>
    <x v="0"/>
  </r>
  <r>
    <x v="823"/>
    <x v="0"/>
    <n v="5"/>
    <x v="248"/>
    <s v="12-06-2016"/>
    <x v="6"/>
    <x v="12"/>
    <x v="12"/>
    <x v="3"/>
    <n v="4"/>
    <x v="12"/>
    <s v="MI"/>
    <s v="16-06-2016"/>
    <n v="1037"/>
    <n v="378"/>
    <n v="36.451301832208294"/>
    <n v="7.3876567020250725"/>
    <n v="7661"/>
    <n v="7.7299903567984574"/>
    <n v="355"/>
    <n v="8016"/>
    <n v="66"/>
    <x v="1"/>
    <x v="6"/>
    <x v="1"/>
    <x v="0"/>
  </r>
  <r>
    <x v="824"/>
    <x v="0"/>
    <n v="3"/>
    <x v="51"/>
    <s v="01-04-2016"/>
    <x v="0"/>
    <x v="10"/>
    <x v="10"/>
    <x v="1"/>
    <n v="4"/>
    <x v="10"/>
    <s v="IL"/>
    <s v="05-04-2016"/>
    <n v="297"/>
    <n v="297"/>
    <n v="100"/>
    <n v="1.138047138047138"/>
    <n v="338"/>
    <n v="4.2087542087542085"/>
    <n v="912"/>
    <n v="1250"/>
    <n v="89"/>
    <x v="1"/>
    <x v="8"/>
    <x v="1"/>
    <x v="0"/>
  </r>
  <r>
    <x v="825"/>
    <x v="0"/>
    <n v="3"/>
    <x v="134"/>
    <s v="28-06-2016"/>
    <x v="6"/>
    <x v="18"/>
    <x v="18"/>
    <x v="1"/>
    <n v="4"/>
    <x v="18"/>
    <s v="IN"/>
    <s v="02-07-2016"/>
    <n v="974"/>
    <n v="622"/>
    <n v="63.860369609856264"/>
    <n v="3.517453798767967"/>
    <n v="3426"/>
    <n v="3.8388090349075976"/>
    <n v="313"/>
    <n v="3739"/>
    <n v="53"/>
    <x v="1"/>
    <x v="0"/>
    <x v="1"/>
    <x v="0"/>
  </r>
  <r>
    <x v="826"/>
    <x v="2"/>
    <n v="4"/>
    <x v="196"/>
    <s v="24-03-2016"/>
    <x v="1"/>
    <x v="11"/>
    <x v="11"/>
    <x v="2"/>
    <n v="4"/>
    <x v="11"/>
    <s v="MI"/>
    <s v="28-03-2016"/>
    <n v="1048"/>
    <n v="594"/>
    <n v="56.679389312977101"/>
    <n v="2.9627862595419847"/>
    <n v="3105"/>
    <n v="0.86259541984732824"/>
    <n v="-2201"/>
    <n v="904"/>
    <n v="95"/>
    <x v="1"/>
    <x v="5"/>
    <x v="1"/>
    <x v="0"/>
  </r>
  <r>
    <x v="827"/>
    <x v="0"/>
    <n v="1"/>
    <x v="263"/>
    <s v="22-08-2016"/>
    <x v="5"/>
    <x v="13"/>
    <x v="13"/>
    <x v="1"/>
    <n v="4"/>
    <x v="13"/>
    <s v="OH"/>
    <s v="25-08-2016"/>
    <n v="232"/>
    <n v="232"/>
    <n v="100"/>
    <n v="30.344827586206897"/>
    <n v="7040"/>
    <n v="46.099137931034484"/>
    <n v="3655"/>
    <n v="10695"/>
    <n v="64"/>
    <x v="1"/>
    <x v="9"/>
    <x v="64"/>
    <x v="0"/>
  </r>
  <r>
    <x v="828"/>
    <x v="2"/>
    <n v="4"/>
    <x v="54"/>
    <s v="29-01-2016"/>
    <x v="4"/>
    <x v="6"/>
    <x v="6"/>
    <x v="4"/>
    <n v="4"/>
    <x v="6"/>
    <s v="IN"/>
    <s v="02-02-2016"/>
    <n v="596"/>
    <n v="354"/>
    <n v="59.395973154362416"/>
    <n v="11.765100671140939"/>
    <n v="7012"/>
    <n v="9.3557046979865763"/>
    <n v="-1436"/>
    <n v="5576"/>
    <n v="69"/>
    <x v="1"/>
    <x v="5"/>
    <x v="1"/>
    <x v="0"/>
  </r>
  <r>
    <x v="829"/>
    <x v="0"/>
    <n v="3"/>
    <x v="207"/>
    <s v="06-03-2016"/>
    <x v="1"/>
    <x v="15"/>
    <x v="15"/>
    <x v="4"/>
    <n v="4"/>
    <x v="15"/>
    <s v="IL"/>
    <s v="08-03-2016"/>
    <n v="773"/>
    <n v="601"/>
    <n v="77.7490297542044"/>
    <n v="6.623544631306598"/>
    <n v="5120"/>
    <n v="7.754204398447607"/>
    <n v="874"/>
    <n v="5994"/>
    <n v="68"/>
    <x v="1"/>
    <x v="5"/>
    <x v="76"/>
    <x v="0"/>
  </r>
  <r>
    <x v="830"/>
    <x v="0"/>
    <n v="3"/>
    <x v="124"/>
    <s v="11-07-2016"/>
    <x v="3"/>
    <x v="19"/>
    <x v="19"/>
    <x v="0"/>
    <n v="4"/>
    <x v="19"/>
    <s v="WI"/>
    <s v="15-07-2016"/>
    <n v="525"/>
    <n v="525"/>
    <n v="100"/>
    <n v="12.291428571428572"/>
    <n v="6453"/>
    <n v="13.8"/>
    <n v="792"/>
    <n v="7245"/>
    <n v="89"/>
    <x v="1"/>
    <x v="3"/>
    <x v="1"/>
    <x v="0"/>
  </r>
  <r>
    <x v="831"/>
    <x v="0"/>
    <n v="5"/>
    <x v="209"/>
    <s v="28-06-2016"/>
    <x v="6"/>
    <x v="18"/>
    <x v="18"/>
    <x v="1"/>
    <n v="4"/>
    <x v="18"/>
    <s v="IN"/>
    <s v="29-06-2016"/>
    <n v="1018"/>
    <n v="229"/>
    <n v="22.495088408644399"/>
    <n v="7.9823182711198433"/>
    <n v="8126"/>
    <n v="8.2612966601178783"/>
    <n v="284"/>
    <n v="8410"/>
    <n v="67"/>
    <x v="1"/>
    <x v="3"/>
    <x v="84"/>
    <x v="0"/>
  </r>
  <r>
    <x v="832"/>
    <x v="2"/>
    <n v="5"/>
    <x v="177"/>
    <s v="22-01-2016"/>
    <x v="4"/>
    <x v="20"/>
    <x v="20"/>
    <x v="1"/>
    <n v="4"/>
    <x v="20"/>
    <s v="IL"/>
    <s v="26-01-2016"/>
    <n v="316"/>
    <n v="316"/>
    <n v="100"/>
    <n v="12.572784810126583"/>
    <n v="3973"/>
    <n v="15.693037974683545"/>
    <n v="986"/>
    <n v="4959"/>
    <n v="68"/>
    <x v="1"/>
    <x v="3"/>
    <x v="1"/>
    <x v="0"/>
  </r>
  <r>
    <x v="833"/>
    <x v="2"/>
    <n v="2"/>
    <x v="33"/>
    <s v="21-02-2016"/>
    <x v="2"/>
    <x v="7"/>
    <x v="7"/>
    <x v="5"/>
    <n v="4"/>
    <x v="7"/>
    <s v="WI"/>
    <s v="25-02-2016"/>
    <n v="291"/>
    <n v="291"/>
    <n v="100"/>
    <n v="19.934707903780069"/>
    <n v="5801"/>
    <n v="20.398625429553263"/>
    <n v="135"/>
    <n v="5936"/>
    <n v="59"/>
    <x v="1"/>
    <x v="7"/>
    <x v="1"/>
    <x v="0"/>
  </r>
  <r>
    <x v="834"/>
    <x v="2"/>
    <n v="1"/>
    <x v="184"/>
    <s v="08-01-2016"/>
    <x v="4"/>
    <x v="17"/>
    <x v="17"/>
    <x v="3"/>
    <n v="4"/>
    <x v="17"/>
    <s v="OH"/>
    <s v="12-01-2016"/>
    <n v="505"/>
    <n v="346"/>
    <n v="68.514851485148526"/>
    <n v="1.0257425742574258"/>
    <n v="518"/>
    <n v="10.895049504950496"/>
    <n v="4984"/>
    <n v="5502"/>
    <n v="95"/>
    <x v="1"/>
    <x v="1"/>
    <x v="1"/>
    <x v="0"/>
  </r>
  <r>
    <x v="835"/>
    <x v="0"/>
    <n v="5"/>
    <x v="14"/>
    <s v="19-04-2016"/>
    <x v="0"/>
    <x v="3"/>
    <x v="3"/>
    <x v="2"/>
    <n v="4"/>
    <x v="3"/>
    <s v="IL"/>
    <s v="23-04-2016"/>
    <n v="833"/>
    <n v="461"/>
    <n v="55.342136854741895"/>
    <n v="2.1884753901560625"/>
    <n v="1823"/>
    <n v="2.9927971188475389"/>
    <n v="670"/>
    <n v="2493"/>
    <n v="77"/>
    <x v="1"/>
    <x v="6"/>
    <x v="1"/>
    <x v="0"/>
  </r>
  <r>
    <x v="836"/>
    <x v="0"/>
    <n v="5"/>
    <x v="58"/>
    <s v="03-08-2016"/>
    <x v="5"/>
    <x v="10"/>
    <x v="10"/>
    <x v="1"/>
    <n v="4"/>
    <x v="10"/>
    <s v="IL"/>
    <s v="07-08-2016"/>
    <n v="946"/>
    <n v="461"/>
    <n v="48.731501057082454"/>
    <n v="0.34249471458773784"/>
    <n v="324"/>
    <n v="0.85306553911205074"/>
    <n v="483"/>
    <n v="807"/>
    <n v="96"/>
    <x v="1"/>
    <x v="5"/>
    <x v="1"/>
    <x v="0"/>
  </r>
  <r>
    <x v="837"/>
    <x v="0"/>
    <n v="3"/>
    <x v="148"/>
    <s v="29-08-2016"/>
    <x v="5"/>
    <x v="22"/>
    <x v="22"/>
    <x v="0"/>
    <n v="4"/>
    <x v="22"/>
    <s v="IL"/>
    <s v="31-08-2016"/>
    <n v="607"/>
    <n v="495"/>
    <n v="81.548599670510711"/>
    <n v="3.069192751235585"/>
    <n v="1863"/>
    <n v="4.6161449752883028"/>
    <n v="939"/>
    <n v="2802"/>
    <n v="59"/>
    <x v="1"/>
    <x v="4"/>
    <x v="76"/>
    <x v="0"/>
  </r>
  <r>
    <x v="838"/>
    <x v="2"/>
    <n v="1"/>
    <x v="141"/>
    <s v="23-04-2016"/>
    <x v="0"/>
    <x v="23"/>
    <x v="23"/>
    <x v="1"/>
    <n v="4"/>
    <x v="23"/>
    <s v="WI"/>
    <s v="27-04-2016"/>
    <n v="971"/>
    <n v="795"/>
    <n v="81.87435633367663"/>
    <n v="5.2966014418125642"/>
    <n v="5143"/>
    <n v="9.890834191555097"/>
    <n v="4461"/>
    <n v="9604"/>
    <n v="60"/>
    <x v="1"/>
    <x v="7"/>
    <x v="1"/>
    <x v="0"/>
  </r>
  <r>
    <x v="839"/>
    <x v="2"/>
    <n v="6"/>
    <x v="200"/>
    <s v="06-07-2016"/>
    <x v="3"/>
    <x v="22"/>
    <x v="22"/>
    <x v="0"/>
    <n v="4"/>
    <x v="22"/>
    <s v="IL"/>
    <s v="10-07-2016"/>
    <n v="1191"/>
    <n v="540"/>
    <n v="45.340050377833748"/>
    <n v="2.4450041981528128"/>
    <n v="2912"/>
    <n v="3.0696893366918556"/>
    <n v="744"/>
    <n v="3656"/>
    <n v="51"/>
    <x v="1"/>
    <x v="4"/>
    <x v="1"/>
    <x v="0"/>
  </r>
  <r>
    <x v="840"/>
    <x v="0"/>
    <n v="4"/>
    <x v="201"/>
    <s v="29-08-2016"/>
    <x v="5"/>
    <x v="2"/>
    <x v="2"/>
    <x v="1"/>
    <n v="4"/>
    <x v="2"/>
    <s v="IL"/>
    <s v="02-09-2016"/>
    <n v="975"/>
    <n v="760"/>
    <n v="77.948717948717956"/>
    <n v="4.8984615384615386"/>
    <n v="4776"/>
    <n v="2.9651282051282051"/>
    <n v="-1885"/>
    <n v="2891"/>
    <n v="61"/>
    <x v="1"/>
    <x v="3"/>
    <x v="1"/>
    <x v="0"/>
  </r>
  <r>
    <x v="841"/>
    <x v="0"/>
    <n v="4"/>
    <x v="81"/>
    <s v="03-01-2016"/>
    <x v="4"/>
    <x v="23"/>
    <x v="23"/>
    <x v="1"/>
    <n v="4"/>
    <x v="23"/>
    <s v="WI"/>
    <s v="05-01-2016"/>
    <n v="803"/>
    <n v="707"/>
    <n v="88.044831880448314"/>
    <n v="8.7621419676214192"/>
    <n v="7036"/>
    <n v="6.0535491905354917"/>
    <n v="-2175"/>
    <n v="4861"/>
    <n v="52"/>
    <x v="1"/>
    <x v="9"/>
    <x v="76"/>
    <x v="0"/>
  </r>
  <r>
    <x v="842"/>
    <x v="2"/>
    <n v="2"/>
    <x v="62"/>
    <s v="14-05-2016"/>
    <x v="7"/>
    <x v="1"/>
    <x v="1"/>
    <x v="1"/>
    <n v="4"/>
    <x v="1"/>
    <s v="WI"/>
    <s v="18-05-2016"/>
    <n v="991"/>
    <n v="684"/>
    <n v="69.021190716448032"/>
    <n v="1.2048435923309788"/>
    <n v="1194"/>
    <n v="1.77598385469223"/>
    <n v="566"/>
    <n v="1760"/>
    <n v="57"/>
    <x v="1"/>
    <x v="4"/>
    <x v="1"/>
    <x v="0"/>
  </r>
  <r>
    <x v="843"/>
    <x v="2"/>
    <n v="5"/>
    <x v="190"/>
    <s v="20-03-2016"/>
    <x v="1"/>
    <x v="19"/>
    <x v="19"/>
    <x v="0"/>
    <n v="4"/>
    <x v="19"/>
    <s v="WI"/>
    <s v="24-03-2016"/>
    <n v="944"/>
    <n v="522"/>
    <n v="55.296610169491522"/>
    <n v="1.7552966101694916"/>
    <n v="1657"/>
    <n v="2.0444915254237288"/>
    <n v="273"/>
    <n v="1930"/>
    <n v="62"/>
    <x v="1"/>
    <x v="6"/>
    <x v="1"/>
    <x v="0"/>
  </r>
  <r>
    <x v="844"/>
    <x v="2"/>
    <n v="6"/>
    <x v="41"/>
    <s v="02-07-2016"/>
    <x v="3"/>
    <x v="5"/>
    <x v="5"/>
    <x v="3"/>
    <n v="4"/>
    <x v="5"/>
    <s v="IA"/>
    <s v="06-07-2016"/>
    <n v="694"/>
    <n v="331"/>
    <n v="47.694524495677229"/>
    <n v="0.76801152737752165"/>
    <n v="533"/>
    <n v="1.1974063400576369"/>
    <n v="298"/>
    <n v="831"/>
    <n v="89"/>
    <x v="1"/>
    <x v="9"/>
    <x v="1"/>
    <x v="0"/>
  </r>
  <r>
    <x v="845"/>
    <x v="0"/>
    <n v="3"/>
    <x v="44"/>
    <s v="25-03-2016"/>
    <x v="1"/>
    <x v="16"/>
    <x v="16"/>
    <x v="4"/>
    <n v="4"/>
    <x v="16"/>
    <s v="MI"/>
    <s v="29-03-2016"/>
    <n v="1067"/>
    <n v="787"/>
    <n v="73.758200562324276"/>
    <n v="3.5304592314901595"/>
    <n v="3767"/>
    <n v="4.0121836925960634"/>
    <n v="514"/>
    <n v="4281"/>
    <n v="91"/>
    <x v="1"/>
    <x v="9"/>
    <x v="1"/>
    <x v="0"/>
  </r>
  <r>
    <x v="846"/>
    <x v="0"/>
    <n v="6"/>
    <x v="299"/>
    <s v="15-03-2016"/>
    <x v="1"/>
    <x v="15"/>
    <x v="15"/>
    <x v="4"/>
    <n v="4"/>
    <x v="15"/>
    <s v="IL"/>
    <s v="17-03-2016"/>
    <n v="316"/>
    <n v="316"/>
    <n v="100"/>
    <n v="24.759493670886076"/>
    <n v="7824"/>
    <n v="25.525316455696203"/>
    <n v="242"/>
    <n v="8066"/>
    <n v="63"/>
    <x v="1"/>
    <x v="1"/>
    <x v="76"/>
    <x v="0"/>
  </r>
  <r>
    <x v="847"/>
    <x v="0"/>
    <n v="4"/>
    <x v="285"/>
    <s v="30-08-2016"/>
    <x v="5"/>
    <x v="8"/>
    <x v="8"/>
    <x v="3"/>
    <n v="4"/>
    <x v="8"/>
    <s v="OH"/>
    <s v="03-09-2016"/>
    <n v="1004"/>
    <n v="275"/>
    <n v="27.39043824701195"/>
    <n v="4.9591633466135461"/>
    <n v="4979"/>
    <n v="2.8356573705179282"/>
    <n v="-2132"/>
    <n v="2847"/>
    <n v="53"/>
    <x v="1"/>
    <x v="0"/>
    <x v="1"/>
    <x v="0"/>
  </r>
  <r>
    <x v="848"/>
    <x v="2"/>
    <n v="2"/>
    <x v="217"/>
    <s v="24-07-2016"/>
    <x v="3"/>
    <x v="19"/>
    <x v="19"/>
    <x v="0"/>
    <n v="4"/>
    <x v="19"/>
    <s v="WI"/>
    <s v="28-07-2016"/>
    <n v="296"/>
    <n v="296"/>
    <n v="100"/>
    <n v="2.2162162162162162"/>
    <n v="656"/>
    <n v="4.2263513513513518"/>
    <n v="595"/>
    <n v="1251"/>
    <n v="94"/>
    <x v="1"/>
    <x v="8"/>
    <x v="1"/>
    <x v="0"/>
  </r>
  <r>
    <x v="849"/>
    <x v="2"/>
    <n v="3"/>
    <x v="324"/>
    <s v="24-07-2016"/>
    <x v="3"/>
    <x v="23"/>
    <x v="23"/>
    <x v="1"/>
    <n v="4"/>
    <x v="23"/>
    <s v="WI"/>
    <s v="28-07-2016"/>
    <n v="262"/>
    <n v="262"/>
    <n v="100"/>
    <n v="28.461832061068701"/>
    <n v="7457"/>
    <n v="30.782442748091604"/>
    <n v="608"/>
    <n v="8065"/>
    <n v="90"/>
    <x v="1"/>
    <x v="5"/>
    <x v="1"/>
    <x v="0"/>
  </r>
  <r>
    <x v="850"/>
    <x v="0"/>
    <n v="1"/>
    <x v="49"/>
    <s v="12-04-2016"/>
    <x v="0"/>
    <x v="11"/>
    <x v="11"/>
    <x v="2"/>
    <n v="4"/>
    <x v="11"/>
    <s v="MI"/>
    <s v="16-04-2016"/>
    <n v="503"/>
    <n v="503"/>
    <n v="100"/>
    <n v="5.8648111332007948"/>
    <n v="2950"/>
    <n v="14.445328031809145"/>
    <n v="4316"/>
    <n v="7266"/>
    <n v="71"/>
    <x v="1"/>
    <x v="6"/>
    <x v="1"/>
    <x v="0"/>
  </r>
  <r>
    <x v="851"/>
    <x v="2"/>
    <n v="2"/>
    <x v="253"/>
    <s v="20-06-2016"/>
    <x v="6"/>
    <x v="15"/>
    <x v="15"/>
    <x v="4"/>
    <n v="4"/>
    <x v="15"/>
    <s v="IL"/>
    <s v="27-06-2016"/>
    <n v="412"/>
    <n v="296"/>
    <n v="71.844660194174764"/>
    <n v="11.487864077669903"/>
    <n v="4733"/>
    <n v="11.966019417475728"/>
    <n v="197"/>
    <n v="4930"/>
    <n v="52"/>
    <x v="1"/>
    <x v="3"/>
    <x v="4"/>
    <x v="0"/>
  </r>
  <r>
    <x v="852"/>
    <x v="2"/>
    <n v="3"/>
    <x v="203"/>
    <s v="10-05-2016"/>
    <x v="7"/>
    <x v="14"/>
    <x v="14"/>
    <x v="1"/>
    <n v="4"/>
    <x v="14"/>
    <s v="IL"/>
    <s v="14-05-2016"/>
    <n v="870"/>
    <n v="210"/>
    <n v="24.137931034482758"/>
    <n v="4.7379310344827585"/>
    <n v="4122"/>
    <n v="4.8609195402298848"/>
    <n v="107"/>
    <n v="4229"/>
    <n v="73"/>
    <x v="1"/>
    <x v="2"/>
    <x v="1"/>
    <x v="0"/>
  </r>
  <r>
    <x v="853"/>
    <x v="2"/>
    <n v="2"/>
    <x v="254"/>
    <s v="10-04-2016"/>
    <x v="0"/>
    <x v="4"/>
    <x v="4"/>
    <x v="2"/>
    <n v="4"/>
    <x v="4"/>
    <s v="MI"/>
    <s v="14-04-2016"/>
    <n v="355"/>
    <n v="355"/>
    <n v="100"/>
    <n v="18.312676056338027"/>
    <n v="6501"/>
    <n v="19.526760563380282"/>
    <n v="431"/>
    <n v="6932"/>
    <n v="92"/>
    <x v="1"/>
    <x v="0"/>
    <x v="1"/>
    <x v="0"/>
  </r>
  <r>
    <x v="854"/>
    <x v="0"/>
    <n v="1"/>
    <x v="295"/>
    <s v="21-05-2016"/>
    <x v="7"/>
    <x v="1"/>
    <x v="1"/>
    <x v="1"/>
    <n v="4"/>
    <x v="1"/>
    <s v="WI"/>
    <s v="25-05-2016"/>
    <n v="943"/>
    <n v="525"/>
    <n v="55.673382820784731"/>
    <n v="2.4665959703075293"/>
    <n v="2326"/>
    <n v="7.1049840933191941"/>
    <n v="4374"/>
    <n v="6700"/>
    <n v="97"/>
    <x v="1"/>
    <x v="0"/>
    <x v="1"/>
    <x v="0"/>
  </r>
  <r>
    <x v="855"/>
    <x v="2"/>
    <n v="6"/>
    <x v="308"/>
    <s v="19-06-2016"/>
    <x v="6"/>
    <x v="7"/>
    <x v="7"/>
    <x v="5"/>
    <n v="4"/>
    <x v="7"/>
    <s v="WI"/>
    <s v="23-06-2016"/>
    <n v="291"/>
    <n v="291"/>
    <n v="100"/>
    <n v="27.783505154639176"/>
    <n v="8085"/>
    <n v="30.656357388316152"/>
    <n v="836"/>
    <n v="8921"/>
    <n v="99"/>
    <x v="1"/>
    <x v="5"/>
    <x v="1"/>
    <x v="0"/>
  </r>
  <r>
    <x v="856"/>
    <x v="2"/>
    <n v="5"/>
    <x v="24"/>
    <s v="17-06-2016"/>
    <x v="6"/>
    <x v="19"/>
    <x v="19"/>
    <x v="0"/>
    <n v="4"/>
    <x v="19"/>
    <s v="WI"/>
    <s v="21-06-2016"/>
    <n v="1096"/>
    <n v="628"/>
    <n v="57.299270072992705"/>
    <n v="6.0638686131386859"/>
    <n v="6646"/>
    <n v="6.804744525547445"/>
    <n v="812"/>
    <n v="7458"/>
    <n v="58"/>
    <x v="1"/>
    <x v="0"/>
    <x v="1"/>
    <x v="0"/>
  </r>
  <r>
    <x v="857"/>
    <x v="2"/>
    <n v="6"/>
    <x v="255"/>
    <s v="30-06-2016"/>
    <x v="6"/>
    <x v="23"/>
    <x v="23"/>
    <x v="1"/>
    <n v="4"/>
    <x v="23"/>
    <s v="WI"/>
    <s v="06-07-2016"/>
    <n v="661"/>
    <n v="661"/>
    <n v="100"/>
    <n v="8.6989409984871404"/>
    <n v="5750"/>
    <n v="9.7397881996974274"/>
    <n v="688"/>
    <n v="6438"/>
    <n v="50"/>
    <x v="1"/>
    <x v="0"/>
    <x v="28"/>
    <x v="0"/>
  </r>
  <r>
    <x v="858"/>
    <x v="0"/>
    <n v="5"/>
    <x v="309"/>
    <s v="28-02-2016"/>
    <x v="2"/>
    <x v="13"/>
    <x v="13"/>
    <x v="1"/>
    <n v="4"/>
    <x v="13"/>
    <s v="OH"/>
    <s v="03-03-2016"/>
    <n v="228"/>
    <n v="228"/>
    <n v="100"/>
    <n v="28.960526315789473"/>
    <n v="6603"/>
    <n v="33.057017543859651"/>
    <n v="934"/>
    <n v="7537"/>
    <n v="88"/>
    <x v="1"/>
    <x v="5"/>
    <x v="1"/>
    <x v="0"/>
  </r>
  <r>
    <x v="859"/>
    <x v="0"/>
    <n v="1"/>
    <x v="300"/>
    <s v="05-05-2016"/>
    <x v="7"/>
    <x v="17"/>
    <x v="17"/>
    <x v="3"/>
    <n v="4"/>
    <x v="17"/>
    <s v="OH"/>
    <s v="08-05-2016"/>
    <n v="628"/>
    <n v="349"/>
    <n v="55.57324840764332"/>
    <n v="6.0429936305732488"/>
    <n v="3795"/>
    <n v="13.038216560509554"/>
    <n v="4393"/>
    <n v="8188"/>
    <n v="55"/>
    <x v="1"/>
    <x v="3"/>
    <x v="64"/>
    <x v="0"/>
  </r>
  <r>
    <x v="860"/>
    <x v="0"/>
    <n v="5"/>
    <x v="256"/>
    <s v="17-01-2016"/>
    <x v="4"/>
    <x v="3"/>
    <x v="3"/>
    <x v="2"/>
    <n v="4"/>
    <x v="3"/>
    <s v="IL"/>
    <s v="21-01-2016"/>
    <n v="568"/>
    <n v="420"/>
    <n v="73.943661971830991"/>
    <n v="0.70598591549295775"/>
    <n v="401"/>
    <n v="2.1742957746478875"/>
    <n v="834"/>
    <n v="1235"/>
    <n v="63"/>
    <x v="1"/>
    <x v="6"/>
    <x v="1"/>
    <x v="0"/>
  </r>
  <r>
    <x v="861"/>
    <x v="2"/>
    <n v="5"/>
    <x v="133"/>
    <s v="24-04-2016"/>
    <x v="0"/>
    <x v="14"/>
    <x v="14"/>
    <x v="1"/>
    <n v="4"/>
    <x v="14"/>
    <s v="IL"/>
    <s v="28-04-2016"/>
    <n v="437"/>
    <n v="374"/>
    <n v="85.583524027459958"/>
    <n v="13.187643020594965"/>
    <n v="5763"/>
    <n v="15.441647597254004"/>
    <n v="985"/>
    <n v="6748"/>
    <n v="62"/>
    <x v="1"/>
    <x v="4"/>
    <x v="1"/>
    <x v="0"/>
  </r>
  <r>
    <x v="862"/>
    <x v="2"/>
    <n v="3"/>
    <x v="134"/>
    <s v="05-03-2016"/>
    <x v="1"/>
    <x v="22"/>
    <x v="22"/>
    <x v="0"/>
    <n v="4"/>
    <x v="22"/>
    <s v="IL"/>
    <s v="09-03-2016"/>
    <n v="692"/>
    <n v="692"/>
    <n v="100"/>
    <n v="5.8656069364161851"/>
    <n v="4059"/>
    <n v="6.7846820809248554"/>
    <n v="636"/>
    <n v="4695"/>
    <n v="63"/>
    <x v="1"/>
    <x v="2"/>
    <x v="1"/>
    <x v="0"/>
  </r>
  <r>
    <x v="863"/>
    <x v="2"/>
    <n v="2"/>
    <x v="91"/>
    <s v="15-08-2016"/>
    <x v="5"/>
    <x v="9"/>
    <x v="9"/>
    <x v="3"/>
    <n v="4"/>
    <x v="9"/>
    <s v="IN"/>
    <s v="19-08-2016"/>
    <n v="761"/>
    <n v="327"/>
    <n v="42.96977660972405"/>
    <n v="9.2444152431011819"/>
    <n v="7035"/>
    <n v="9.4678055190538757"/>
    <n v="170"/>
    <n v="7205"/>
    <n v="66"/>
    <x v="1"/>
    <x v="4"/>
    <x v="1"/>
    <x v="0"/>
  </r>
  <r>
    <x v="864"/>
    <x v="0"/>
    <n v="4"/>
    <x v="205"/>
    <s v="22-03-2016"/>
    <x v="1"/>
    <x v="6"/>
    <x v="6"/>
    <x v="4"/>
    <n v="4"/>
    <x v="6"/>
    <s v="IN"/>
    <s v="26-03-2016"/>
    <n v="1082"/>
    <n v="620"/>
    <n v="57.301293900184845"/>
    <n v="4.4232902033271717"/>
    <n v="4786"/>
    <n v="2.5304990757855821"/>
    <n v="-2048"/>
    <n v="2738"/>
    <n v="97"/>
    <x v="1"/>
    <x v="9"/>
    <x v="1"/>
    <x v="0"/>
  </r>
  <r>
    <x v="865"/>
    <x v="0"/>
    <n v="4"/>
    <x v="287"/>
    <s v="11-05-2016"/>
    <x v="7"/>
    <x v="3"/>
    <x v="3"/>
    <x v="2"/>
    <n v="4"/>
    <x v="3"/>
    <s v="IL"/>
    <s v="15-05-2016"/>
    <n v="708"/>
    <n v="338"/>
    <n v="47.740112994350284"/>
    <n v="9.240112994350282"/>
    <n v="6542"/>
    <n v="6.1680790960451981"/>
    <n v="-2175"/>
    <n v="4367"/>
    <n v="53"/>
    <x v="1"/>
    <x v="3"/>
    <x v="1"/>
    <x v="0"/>
  </r>
  <r>
    <x v="866"/>
    <x v="0"/>
    <n v="2"/>
    <x v="263"/>
    <s v="24-05-2016"/>
    <x v="7"/>
    <x v="18"/>
    <x v="18"/>
    <x v="1"/>
    <n v="4"/>
    <x v="18"/>
    <s v="IN"/>
    <s v="28-05-2016"/>
    <n v="917"/>
    <n v="237"/>
    <n v="25.84514721919302"/>
    <n v="8.0032715376226822"/>
    <n v="7339"/>
    <n v="8.5299890948745904"/>
    <n v="483"/>
    <n v="7822"/>
    <n v="80"/>
    <x v="1"/>
    <x v="7"/>
    <x v="1"/>
    <x v="0"/>
  </r>
  <r>
    <x v="867"/>
    <x v="0"/>
    <n v="1"/>
    <x v="94"/>
    <s v="15-02-2016"/>
    <x v="2"/>
    <x v="15"/>
    <x v="15"/>
    <x v="4"/>
    <n v="4"/>
    <x v="15"/>
    <s v="IL"/>
    <s v="18-02-2016"/>
    <n v="370"/>
    <n v="370"/>
    <n v="100"/>
    <n v="12.829729729729729"/>
    <n v="4747"/>
    <n v="25.008108108108107"/>
    <n v="4506"/>
    <n v="9253"/>
    <n v="88"/>
    <x v="1"/>
    <x v="4"/>
    <x v="64"/>
    <x v="0"/>
  </r>
  <r>
    <x v="868"/>
    <x v="2"/>
    <n v="2"/>
    <x v="52"/>
    <s v="25-06-2016"/>
    <x v="6"/>
    <x v="8"/>
    <x v="8"/>
    <x v="3"/>
    <n v="4"/>
    <x v="8"/>
    <s v="OH"/>
    <s v="29-06-2016"/>
    <n v="1062"/>
    <n v="645"/>
    <n v="60.734463276836159"/>
    <n v="4.3662900188323919"/>
    <n v="4637"/>
    <n v="4.7881355932203391"/>
    <n v="448"/>
    <n v="5085"/>
    <n v="64"/>
    <x v="1"/>
    <x v="3"/>
    <x v="1"/>
    <x v="0"/>
  </r>
  <r>
    <x v="869"/>
    <x v="2"/>
    <n v="6"/>
    <x v="138"/>
    <s v="20-08-2016"/>
    <x v="5"/>
    <x v="1"/>
    <x v="1"/>
    <x v="1"/>
    <n v="4"/>
    <x v="1"/>
    <s v="WI"/>
    <s v="24-08-2016"/>
    <n v="533"/>
    <n v="464"/>
    <n v="87.054409005628514"/>
    <n v="15.891181988742964"/>
    <n v="8470"/>
    <n v="16.504690431519698"/>
    <n v="327"/>
    <n v="8797"/>
    <n v="72"/>
    <x v="1"/>
    <x v="0"/>
    <x v="1"/>
    <x v="0"/>
  </r>
  <r>
    <x v="870"/>
    <x v="0"/>
    <n v="4"/>
    <x v="323"/>
    <s v="22-04-2016"/>
    <x v="0"/>
    <x v="15"/>
    <x v="15"/>
    <x v="4"/>
    <n v="4"/>
    <x v="15"/>
    <s v="IL"/>
    <s v="26-04-2016"/>
    <n v="749"/>
    <n v="509"/>
    <n v="67.957276368491321"/>
    <n v="9.1962616822429908"/>
    <n v="6888"/>
    <n v="6.4766355140186915"/>
    <n v="-2037"/>
    <n v="4851"/>
    <n v="93"/>
    <x v="1"/>
    <x v="7"/>
    <x v="1"/>
    <x v="0"/>
  </r>
  <r>
    <x v="871"/>
    <x v="2"/>
    <n v="2"/>
    <x v="319"/>
    <s v="18-07-2016"/>
    <x v="3"/>
    <x v="8"/>
    <x v="8"/>
    <x v="3"/>
    <n v="4"/>
    <x v="8"/>
    <s v="OH"/>
    <s v="22-07-2016"/>
    <n v="205"/>
    <n v="205"/>
    <n v="100"/>
    <n v="21.10731707317073"/>
    <n v="4327"/>
    <n v="24.712195121951218"/>
    <n v="739"/>
    <n v="5066"/>
    <n v="90"/>
    <x v="1"/>
    <x v="2"/>
    <x v="1"/>
    <x v="0"/>
  </r>
  <r>
    <x v="872"/>
    <x v="0"/>
    <n v="5"/>
    <x v="139"/>
    <s v="19-08-2016"/>
    <x v="5"/>
    <x v="4"/>
    <x v="4"/>
    <x v="2"/>
    <n v="4"/>
    <x v="4"/>
    <s v="MI"/>
    <s v="23-08-2016"/>
    <n v="527"/>
    <n v="401"/>
    <n v="76.091081593927896"/>
    <n v="13.952561669829223"/>
    <n v="7353"/>
    <n v="15.631878557874764"/>
    <n v="885"/>
    <n v="8238"/>
    <n v="61"/>
    <x v="1"/>
    <x v="1"/>
    <x v="1"/>
    <x v="0"/>
  </r>
  <r>
    <x v="873"/>
    <x v="2"/>
    <n v="2"/>
    <x v="140"/>
    <s v="08-05-2016"/>
    <x v="7"/>
    <x v="18"/>
    <x v="18"/>
    <x v="1"/>
    <n v="4"/>
    <x v="18"/>
    <s v="IN"/>
    <s v="12-05-2016"/>
    <n v="505"/>
    <n v="505"/>
    <n v="100"/>
    <n v="4.8732673267326732"/>
    <n v="2461"/>
    <n v="5.110891089108911"/>
    <n v="120"/>
    <n v="2581"/>
    <n v="90"/>
    <x v="1"/>
    <x v="2"/>
    <x v="1"/>
    <x v="0"/>
  </r>
  <r>
    <x v="874"/>
    <x v="2"/>
    <n v="2"/>
    <x v="320"/>
    <s v="17-01-2016"/>
    <x v="4"/>
    <x v="15"/>
    <x v="15"/>
    <x v="4"/>
    <n v="4"/>
    <x v="15"/>
    <s v="IL"/>
    <s v="18-01-2016"/>
    <n v="972"/>
    <n v="551"/>
    <n v="56.687242798353907"/>
    <n v="5.7253086419753085"/>
    <n v="5565"/>
    <n v="6.1687242798353905"/>
    <n v="431"/>
    <n v="5996"/>
    <n v="86"/>
    <x v="1"/>
    <x v="8"/>
    <x v="84"/>
    <x v="0"/>
  </r>
  <r>
    <x v="875"/>
    <x v="2"/>
    <n v="3"/>
    <x v="165"/>
    <s v="21-03-2016"/>
    <x v="1"/>
    <x v="17"/>
    <x v="17"/>
    <x v="3"/>
    <n v="4"/>
    <x v="17"/>
    <s v="OH"/>
    <s v="22-03-2016"/>
    <n v="520"/>
    <n v="283"/>
    <n v="54.42307692307692"/>
    <n v="2.5307692307692307"/>
    <n v="1316"/>
    <n v="3.375"/>
    <n v="439"/>
    <n v="1755"/>
    <n v="78"/>
    <x v="1"/>
    <x v="3"/>
    <x v="84"/>
    <x v="0"/>
  </r>
  <r>
    <x v="876"/>
    <x v="0"/>
    <n v="1"/>
    <x v="156"/>
    <s v="04-08-2016"/>
    <x v="5"/>
    <x v="9"/>
    <x v="9"/>
    <x v="3"/>
    <n v="4"/>
    <x v="9"/>
    <s v="IN"/>
    <s v="08-08-2016"/>
    <n v="647"/>
    <n v="647"/>
    <n v="100"/>
    <n v="5.3833075734157649"/>
    <n v="3483"/>
    <n v="12.528593508500773"/>
    <n v="4623"/>
    <n v="8106"/>
    <n v="55"/>
    <x v="1"/>
    <x v="8"/>
    <x v="1"/>
    <x v="0"/>
  </r>
  <r>
    <x v="877"/>
    <x v="2"/>
    <n v="3"/>
    <x v="293"/>
    <s v="08-02-2016"/>
    <x v="2"/>
    <x v="15"/>
    <x v="15"/>
    <x v="4"/>
    <n v="4"/>
    <x v="15"/>
    <s v="IL"/>
    <s v="12-02-2016"/>
    <n v="1036"/>
    <n v="770"/>
    <n v="74.324324324324323"/>
    <n v="5.5337837837837842"/>
    <n v="5733"/>
    <n v="5.9874517374517371"/>
    <n v="470"/>
    <n v="6203"/>
    <n v="72"/>
    <x v="1"/>
    <x v="5"/>
    <x v="1"/>
    <x v="0"/>
  </r>
  <r>
    <x v="878"/>
    <x v="2"/>
    <n v="6"/>
    <x v="61"/>
    <s v="11-07-2016"/>
    <x v="3"/>
    <x v="7"/>
    <x v="7"/>
    <x v="5"/>
    <n v="4"/>
    <x v="7"/>
    <s v="WI"/>
    <s v="15-07-2016"/>
    <n v="499"/>
    <n v="499"/>
    <n v="100"/>
    <n v="11.93186372745491"/>
    <n v="5954"/>
    <n v="12.96192384769539"/>
    <n v="514"/>
    <n v="6468"/>
    <n v="79"/>
    <x v="1"/>
    <x v="9"/>
    <x v="1"/>
    <x v="0"/>
  </r>
  <r>
    <x v="879"/>
    <x v="2"/>
    <n v="6"/>
    <x v="141"/>
    <s v="29-04-2016"/>
    <x v="0"/>
    <x v="17"/>
    <x v="17"/>
    <x v="3"/>
    <n v="4"/>
    <x v="17"/>
    <s v="OH"/>
    <s v="03-05-2016"/>
    <n v="1137"/>
    <n v="323"/>
    <n v="28.408091468777485"/>
    <n v="6.3975373790677219"/>
    <n v="7274"/>
    <n v="7.1459982409850484"/>
    <n v="851"/>
    <n v="8125"/>
    <n v="76"/>
    <x v="1"/>
    <x v="1"/>
    <x v="1"/>
    <x v="0"/>
  </r>
  <r>
    <x v="880"/>
    <x v="2"/>
    <n v="5"/>
    <x v="167"/>
    <s v="10-07-2016"/>
    <x v="3"/>
    <x v="10"/>
    <x v="10"/>
    <x v="1"/>
    <n v="4"/>
    <x v="10"/>
    <s v="IL"/>
    <s v="14-07-2016"/>
    <n v="1101"/>
    <n v="222"/>
    <n v="20.163487738419619"/>
    <n v="7.5603996366939148"/>
    <n v="8324"/>
    <n v="7.9927338782924613"/>
    <n v="476"/>
    <n v="8800"/>
    <n v="75"/>
    <x v="1"/>
    <x v="9"/>
    <x v="1"/>
    <x v="0"/>
  </r>
  <r>
    <x v="881"/>
    <x v="0"/>
    <n v="3"/>
    <x v="200"/>
    <s v="11-07-2016"/>
    <x v="3"/>
    <x v="13"/>
    <x v="13"/>
    <x v="1"/>
    <n v="4"/>
    <x v="13"/>
    <s v="OH"/>
    <s v="15-07-2016"/>
    <n v="981"/>
    <n v="394"/>
    <n v="40.163098878695209"/>
    <n v="5.2140672782874615"/>
    <n v="5115"/>
    <n v="5.6738022426095824"/>
    <n v="451"/>
    <n v="5566"/>
    <n v="84"/>
    <x v="1"/>
    <x v="0"/>
    <x v="1"/>
    <x v="0"/>
  </r>
  <r>
    <x v="882"/>
    <x v="2"/>
    <n v="5"/>
    <x v="80"/>
    <s v="19-07-2016"/>
    <x v="3"/>
    <x v="7"/>
    <x v="7"/>
    <x v="5"/>
    <n v="4"/>
    <x v="7"/>
    <s v="WI"/>
    <s v="23-07-2016"/>
    <n v="804"/>
    <n v="418"/>
    <n v="51.990049751243781"/>
    <n v="5.6815920398009947"/>
    <n v="4568"/>
    <n v="6.355721393034826"/>
    <n v="542"/>
    <n v="5110"/>
    <n v="67"/>
    <x v="1"/>
    <x v="3"/>
    <x v="1"/>
    <x v="0"/>
  </r>
  <r>
    <x v="883"/>
    <x v="0"/>
    <n v="6"/>
    <x v="228"/>
    <s v="28-01-2016"/>
    <x v="4"/>
    <x v="19"/>
    <x v="19"/>
    <x v="0"/>
    <n v="4"/>
    <x v="19"/>
    <s v="WI"/>
    <s v="01-02-2016"/>
    <n v="796"/>
    <n v="664"/>
    <n v="83.417085427135675"/>
    <n v="7.8781407035175883"/>
    <n v="6271"/>
    <n v="8.2123115577889454"/>
    <n v="266"/>
    <n v="6537"/>
    <n v="79"/>
    <x v="1"/>
    <x v="7"/>
    <x v="1"/>
    <x v="0"/>
  </r>
  <r>
    <x v="884"/>
    <x v="2"/>
    <n v="5"/>
    <x v="38"/>
    <s v="04-06-2016"/>
    <x v="6"/>
    <x v="16"/>
    <x v="16"/>
    <x v="4"/>
    <n v="4"/>
    <x v="16"/>
    <s v="MI"/>
    <s v="08-06-2016"/>
    <n v="1191"/>
    <n v="478"/>
    <n v="40.134340890008396"/>
    <n v="1.9529806884970613"/>
    <n v="2326"/>
    <n v="2.4550797649034424"/>
    <n v="598"/>
    <n v="2924"/>
    <n v="87"/>
    <x v="1"/>
    <x v="0"/>
    <x v="1"/>
    <x v="0"/>
  </r>
  <r>
    <x v="885"/>
    <x v="1"/>
    <n v="5"/>
    <x v="81"/>
    <s v="08-07-2016"/>
    <x v="3"/>
    <x v="17"/>
    <x v="17"/>
    <x v="3"/>
    <n v="3"/>
    <x v="17"/>
    <s v="OH"/>
    <s v="09-07-2016"/>
    <n v="955"/>
    <n v="687"/>
    <n v="71.937172774869111"/>
    <n v="2.33717277486911"/>
    <n v="2232"/>
    <n v="3.0471204188481678"/>
    <n v="678"/>
    <n v="2910"/>
    <n v="99"/>
    <x v="1"/>
    <x v="5"/>
    <x v="84"/>
    <x v="0"/>
  </r>
  <r>
    <x v="886"/>
    <x v="1"/>
    <n v="4"/>
    <x v="62"/>
    <s v="25-04-2016"/>
    <x v="0"/>
    <x v="2"/>
    <x v="2"/>
    <x v="1"/>
    <n v="3"/>
    <x v="2"/>
    <s v="IL"/>
    <s v="28-04-2016"/>
    <n v="514"/>
    <n v="205"/>
    <n v="39.883268482490273"/>
    <n v="14.877431906614786"/>
    <n v="7647"/>
    <n v="10.614785992217898"/>
    <n v="-2191"/>
    <n v="5456"/>
    <n v="60"/>
    <x v="1"/>
    <x v="9"/>
    <x v="64"/>
    <x v="0"/>
  </r>
  <r>
    <x v="887"/>
    <x v="1"/>
    <n v="6"/>
    <x v="215"/>
    <s v="24-07-2016"/>
    <x v="3"/>
    <x v="23"/>
    <x v="23"/>
    <x v="1"/>
    <n v="3"/>
    <x v="23"/>
    <s v="WI"/>
    <s v="26-07-2016"/>
    <n v="286"/>
    <n v="286"/>
    <n v="100"/>
    <n v="13.874125874125873"/>
    <n v="3968"/>
    <n v="16.272727272727273"/>
    <n v="686"/>
    <n v="4654"/>
    <n v="88"/>
    <x v="1"/>
    <x v="0"/>
    <x v="76"/>
    <x v="0"/>
  </r>
  <r>
    <x v="888"/>
    <x v="0"/>
    <n v="5"/>
    <x v="316"/>
    <s v="06-02-2016"/>
    <x v="2"/>
    <x v="15"/>
    <x v="15"/>
    <x v="4"/>
    <n v="3"/>
    <x v="15"/>
    <s v="IL"/>
    <s v="07-02-2016"/>
    <n v="463"/>
    <n v="307"/>
    <n v="66.306695464362846"/>
    <n v="15.706263498920086"/>
    <n v="7272"/>
    <n v="17.535637149028076"/>
    <n v="847"/>
    <n v="8119"/>
    <n v="99"/>
    <x v="1"/>
    <x v="8"/>
    <x v="84"/>
    <x v="0"/>
  </r>
  <r>
    <x v="889"/>
    <x v="0"/>
    <n v="7"/>
    <x v="283"/>
    <s v="20-04-2016"/>
    <x v="0"/>
    <x v="5"/>
    <x v="5"/>
    <x v="3"/>
    <n v="3"/>
    <x v="5"/>
    <s v="IA"/>
    <s v="23-04-2016"/>
    <n v="726"/>
    <n v="348"/>
    <n v="47.933884297520663"/>
    <n v="1.2658402203856749"/>
    <n v="919"/>
    <n v="1.4931129476584022"/>
    <n v="165"/>
    <n v="1084"/>
    <n v="85"/>
    <x v="1"/>
    <x v="7"/>
    <x v="64"/>
    <x v="0"/>
  </r>
  <r>
    <x v="890"/>
    <x v="0"/>
    <n v="5"/>
    <x v="251"/>
    <s v="09-03-2016"/>
    <x v="1"/>
    <x v="13"/>
    <x v="13"/>
    <x v="1"/>
    <n v="3"/>
    <x v="13"/>
    <s v="OH"/>
    <s v="12-03-2016"/>
    <n v="1047"/>
    <n v="398"/>
    <n v="38.01337153772684"/>
    <n v="6.025787965616046"/>
    <n v="6309"/>
    <n v="6.4212034383954153"/>
    <n v="414"/>
    <n v="6723"/>
    <n v="88"/>
    <x v="1"/>
    <x v="5"/>
    <x v="64"/>
    <x v="0"/>
  </r>
  <r>
    <x v="891"/>
    <x v="1"/>
    <n v="7"/>
    <x v="149"/>
    <s v="03-01-2016"/>
    <x v="4"/>
    <x v="20"/>
    <x v="20"/>
    <x v="1"/>
    <n v="3"/>
    <x v="20"/>
    <s v="IL"/>
    <s v="06-01-2016"/>
    <n v="948"/>
    <n v="684"/>
    <n v="72.151898734177209"/>
    <n v="1.2784810126582278"/>
    <n v="1212"/>
    <n v="1.6540084388185654"/>
    <n v="356"/>
    <n v="1568"/>
    <n v="66"/>
    <x v="1"/>
    <x v="2"/>
    <x v="64"/>
    <x v="0"/>
  </r>
  <r>
    <x v="892"/>
    <x v="1"/>
    <n v="6"/>
    <x v="83"/>
    <s v="11-08-2016"/>
    <x v="5"/>
    <x v="1"/>
    <x v="1"/>
    <x v="1"/>
    <n v="3"/>
    <x v="1"/>
    <s v="WI"/>
    <s v="14-08-2016"/>
    <n v="737"/>
    <n v="349"/>
    <n v="47.354138398914522"/>
    <n v="1.0542740841248304"/>
    <n v="777"/>
    <n v="1.3283582089552239"/>
    <n v="202"/>
    <n v="979"/>
    <n v="66"/>
    <x v="1"/>
    <x v="9"/>
    <x v="64"/>
    <x v="0"/>
  </r>
  <r>
    <x v="893"/>
    <x v="1"/>
    <n v="4"/>
    <x v="252"/>
    <s v="06-05-2016"/>
    <x v="7"/>
    <x v="15"/>
    <x v="15"/>
    <x v="4"/>
    <n v="3"/>
    <x v="15"/>
    <s v="IL"/>
    <s v="09-05-2016"/>
    <n v="952"/>
    <n v="256"/>
    <n v="26.890756302521009"/>
    <n v="7.920168067226891"/>
    <n v="7540"/>
    <n v="5.5619747899159666"/>
    <n v="-2245"/>
    <n v="5295"/>
    <n v="74"/>
    <x v="1"/>
    <x v="0"/>
    <x v="64"/>
    <x v="0"/>
  </r>
  <r>
    <x v="894"/>
    <x v="1"/>
    <n v="8"/>
    <x v="46"/>
    <s v="29-08-2016"/>
    <x v="5"/>
    <x v="22"/>
    <x v="22"/>
    <x v="0"/>
    <n v="3"/>
    <x v="22"/>
    <s v="IL"/>
    <s v="01-09-2016"/>
    <n v="1172"/>
    <n v="737"/>
    <n v="62.883959044368595"/>
    <n v="5.6049488054607508"/>
    <n v="6569"/>
    <n v="6.2269624573378843"/>
    <n v="729"/>
    <n v="7298"/>
    <n v="99"/>
    <x v="1"/>
    <x v="2"/>
    <x v="64"/>
    <x v="0"/>
  </r>
  <r>
    <x v="895"/>
    <x v="1"/>
    <n v="4"/>
    <x v="233"/>
    <s v="10-02-2016"/>
    <x v="2"/>
    <x v="2"/>
    <x v="2"/>
    <x v="1"/>
    <n v="3"/>
    <x v="2"/>
    <s v="IL"/>
    <s v="13-02-2016"/>
    <n v="1077"/>
    <n v="361"/>
    <n v="33.519034354688955"/>
    <n v="4.1049210770659235"/>
    <n v="4421"/>
    <n v="2.6220984215413186"/>
    <n v="-1597"/>
    <n v="2824"/>
    <n v="63"/>
    <x v="1"/>
    <x v="6"/>
    <x v="64"/>
    <x v="0"/>
  </r>
  <r>
    <x v="896"/>
    <x v="1"/>
    <n v="8"/>
    <x v="294"/>
    <s v="02-07-2016"/>
    <x v="3"/>
    <x v="0"/>
    <x v="0"/>
    <x v="0"/>
    <n v="3"/>
    <x v="0"/>
    <s v="MI"/>
    <s v="05-07-2016"/>
    <n v="1096"/>
    <n v="455"/>
    <n v="41.514598540145982"/>
    <n v="4.25"/>
    <n v="4658"/>
    <n v="5.0228102189781021"/>
    <n v="847"/>
    <n v="5505"/>
    <n v="59"/>
    <x v="1"/>
    <x v="7"/>
    <x v="64"/>
    <x v="0"/>
  </r>
  <r>
    <x v="897"/>
    <x v="1"/>
    <n v="4"/>
    <x v="144"/>
    <s v="09-07-2016"/>
    <x v="3"/>
    <x v="13"/>
    <x v="13"/>
    <x v="1"/>
    <n v="3"/>
    <x v="13"/>
    <s v="OH"/>
    <s v="12-07-2016"/>
    <n v="425"/>
    <n v="425"/>
    <n v="100"/>
    <n v="11.181176470588236"/>
    <n v="4752"/>
    <n v="7.4705882352941178"/>
    <n v="-1577"/>
    <n v="3175"/>
    <n v="53"/>
    <x v="1"/>
    <x v="7"/>
    <x v="64"/>
    <x v="0"/>
  </r>
  <r>
    <x v="898"/>
    <x v="0"/>
    <n v="7"/>
    <x v="88"/>
    <s v="11-08-2016"/>
    <x v="5"/>
    <x v="9"/>
    <x v="9"/>
    <x v="3"/>
    <n v="3"/>
    <x v="9"/>
    <s v="IN"/>
    <s v="14-08-2016"/>
    <n v="849"/>
    <n v="439"/>
    <n v="51.707891637220257"/>
    <n v="9.0706713780918733"/>
    <n v="7701"/>
    <n v="9.8445229681978805"/>
    <n v="657"/>
    <n v="8358"/>
    <n v="97"/>
    <x v="1"/>
    <x v="7"/>
    <x v="64"/>
    <x v="0"/>
  </r>
  <r>
    <x v="899"/>
    <x v="0"/>
    <n v="8"/>
    <x v="296"/>
    <s v="18-03-2016"/>
    <x v="1"/>
    <x v="23"/>
    <x v="23"/>
    <x v="1"/>
    <n v="3"/>
    <x v="23"/>
    <s v="WI"/>
    <s v="19-03-2016"/>
    <n v="587"/>
    <n v="367"/>
    <n v="62.521294718909715"/>
    <n v="0.88756388415672915"/>
    <n v="521"/>
    <n v="1.5502555366269166"/>
    <n v="389"/>
    <n v="910"/>
    <n v="83"/>
    <x v="1"/>
    <x v="9"/>
    <x v="84"/>
    <x v="0"/>
  </r>
  <r>
    <x v="900"/>
    <x v="1"/>
    <n v="5"/>
    <x v="26"/>
    <s v="21-08-2016"/>
    <x v="5"/>
    <x v="12"/>
    <x v="12"/>
    <x v="3"/>
    <n v="3"/>
    <x v="12"/>
    <s v="MI"/>
    <s v="24-08-2016"/>
    <n v="414"/>
    <n v="414"/>
    <n v="100"/>
    <n v="18.557971014492754"/>
    <n v="7683"/>
    <n v="20.280193236714975"/>
    <n v="713"/>
    <n v="8396"/>
    <n v="68"/>
    <x v="1"/>
    <x v="5"/>
    <x v="64"/>
    <x v="0"/>
  </r>
  <r>
    <x v="901"/>
    <x v="1"/>
    <n v="4"/>
    <x v="204"/>
    <s v="26-03-2016"/>
    <x v="1"/>
    <x v="21"/>
    <x v="21"/>
    <x v="2"/>
    <n v="3"/>
    <x v="21"/>
    <s v="IL"/>
    <s v="29-03-2016"/>
    <n v="1007"/>
    <n v="357"/>
    <n v="35.451837140019862"/>
    <n v="4.1062562065541215"/>
    <n v="4135"/>
    <n v="2.7894736842105261"/>
    <n v="-1326"/>
    <n v="2809"/>
    <n v="81"/>
    <x v="1"/>
    <x v="1"/>
    <x v="64"/>
    <x v="0"/>
  </r>
  <r>
    <x v="902"/>
    <x v="1"/>
    <n v="6"/>
    <x v="309"/>
    <s v="04-07-2016"/>
    <x v="3"/>
    <x v="18"/>
    <x v="18"/>
    <x v="1"/>
    <n v="3"/>
    <x v="18"/>
    <s v="IN"/>
    <s v="07-07-2016"/>
    <n v="759"/>
    <n v="265"/>
    <n v="34.914361001317523"/>
    <n v="8.3175230566534921"/>
    <n v="6313"/>
    <n v="9.1673254281949941"/>
    <n v="645"/>
    <n v="6958"/>
    <n v="57"/>
    <x v="1"/>
    <x v="6"/>
    <x v="64"/>
    <x v="0"/>
  </r>
  <r>
    <x v="903"/>
    <x v="1"/>
    <n v="4"/>
    <x v="300"/>
    <s v="27-03-2016"/>
    <x v="1"/>
    <x v="15"/>
    <x v="15"/>
    <x v="4"/>
    <n v="3"/>
    <x v="15"/>
    <s v="IL"/>
    <s v="29-03-2016"/>
    <n v="230"/>
    <n v="230"/>
    <n v="100"/>
    <n v="37.200000000000003"/>
    <n v="8556"/>
    <n v="28.769565217391303"/>
    <n v="-1939"/>
    <n v="6617"/>
    <n v="94"/>
    <x v="1"/>
    <x v="2"/>
    <x v="76"/>
    <x v="0"/>
  </r>
  <r>
    <x v="904"/>
    <x v="0"/>
    <n v="7"/>
    <x v="286"/>
    <s v="04-03-2016"/>
    <x v="1"/>
    <x v="8"/>
    <x v="8"/>
    <x v="3"/>
    <n v="3"/>
    <x v="8"/>
    <s v="OH"/>
    <s v="07-03-2016"/>
    <n v="814"/>
    <n v="714"/>
    <n v="87.714987714987714"/>
    <n v="2.0257985257985256"/>
    <n v="1649"/>
    <n v="2.861179361179361"/>
    <n v="680"/>
    <n v="2329"/>
    <n v="65"/>
    <x v="1"/>
    <x v="7"/>
    <x v="64"/>
    <x v="0"/>
  </r>
  <r>
    <x v="905"/>
    <x v="0"/>
    <n v="8"/>
    <x v="133"/>
    <s v="30-03-2016"/>
    <x v="1"/>
    <x v="5"/>
    <x v="5"/>
    <x v="3"/>
    <n v="3"/>
    <x v="5"/>
    <s v="IA"/>
    <s v="02-04-2016"/>
    <n v="972"/>
    <n v="211"/>
    <n v="21.707818930041153"/>
    <n v="5.3960905349794235"/>
    <n v="5245"/>
    <n v="5.844650205761317"/>
    <n v="436"/>
    <n v="5681"/>
    <n v="68"/>
    <x v="1"/>
    <x v="1"/>
    <x v="64"/>
    <x v="0"/>
  </r>
  <r>
    <x v="906"/>
    <x v="0"/>
    <n v="4"/>
    <x v="91"/>
    <s v="09-03-2016"/>
    <x v="1"/>
    <x v="12"/>
    <x v="12"/>
    <x v="3"/>
    <n v="3"/>
    <x v="12"/>
    <s v="MI"/>
    <s v="12-03-2016"/>
    <n v="732"/>
    <n v="201"/>
    <n v="27.459016393442624"/>
    <n v="10.665300546448087"/>
    <n v="7807"/>
    <n v="7.7732240437158469"/>
    <n v="-2117"/>
    <n v="5690"/>
    <n v="54"/>
    <x v="1"/>
    <x v="1"/>
    <x v="64"/>
    <x v="0"/>
  </r>
  <r>
    <x v="907"/>
    <x v="1"/>
    <n v="7"/>
    <x v="195"/>
    <s v="03-02-2016"/>
    <x v="2"/>
    <x v="15"/>
    <x v="15"/>
    <x v="4"/>
    <n v="3"/>
    <x v="15"/>
    <s v="IL"/>
    <s v="06-02-2016"/>
    <n v="262"/>
    <n v="262"/>
    <n v="100"/>
    <n v="10.114503816793894"/>
    <n v="2650"/>
    <n v="13.026717557251908"/>
    <n v="763"/>
    <n v="3413"/>
    <n v="80"/>
    <x v="1"/>
    <x v="4"/>
    <x v="64"/>
    <x v="0"/>
  </r>
  <r>
    <x v="908"/>
    <x v="1"/>
    <n v="6"/>
    <x v="269"/>
    <s v="09-03-2016"/>
    <x v="1"/>
    <x v="5"/>
    <x v="5"/>
    <x v="3"/>
    <n v="3"/>
    <x v="5"/>
    <s v="IA"/>
    <s v="12-03-2016"/>
    <n v="802"/>
    <n v="703"/>
    <n v="87.655860349127181"/>
    <n v="3.5436408977556111"/>
    <n v="2842"/>
    <n v="4.7718204488778051"/>
    <n v="985"/>
    <n v="3827"/>
    <n v="55"/>
    <x v="1"/>
    <x v="9"/>
    <x v="64"/>
    <x v="0"/>
  </r>
  <r>
    <x v="909"/>
    <x v="0"/>
    <n v="5"/>
    <x v="209"/>
    <s v="17-06-2016"/>
    <x v="6"/>
    <x v="13"/>
    <x v="13"/>
    <x v="1"/>
    <n v="3"/>
    <x v="13"/>
    <s v="OH"/>
    <s v="20-06-2016"/>
    <n v="721"/>
    <n v="511"/>
    <n v="70.873786407766985"/>
    <n v="9.393897364771151"/>
    <n v="6773"/>
    <n v="9.8363384188626899"/>
    <n v="319"/>
    <n v="7092"/>
    <n v="88"/>
    <x v="1"/>
    <x v="6"/>
    <x v="64"/>
    <x v="0"/>
  </r>
  <r>
    <x v="910"/>
    <x v="0"/>
    <n v="7"/>
    <x v="140"/>
    <s v="20-05-2016"/>
    <x v="7"/>
    <x v="22"/>
    <x v="22"/>
    <x v="0"/>
    <n v="3"/>
    <x v="22"/>
    <s v="IL"/>
    <s v="23-05-2016"/>
    <n v="397"/>
    <n v="296"/>
    <n v="74.559193954659946"/>
    <n v="7.6574307304785894"/>
    <n v="3040"/>
    <n v="8.569269521410579"/>
    <n v="362"/>
    <n v="3402"/>
    <n v="77"/>
    <x v="1"/>
    <x v="1"/>
    <x v="64"/>
    <x v="0"/>
  </r>
  <r>
    <x v="911"/>
    <x v="1"/>
    <n v="6"/>
    <x v="76"/>
    <s v="09-07-2016"/>
    <x v="3"/>
    <x v="6"/>
    <x v="6"/>
    <x v="4"/>
    <n v="3"/>
    <x v="6"/>
    <s v="IN"/>
    <s v="12-07-2016"/>
    <n v="660"/>
    <n v="454"/>
    <n v="68.787878787878782"/>
    <n v="12.621212121212121"/>
    <n v="8330"/>
    <n v="13.5"/>
    <n v="580"/>
    <n v="8910"/>
    <n v="68"/>
    <x v="1"/>
    <x v="0"/>
    <x v="64"/>
    <x v="0"/>
  </r>
  <r>
    <x v="912"/>
    <x v="1"/>
    <n v="6"/>
    <x v="289"/>
    <s v="13-06-2016"/>
    <x v="6"/>
    <x v="20"/>
    <x v="20"/>
    <x v="1"/>
    <n v="3"/>
    <x v="20"/>
    <s v="IL"/>
    <s v="16-06-2016"/>
    <n v="506"/>
    <n v="410"/>
    <n v="81.027667984189719"/>
    <n v="7.8992094861660078"/>
    <n v="3997"/>
    <n v="8.849802371541502"/>
    <n v="481"/>
    <n v="4478"/>
    <n v="99"/>
    <x v="1"/>
    <x v="8"/>
    <x v="64"/>
    <x v="0"/>
  </r>
  <r>
    <x v="913"/>
    <x v="1"/>
    <n v="4"/>
    <x v="32"/>
    <s v="26-02-2016"/>
    <x v="2"/>
    <x v="3"/>
    <x v="3"/>
    <x v="2"/>
    <n v="3"/>
    <x v="3"/>
    <s v="IL"/>
    <s v="29-02-2016"/>
    <n v="559"/>
    <n v="271"/>
    <n v="48.479427549194995"/>
    <n v="3.1323792486583186"/>
    <n v="1751"/>
    <n v="1.0465116279069768"/>
    <n v="-1166"/>
    <n v="585"/>
    <n v="54"/>
    <x v="1"/>
    <x v="8"/>
    <x v="64"/>
    <x v="0"/>
  </r>
  <r>
    <x v="914"/>
    <x v="0"/>
    <n v="6"/>
    <x v="34"/>
    <s v="16-04-2016"/>
    <x v="0"/>
    <x v="16"/>
    <x v="16"/>
    <x v="4"/>
    <n v="3"/>
    <x v="16"/>
    <s v="MI"/>
    <s v="19-04-2016"/>
    <n v="800"/>
    <n v="247"/>
    <n v="30.875000000000004"/>
    <n v="3.6112500000000001"/>
    <n v="2889"/>
    <n v="4.7050000000000001"/>
    <n v="875"/>
    <n v="3764"/>
    <n v="61"/>
    <x v="1"/>
    <x v="5"/>
    <x v="64"/>
    <x v="0"/>
  </r>
  <r>
    <x v="915"/>
    <x v="0"/>
    <n v="6"/>
    <x v="98"/>
    <s v="10-08-2016"/>
    <x v="5"/>
    <x v="18"/>
    <x v="18"/>
    <x v="1"/>
    <n v="3"/>
    <x v="18"/>
    <s v="IN"/>
    <s v="10-08-2016"/>
    <n v="451"/>
    <n v="310"/>
    <n v="68.736141906873613"/>
    <n v="13.399113082039911"/>
    <n v="6043"/>
    <n v="15.425720620842572"/>
    <n v="914"/>
    <n v="6957"/>
    <n v="64"/>
    <x v="1"/>
    <x v="0"/>
    <x v="85"/>
    <x v="1"/>
  </r>
  <r>
    <x v="916"/>
    <x v="1"/>
    <n v="8"/>
    <x v="239"/>
    <s v="08-05-2016"/>
    <x v="7"/>
    <x v="2"/>
    <x v="2"/>
    <x v="1"/>
    <n v="3"/>
    <x v="2"/>
    <s v="IL"/>
    <s v="11-05-2016"/>
    <n v="619"/>
    <n v="468"/>
    <n v="75.605815831987073"/>
    <n v="11.197092084006462"/>
    <n v="6931"/>
    <n v="12.137318255250404"/>
    <n v="582"/>
    <n v="7513"/>
    <n v="75"/>
    <x v="1"/>
    <x v="0"/>
    <x v="64"/>
    <x v="0"/>
  </r>
  <r>
    <x v="917"/>
    <x v="0"/>
    <n v="4"/>
    <x v="168"/>
    <s v="03-04-2016"/>
    <x v="0"/>
    <x v="0"/>
    <x v="0"/>
    <x v="0"/>
    <n v="3"/>
    <x v="0"/>
    <s v="MI"/>
    <s v="06-04-2016"/>
    <n v="996"/>
    <n v="731"/>
    <n v="73.393574297188763"/>
    <n v="6.1947791164658632"/>
    <n v="6170"/>
    <n v="4.8734939759036147"/>
    <n v="-1316"/>
    <n v="4854"/>
    <n v="93"/>
    <x v="1"/>
    <x v="8"/>
    <x v="64"/>
    <x v="0"/>
  </r>
  <r>
    <x v="918"/>
    <x v="1"/>
    <n v="6"/>
    <x v="81"/>
    <s v="05-08-2016"/>
    <x v="5"/>
    <x v="15"/>
    <x v="15"/>
    <x v="4"/>
    <n v="3"/>
    <x v="15"/>
    <s v="IL"/>
    <s v="05-08-2016"/>
    <n v="800"/>
    <n v="466"/>
    <n v="58.25"/>
    <n v="4.0787500000000003"/>
    <n v="3263"/>
    <n v="4.8324999999999996"/>
    <n v="603"/>
    <n v="3866"/>
    <n v="68"/>
    <x v="1"/>
    <x v="2"/>
    <x v="85"/>
    <x v="1"/>
  </r>
  <r>
    <x v="919"/>
    <x v="0"/>
    <n v="8"/>
    <x v="228"/>
    <s v="26-06-2016"/>
    <x v="6"/>
    <x v="7"/>
    <x v="7"/>
    <x v="5"/>
    <n v="3"/>
    <x v="7"/>
    <s v="WI"/>
    <s v="29-06-2016"/>
    <n v="703"/>
    <n v="578"/>
    <n v="82.219061166429583"/>
    <n v="11.237553342816501"/>
    <n v="7900"/>
    <n v="11.445234708392602"/>
    <n v="146"/>
    <n v="8046"/>
    <n v="82"/>
    <x v="1"/>
    <x v="7"/>
    <x v="64"/>
    <x v="0"/>
  </r>
  <r>
    <x v="920"/>
    <x v="0"/>
    <n v="7"/>
    <x v="1"/>
    <s v="24-01-2016"/>
    <x v="4"/>
    <x v="2"/>
    <x v="2"/>
    <x v="1"/>
    <n v="3"/>
    <x v="2"/>
    <s v="IL"/>
    <s v="27-01-2016"/>
    <n v="906"/>
    <n v="546"/>
    <n v="60.264900662251655"/>
    <n v="6.4492273730684326"/>
    <n v="5843"/>
    <n v="7.0507726269315674"/>
    <n v="545"/>
    <n v="6388"/>
    <n v="90"/>
    <x v="1"/>
    <x v="1"/>
    <x v="64"/>
    <x v="0"/>
  </r>
  <r>
    <x v="921"/>
    <x v="1"/>
    <n v="5"/>
    <x v="37"/>
    <s v="27-02-2016"/>
    <x v="2"/>
    <x v="23"/>
    <x v="23"/>
    <x v="1"/>
    <n v="3"/>
    <x v="23"/>
    <s v="WI"/>
    <s v="01-03-2016"/>
    <n v="531"/>
    <n v="525"/>
    <n v="98.870056497175142"/>
    <n v="12.386064030131827"/>
    <n v="6577"/>
    <n v="13.184557438794727"/>
    <n v="424"/>
    <n v="7001"/>
    <n v="62"/>
    <x v="1"/>
    <x v="2"/>
    <x v="64"/>
    <x v="0"/>
  </r>
  <r>
    <x v="922"/>
    <x v="0"/>
    <n v="6"/>
    <x v="298"/>
    <s v="09-08-2016"/>
    <x v="5"/>
    <x v="18"/>
    <x v="18"/>
    <x v="1"/>
    <n v="3"/>
    <x v="18"/>
    <s v="IN"/>
    <s v="09-08-2016"/>
    <n v="349"/>
    <n v="349"/>
    <n v="100"/>
    <n v="15.148997134670488"/>
    <n v="5287"/>
    <n v="17.315186246418339"/>
    <n v="756"/>
    <n v="6043"/>
    <n v="93"/>
    <x v="1"/>
    <x v="1"/>
    <x v="85"/>
    <x v="1"/>
  </r>
  <r>
    <x v="923"/>
    <x v="1"/>
    <n v="5"/>
    <x v="157"/>
    <s v="11-04-2016"/>
    <x v="0"/>
    <x v="5"/>
    <x v="5"/>
    <x v="3"/>
    <n v="3"/>
    <x v="5"/>
    <s v="IA"/>
    <s v="14-04-2016"/>
    <n v="980"/>
    <n v="767"/>
    <n v="78.265306122448976"/>
    <n v="5.3275510204081629"/>
    <n v="5221"/>
    <n v="5.5051020408163263"/>
    <n v="174"/>
    <n v="5395"/>
    <n v="65"/>
    <x v="1"/>
    <x v="1"/>
    <x v="64"/>
    <x v="0"/>
  </r>
  <r>
    <x v="924"/>
    <x v="0"/>
    <n v="7"/>
    <x v="40"/>
    <s v="12-06-2016"/>
    <x v="6"/>
    <x v="10"/>
    <x v="10"/>
    <x v="1"/>
    <n v="3"/>
    <x v="10"/>
    <s v="IL"/>
    <s v="15-06-2016"/>
    <n v="274"/>
    <n v="274"/>
    <n v="100"/>
    <n v="19.266423357664234"/>
    <n v="5279"/>
    <n v="21.799270072992702"/>
    <n v="694"/>
    <n v="5973"/>
    <n v="98"/>
    <x v="1"/>
    <x v="0"/>
    <x v="64"/>
    <x v="0"/>
  </r>
  <r>
    <x v="925"/>
    <x v="1"/>
    <n v="5"/>
    <x v="313"/>
    <s v="13-04-2016"/>
    <x v="0"/>
    <x v="15"/>
    <x v="15"/>
    <x v="4"/>
    <n v="3"/>
    <x v="15"/>
    <s v="IL"/>
    <s v="16-04-2016"/>
    <n v="312"/>
    <n v="312"/>
    <n v="100"/>
    <n v="22.589743589743591"/>
    <n v="7048"/>
    <n v="25.048076923076923"/>
    <n v="767"/>
    <n v="7815"/>
    <n v="92"/>
    <x v="1"/>
    <x v="0"/>
    <x v="64"/>
    <x v="0"/>
  </r>
  <r>
    <x v="926"/>
    <x v="0"/>
    <n v="6"/>
    <x v="3"/>
    <s v="14-02-2016"/>
    <x v="2"/>
    <x v="16"/>
    <x v="16"/>
    <x v="4"/>
    <n v="3"/>
    <x v="16"/>
    <s v="MI"/>
    <s v="17-02-2016"/>
    <n v="1195"/>
    <n v="570"/>
    <n v="47.69874476987448"/>
    <n v="1.3255230125523012"/>
    <n v="1584"/>
    <n v="1.6292887029288703"/>
    <n v="363"/>
    <n v="1947"/>
    <n v="72"/>
    <x v="1"/>
    <x v="6"/>
    <x v="64"/>
    <x v="0"/>
  </r>
  <r>
    <x v="927"/>
    <x v="1"/>
    <n v="4"/>
    <x v="44"/>
    <s v="16-04-2016"/>
    <x v="0"/>
    <x v="3"/>
    <x v="3"/>
    <x v="2"/>
    <n v="3"/>
    <x v="3"/>
    <s v="IL"/>
    <s v="19-04-2016"/>
    <n v="1101"/>
    <n v="206"/>
    <n v="18.710263396911898"/>
    <n v="6.8419618528610355"/>
    <n v="7533"/>
    <n v="4.8764759309718437"/>
    <n v="-2164"/>
    <n v="5369"/>
    <n v="65"/>
    <x v="1"/>
    <x v="4"/>
    <x v="64"/>
    <x v="0"/>
  </r>
  <r>
    <x v="928"/>
    <x v="1"/>
    <n v="4"/>
    <x v="46"/>
    <s v="24-01-2016"/>
    <x v="4"/>
    <x v="13"/>
    <x v="13"/>
    <x v="1"/>
    <n v="3"/>
    <x v="13"/>
    <s v="OH"/>
    <s v="27-01-2016"/>
    <n v="571"/>
    <n v="339"/>
    <n v="59.369527145359022"/>
    <n v="10.54816112084063"/>
    <n v="6023"/>
    <n v="6.0385288966725046"/>
    <n v="-2575"/>
    <n v="3448"/>
    <n v="77"/>
    <x v="1"/>
    <x v="7"/>
    <x v="64"/>
    <x v="0"/>
  </r>
  <r>
    <x v="929"/>
    <x v="1"/>
    <n v="7"/>
    <x v="66"/>
    <s v="08-04-2016"/>
    <x v="0"/>
    <x v="11"/>
    <x v="11"/>
    <x v="2"/>
    <n v="3"/>
    <x v="11"/>
    <s v="MI"/>
    <s v="11-04-2016"/>
    <n v="787"/>
    <n v="787"/>
    <n v="100"/>
    <n v="7.1601016518424396"/>
    <n v="5635"/>
    <n v="7.6963151207115628"/>
    <n v="422"/>
    <n v="6057"/>
    <n v="60"/>
    <x v="1"/>
    <x v="3"/>
    <x v="64"/>
    <x v="0"/>
  </r>
  <r>
    <x v="930"/>
    <x v="0"/>
    <n v="5"/>
    <x v="159"/>
    <s v="16-06-2016"/>
    <x v="6"/>
    <x v="16"/>
    <x v="16"/>
    <x v="4"/>
    <n v="3"/>
    <x v="16"/>
    <s v="MI"/>
    <s v="19-06-2016"/>
    <n v="679"/>
    <n v="616"/>
    <n v="90.721649484536087"/>
    <n v="3.6480117820324005"/>
    <n v="2477"/>
    <n v="4.4462444771723124"/>
    <n v="542"/>
    <n v="3019"/>
    <n v="67"/>
    <x v="1"/>
    <x v="5"/>
    <x v="64"/>
    <x v="0"/>
  </r>
  <r>
    <x v="931"/>
    <x v="0"/>
    <n v="8"/>
    <x v="231"/>
    <s v="29-05-2016"/>
    <x v="7"/>
    <x v="5"/>
    <x v="5"/>
    <x v="3"/>
    <n v="3"/>
    <x v="5"/>
    <s v="IA"/>
    <s v="01-06-2016"/>
    <n v="886"/>
    <n v="701"/>
    <n v="79.119638826185096"/>
    <n v="3.9514672686230248"/>
    <n v="3501"/>
    <n v="4.302483069977427"/>
    <n v="311"/>
    <n v="3812"/>
    <n v="53"/>
    <x v="1"/>
    <x v="0"/>
    <x v="64"/>
    <x v="0"/>
  </r>
  <r>
    <x v="932"/>
    <x v="0"/>
    <n v="6"/>
    <x v="232"/>
    <s v="31-08-2016"/>
    <x v="5"/>
    <x v="13"/>
    <x v="13"/>
    <x v="1"/>
    <n v="3"/>
    <x v="13"/>
    <s v="OH"/>
    <s v="02-09-2016"/>
    <n v="1138"/>
    <n v="244"/>
    <n v="21.441124780316343"/>
    <n v="1.4876977152899824"/>
    <n v="1693"/>
    <n v="2.1898066783831283"/>
    <n v="799"/>
    <n v="2492"/>
    <n v="99"/>
    <x v="1"/>
    <x v="3"/>
    <x v="76"/>
    <x v="0"/>
  </r>
  <r>
    <x v="933"/>
    <x v="1"/>
    <n v="6"/>
    <x v="160"/>
    <s v="02-02-2016"/>
    <x v="2"/>
    <x v="15"/>
    <x v="15"/>
    <x v="4"/>
    <n v="3"/>
    <x v="15"/>
    <s v="IL"/>
    <s v="03-02-2016"/>
    <n v="1006"/>
    <n v="307"/>
    <n v="30.516898608349901"/>
    <n v="3.9662027833001989"/>
    <n v="3990"/>
    <n v="4.8001988071570576"/>
    <n v="839"/>
    <n v="4829"/>
    <n v="92"/>
    <x v="1"/>
    <x v="6"/>
    <x v="84"/>
    <x v="0"/>
  </r>
  <r>
    <x v="934"/>
    <x v="1"/>
    <n v="4"/>
    <x v="69"/>
    <s v="21-05-2016"/>
    <x v="7"/>
    <x v="7"/>
    <x v="7"/>
    <x v="5"/>
    <n v="3"/>
    <x v="7"/>
    <s v="WI"/>
    <s v="24-05-2016"/>
    <n v="1165"/>
    <n v="729"/>
    <n v="62.575107296137347"/>
    <n v="1.9510729613733906"/>
    <n v="2273"/>
    <n v="0.61974248927038622"/>
    <n v="-1551"/>
    <n v="722"/>
    <n v="89"/>
    <x v="1"/>
    <x v="9"/>
    <x v="64"/>
    <x v="0"/>
  </r>
  <r>
    <x v="935"/>
    <x v="0"/>
    <n v="8"/>
    <x v="5"/>
    <s v="01-08-2016"/>
    <x v="5"/>
    <x v="3"/>
    <x v="3"/>
    <x v="2"/>
    <n v="3"/>
    <x v="3"/>
    <s v="IL"/>
    <s v="04-08-2016"/>
    <n v="511"/>
    <n v="511"/>
    <n v="100"/>
    <n v="7.545988258317025"/>
    <n v="3856"/>
    <n v="8.4520547945205475"/>
    <n v="463"/>
    <n v="4319"/>
    <n v="66"/>
    <x v="1"/>
    <x v="5"/>
    <x v="64"/>
    <x v="0"/>
  </r>
  <r>
    <x v="936"/>
    <x v="0"/>
    <n v="7"/>
    <x v="236"/>
    <s v="10-01-2016"/>
    <x v="4"/>
    <x v="0"/>
    <x v="0"/>
    <x v="0"/>
    <n v="3"/>
    <x v="0"/>
    <s v="MI"/>
    <s v="13-01-2016"/>
    <n v="326"/>
    <n v="326"/>
    <n v="100"/>
    <n v="11.680981595092025"/>
    <n v="3808"/>
    <n v="12.55521472392638"/>
    <n v="285"/>
    <n v="4093"/>
    <n v="80"/>
    <x v="1"/>
    <x v="7"/>
    <x v="64"/>
    <x v="0"/>
  </r>
  <r>
    <x v="937"/>
    <x v="1"/>
    <n v="6"/>
    <x v="51"/>
    <s v="17-05-2016"/>
    <x v="7"/>
    <x v="10"/>
    <x v="10"/>
    <x v="1"/>
    <n v="3"/>
    <x v="10"/>
    <s v="IL"/>
    <s v="20-05-2016"/>
    <n v="1019"/>
    <n v="210"/>
    <n v="20.608439646712462"/>
    <n v="5.7899901864573111E-2"/>
    <n v="59"/>
    <n v="0.29048086359175662"/>
    <n v="237"/>
    <n v="296"/>
    <n v="97"/>
    <x v="1"/>
    <x v="8"/>
    <x v="64"/>
    <x v="0"/>
  </r>
  <r>
    <x v="938"/>
    <x v="1"/>
    <n v="5"/>
    <x v="204"/>
    <s v="29-03-2016"/>
    <x v="1"/>
    <x v="14"/>
    <x v="14"/>
    <x v="1"/>
    <n v="3"/>
    <x v="14"/>
    <s v="IL"/>
    <s v="01-04-2016"/>
    <n v="635"/>
    <n v="426"/>
    <n v="67.086614173228341"/>
    <n v="11.623622047244094"/>
    <n v="7381"/>
    <n v="12.703937007874016"/>
    <n v="686"/>
    <n v="8067"/>
    <n v="97"/>
    <x v="1"/>
    <x v="0"/>
    <x v="64"/>
    <x v="0"/>
  </r>
  <r>
    <x v="939"/>
    <x v="1"/>
    <n v="6"/>
    <x v="162"/>
    <s v="20-07-2016"/>
    <x v="3"/>
    <x v="6"/>
    <x v="6"/>
    <x v="4"/>
    <n v="3"/>
    <x v="6"/>
    <s v="IN"/>
    <s v="23-07-2016"/>
    <n v="453"/>
    <n v="453"/>
    <n v="100"/>
    <n v="0.40397350993377484"/>
    <n v="183"/>
    <n v="0.68653421633554079"/>
    <n v="128"/>
    <n v="311"/>
    <n v="75"/>
    <x v="1"/>
    <x v="2"/>
    <x v="64"/>
    <x v="0"/>
  </r>
  <r>
    <x v="940"/>
    <x v="1"/>
    <n v="8"/>
    <x v="107"/>
    <s v="06-08-2016"/>
    <x v="5"/>
    <x v="13"/>
    <x v="13"/>
    <x v="1"/>
    <n v="3"/>
    <x v="13"/>
    <s v="OH"/>
    <s v="06-08-2016"/>
    <n v="255"/>
    <n v="255"/>
    <n v="100"/>
    <n v="12.925490196078432"/>
    <n v="3296"/>
    <n v="16.75686274509804"/>
    <n v="977"/>
    <n v="4273"/>
    <n v="50"/>
    <x v="1"/>
    <x v="5"/>
    <x v="85"/>
    <x v="1"/>
  </r>
  <r>
    <x v="941"/>
    <x v="0"/>
    <n v="7"/>
    <x v="73"/>
    <s v="17-01-2016"/>
    <x v="4"/>
    <x v="19"/>
    <x v="19"/>
    <x v="0"/>
    <n v="3"/>
    <x v="19"/>
    <s v="WI"/>
    <s v="20-01-2016"/>
    <n v="567"/>
    <n v="404"/>
    <n v="71.25220458553791"/>
    <n v="0.19929453262786595"/>
    <n v="113"/>
    <n v="0.73721340388007051"/>
    <n v="305"/>
    <n v="418"/>
    <n v="90"/>
    <x v="1"/>
    <x v="6"/>
    <x v="64"/>
    <x v="0"/>
  </r>
  <r>
    <x v="942"/>
    <x v="0"/>
    <n v="7"/>
    <x v="54"/>
    <s v="02-01-2016"/>
    <x v="4"/>
    <x v="6"/>
    <x v="6"/>
    <x v="4"/>
    <n v="3"/>
    <x v="6"/>
    <s v="IN"/>
    <s v="05-01-2016"/>
    <n v="724"/>
    <n v="314"/>
    <n v="43.370165745856355"/>
    <n v="3.0055248618784529"/>
    <n v="2176"/>
    <n v="4.0511049723756907"/>
    <n v="757"/>
    <n v="2933"/>
    <n v="59"/>
    <x v="1"/>
    <x v="7"/>
    <x v="64"/>
    <x v="0"/>
  </r>
  <r>
    <x v="943"/>
    <x v="1"/>
    <n v="8"/>
    <x v="208"/>
    <s v="28-04-2016"/>
    <x v="0"/>
    <x v="4"/>
    <x v="4"/>
    <x v="2"/>
    <n v="3"/>
    <x v="4"/>
    <s v="MI"/>
    <s v="01-05-2016"/>
    <n v="355"/>
    <n v="355"/>
    <n v="100"/>
    <n v="3.2056338028169016"/>
    <n v="1138"/>
    <n v="4.7943661971830984"/>
    <n v="564"/>
    <n v="1702"/>
    <n v="53"/>
    <x v="1"/>
    <x v="8"/>
    <x v="64"/>
    <x v="0"/>
  </r>
  <r>
    <x v="944"/>
    <x v="1"/>
    <n v="7"/>
    <x v="265"/>
    <s v="11-07-2016"/>
    <x v="3"/>
    <x v="1"/>
    <x v="1"/>
    <x v="1"/>
    <n v="3"/>
    <x v="1"/>
    <s v="WI"/>
    <s v="14-07-2016"/>
    <n v="963"/>
    <n v="301"/>
    <n v="31.256490134994806"/>
    <n v="6.29595015576324"/>
    <n v="6063"/>
    <n v="7.2128764278296993"/>
    <n v="883"/>
    <n v="6946"/>
    <n v="80"/>
    <x v="1"/>
    <x v="2"/>
    <x v="64"/>
    <x v="0"/>
  </r>
  <r>
    <x v="945"/>
    <x v="1"/>
    <n v="5"/>
    <x v="176"/>
    <s v="03-06-2016"/>
    <x v="6"/>
    <x v="11"/>
    <x v="11"/>
    <x v="2"/>
    <n v="3"/>
    <x v="11"/>
    <s v="MI"/>
    <s v="06-06-2016"/>
    <n v="456"/>
    <n v="456"/>
    <n v="100"/>
    <n v="15.49780701754386"/>
    <n v="7067"/>
    <n v="17.07017543859649"/>
    <n v="717"/>
    <n v="7784"/>
    <n v="64"/>
    <x v="1"/>
    <x v="3"/>
    <x v="64"/>
    <x v="0"/>
  </r>
  <r>
    <x v="946"/>
    <x v="0"/>
    <n v="5"/>
    <x v="223"/>
    <s v="31-08-2016"/>
    <x v="5"/>
    <x v="9"/>
    <x v="9"/>
    <x v="3"/>
    <n v="3"/>
    <x v="9"/>
    <s v="IN"/>
    <s v="03-09-2016"/>
    <n v="1041"/>
    <n v="359"/>
    <n v="34.486071085494721"/>
    <n v="2.1027857829010568"/>
    <n v="2189"/>
    <n v="2.5485110470701251"/>
    <n v="464"/>
    <n v="2653"/>
    <n v="57"/>
    <x v="1"/>
    <x v="9"/>
    <x v="64"/>
    <x v="0"/>
  </r>
  <r>
    <x v="947"/>
    <x v="1"/>
    <n v="5"/>
    <x v="56"/>
    <s v="20-03-2016"/>
    <x v="1"/>
    <x v="23"/>
    <x v="23"/>
    <x v="1"/>
    <n v="3"/>
    <x v="23"/>
    <s v="WI"/>
    <s v="23-03-2016"/>
    <n v="537"/>
    <n v="249"/>
    <n v="46.368715083798882"/>
    <n v="2.6815642458100557"/>
    <n v="1440"/>
    <n v="4.033519553072626"/>
    <n v="726"/>
    <n v="2166"/>
    <n v="50"/>
    <x v="1"/>
    <x v="2"/>
    <x v="64"/>
    <x v="0"/>
  </r>
  <r>
    <x v="948"/>
    <x v="1"/>
    <n v="5"/>
    <x v="210"/>
    <s v="03-05-2016"/>
    <x v="7"/>
    <x v="0"/>
    <x v="0"/>
    <x v="0"/>
    <n v="3"/>
    <x v="0"/>
    <s v="MI"/>
    <s v="06-05-2016"/>
    <n v="573"/>
    <n v="571"/>
    <n v="99.650959860383949"/>
    <n v="9.3926701570680624"/>
    <n v="5382"/>
    <n v="10.678883071553228"/>
    <n v="737"/>
    <n v="6119"/>
    <n v="56"/>
    <x v="1"/>
    <x v="8"/>
    <x v="64"/>
    <x v="0"/>
  </r>
  <r>
    <x v="949"/>
    <x v="1"/>
    <n v="7"/>
    <x v="177"/>
    <s v="26-05-2016"/>
    <x v="7"/>
    <x v="20"/>
    <x v="20"/>
    <x v="1"/>
    <n v="3"/>
    <x v="20"/>
    <s v="IL"/>
    <s v="29-05-2016"/>
    <n v="531"/>
    <n v="531"/>
    <n v="100"/>
    <n v="15.190207156308851"/>
    <n v="8066"/>
    <n v="16.937853107344633"/>
    <n v="928"/>
    <n v="8994"/>
    <n v="58"/>
    <x v="1"/>
    <x v="1"/>
    <x v="64"/>
    <x v="0"/>
  </r>
  <r>
    <x v="950"/>
    <x v="1"/>
    <n v="6"/>
    <x v="77"/>
    <s v="14-05-2016"/>
    <x v="7"/>
    <x v="14"/>
    <x v="14"/>
    <x v="1"/>
    <n v="3"/>
    <x v="14"/>
    <s v="IL"/>
    <s v="17-05-2016"/>
    <n v="861"/>
    <n v="429"/>
    <n v="49.825783972125436"/>
    <n v="1.8060394889663183"/>
    <n v="1555"/>
    <n v="2.6469221835075492"/>
    <n v="724"/>
    <n v="2279"/>
    <n v="70"/>
    <x v="1"/>
    <x v="7"/>
    <x v="64"/>
    <x v="0"/>
  </r>
  <r>
    <x v="951"/>
    <x v="0"/>
    <n v="6"/>
    <x v="164"/>
    <s v="02-06-2016"/>
    <x v="6"/>
    <x v="2"/>
    <x v="2"/>
    <x v="1"/>
    <n v="3"/>
    <x v="2"/>
    <s v="IL"/>
    <s v="05-06-2016"/>
    <n v="915"/>
    <n v="594"/>
    <n v="64.918032786885249"/>
    <n v="8.4371584699453557"/>
    <n v="7720"/>
    <n v="8.7846994535519123"/>
    <n v="318"/>
    <n v="8038"/>
    <n v="61"/>
    <x v="1"/>
    <x v="9"/>
    <x v="64"/>
    <x v="0"/>
  </r>
  <r>
    <x v="952"/>
    <x v="1"/>
    <n v="5"/>
    <x v="185"/>
    <s v="11-04-2016"/>
    <x v="0"/>
    <x v="9"/>
    <x v="9"/>
    <x v="3"/>
    <n v="3"/>
    <x v="9"/>
    <s v="IN"/>
    <s v="14-04-2016"/>
    <n v="1025"/>
    <n v="480"/>
    <n v="46.829268292682933"/>
    <n v="2.1102439024390245"/>
    <n v="2163"/>
    <n v="2.9726829268292683"/>
    <n v="884"/>
    <n v="3047"/>
    <n v="55"/>
    <x v="1"/>
    <x v="6"/>
    <x v="64"/>
    <x v="0"/>
  </r>
  <r>
    <x v="953"/>
    <x v="1"/>
    <n v="8"/>
    <x v="96"/>
    <s v="11-01-2016"/>
    <x v="4"/>
    <x v="6"/>
    <x v="6"/>
    <x v="4"/>
    <n v="3"/>
    <x v="6"/>
    <s v="IN"/>
    <s v="14-01-2016"/>
    <n v="1054"/>
    <n v="353"/>
    <n v="33.491461100569261"/>
    <n v="6.1916508538899429"/>
    <n v="6526"/>
    <n v="6.5417457305502849"/>
    <n v="369"/>
    <n v="6895"/>
    <n v="61"/>
    <x v="1"/>
    <x v="4"/>
    <x v="64"/>
    <x v="0"/>
  </r>
  <r>
    <x v="954"/>
    <x v="0"/>
    <n v="6"/>
    <x v="186"/>
    <s v="07-02-2016"/>
    <x v="2"/>
    <x v="20"/>
    <x v="20"/>
    <x v="1"/>
    <n v="3"/>
    <x v="20"/>
    <s v="IL"/>
    <s v="10-02-2016"/>
    <n v="373"/>
    <n v="207"/>
    <n v="55.495978552278821"/>
    <n v="18.394101876675602"/>
    <n v="6861"/>
    <n v="19.061662198391421"/>
    <n v="249"/>
    <n v="7110"/>
    <n v="67"/>
    <x v="1"/>
    <x v="7"/>
    <x v="64"/>
    <x v="0"/>
  </r>
  <r>
    <x v="955"/>
    <x v="0"/>
    <n v="8"/>
    <x v="213"/>
    <s v="15-03-2016"/>
    <x v="1"/>
    <x v="12"/>
    <x v="12"/>
    <x v="3"/>
    <n v="3"/>
    <x v="12"/>
    <s v="MI"/>
    <s v="18-03-2016"/>
    <n v="525"/>
    <n v="525"/>
    <n v="100"/>
    <n v="12.792380952380952"/>
    <n v="6716"/>
    <n v="14.083809523809524"/>
    <n v="678"/>
    <n v="7394"/>
    <n v="82"/>
    <x v="1"/>
    <x v="0"/>
    <x v="64"/>
    <x v="0"/>
  </r>
  <r>
    <x v="956"/>
    <x v="1"/>
    <n v="6"/>
    <x v="97"/>
    <s v="26-04-2016"/>
    <x v="0"/>
    <x v="14"/>
    <x v="14"/>
    <x v="1"/>
    <n v="3"/>
    <x v="14"/>
    <s v="IL"/>
    <s v="29-04-2016"/>
    <n v="1046"/>
    <n v="374"/>
    <n v="35.755258126195031"/>
    <n v="3.1892925430210326"/>
    <n v="3336"/>
    <n v="3.652963671128107"/>
    <n v="485"/>
    <n v="3821"/>
    <n v="96"/>
    <x v="1"/>
    <x v="0"/>
    <x v="64"/>
    <x v="0"/>
  </r>
  <r>
    <x v="957"/>
    <x v="0"/>
    <n v="7"/>
    <x v="78"/>
    <s v="06-08-2016"/>
    <x v="5"/>
    <x v="21"/>
    <x v="21"/>
    <x v="2"/>
    <n v="3"/>
    <x v="21"/>
    <s v="IL"/>
    <s v="09-08-2016"/>
    <n v="643"/>
    <n v="599"/>
    <n v="93.157076205287709"/>
    <n v="2.6236391912908243"/>
    <n v="1687"/>
    <n v="4.0046656298600309"/>
    <n v="888"/>
    <n v="2575"/>
    <n v="63"/>
    <x v="1"/>
    <x v="4"/>
    <x v="64"/>
    <x v="0"/>
  </r>
  <r>
    <x v="958"/>
    <x v="1"/>
    <n v="6"/>
    <x v="62"/>
    <s v="23-08-2016"/>
    <x v="5"/>
    <x v="1"/>
    <x v="1"/>
    <x v="1"/>
    <n v="3"/>
    <x v="1"/>
    <s v="WI"/>
    <s v="26-08-2016"/>
    <n v="1121"/>
    <n v="410"/>
    <n v="36.574487065120422"/>
    <n v="6.3264942016057093"/>
    <n v="7092"/>
    <n v="6.683318465655665"/>
    <n v="400"/>
    <n v="7492"/>
    <n v="98"/>
    <x v="1"/>
    <x v="1"/>
    <x v="64"/>
    <x v="0"/>
  </r>
  <r>
    <x v="959"/>
    <x v="1"/>
    <n v="8"/>
    <x v="82"/>
    <s v="20-08-2016"/>
    <x v="5"/>
    <x v="11"/>
    <x v="11"/>
    <x v="2"/>
    <n v="3"/>
    <x v="11"/>
    <s v="MI"/>
    <s v="23-08-2016"/>
    <n v="526"/>
    <n v="335"/>
    <n v="63.688212927756652"/>
    <n v="3.9695817490494298"/>
    <n v="2088"/>
    <n v="4.7813688212927756"/>
    <n v="427"/>
    <n v="2515"/>
    <n v="67"/>
    <x v="1"/>
    <x v="1"/>
    <x v="64"/>
    <x v="0"/>
  </r>
  <r>
    <x v="960"/>
    <x v="0"/>
    <n v="6"/>
    <x v="228"/>
    <s v="05-06-2016"/>
    <x v="6"/>
    <x v="6"/>
    <x v="6"/>
    <x v="4"/>
    <n v="3"/>
    <x v="6"/>
    <s v="IN"/>
    <s v="08-06-2016"/>
    <n v="390"/>
    <n v="320"/>
    <n v="82.051282051282044"/>
    <n v="6.0307692307692307"/>
    <n v="2352"/>
    <n v="7.8384615384615381"/>
    <n v="705"/>
    <n v="3057"/>
    <n v="75"/>
    <x v="1"/>
    <x v="5"/>
    <x v="64"/>
    <x v="0"/>
  </r>
  <r>
    <x v="961"/>
    <x v="0"/>
    <n v="7"/>
    <x v="169"/>
    <s v="16-04-2016"/>
    <x v="0"/>
    <x v="14"/>
    <x v="14"/>
    <x v="1"/>
    <n v="3"/>
    <x v="14"/>
    <s v="IL"/>
    <s v="19-04-2016"/>
    <n v="271"/>
    <n v="209"/>
    <n v="77.12177121771218"/>
    <n v="21.778597785977858"/>
    <n v="5902"/>
    <n v="23.845018450184501"/>
    <n v="560"/>
    <n v="6462"/>
    <n v="79"/>
    <x v="1"/>
    <x v="1"/>
    <x v="64"/>
    <x v="0"/>
  </r>
  <r>
    <x v="962"/>
    <x v="1"/>
    <n v="5"/>
    <x v="298"/>
    <s v="11-07-2016"/>
    <x v="3"/>
    <x v="22"/>
    <x v="22"/>
    <x v="0"/>
    <n v="3"/>
    <x v="22"/>
    <s v="IL"/>
    <s v="14-07-2016"/>
    <n v="880"/>
    <n v="256"/>
    <n v="29.09090909090909"/>
    <n v="1.8238636363636365"/>
    <n v="1605"/>
    <n v="2.6806818181818182"/>
    <n v="754"/>
    <n v="2359"/>
    <n v="74"/>
    <x v="1"/>
    <x v="6"/>
    <x v="64"/>
    <x v="0"/>
  </r>
  <r>
    <x v="963"/>
    <x v="1"/>
    <n v="8"/>
    <x v="63"/>
    <s v="18-05-2016"/>
    <x v="7"/>
    <x v="4"/>
    <x v="4"/>
    <x v="2"/>
    <n v="3"/>
    <x v="4"/>
    <s v="MI"/>
    <s v="21-05-2016"/>
    <n v="1046"/>
    <n v="708"/>
    <n v="67.686424474187376"/>
    <n v="2.7380497131931167"/>
    <n v="2864"/>
    <n v="3.0994263862332696"/>
    <n v="378"/>
    <n v="3242"/>
    <n v="75"/>
    <x v="1"/>
    <x v="6"/>
    <x v="64"/>
    <x v="0"/>
  </r>
  <r>
    <x v="964"/>
    <x v="0"/>
    <n v="4"/>
    <x v="312"/>
    <s v="02-07-2016"/>
    <x v="3"/>
    <x v="18"/>
    <x v="18"/>
    <x v="1"/>
    <n v="3"/>
    <x v="18"/>
    <s v="IN"/>
    <s v="05-07-2016"/>
    <n v="254"/>
    <n v="246"/>
    <n v="96.850393700787393"/>
    <n v="27.641732283464567"/>
    <n v="7021"/>
    <n v="18.464566929133859"/>
    <n v="-2331"/>
    <n v="4690"/>
    <n v="71"/>
    <x v="1"/>
    <x v="3"/>
    <x v="64"/>
    <x v="0"/>
  </r>
  <r>
    <x v="965"/>
    <x v="0"/>
    <n v="6"/>
    <x v="20"/>
    <s v="09-01-2016"/>
    <x v="4"/>
    <x v="11"/>
    <x v="11"/>
    <x v="2"/>
    <n v="3"/>
    <x v="11"/>
    <s v="MI"/>
    <s v="12-01-2016"/>
    <n v="1057"/>
    <n v="534"/>
    <n v="50.520340586565752"/>
    <n v="4.8249763481551564E-2"/>
    <n v="51"/>
    <n v="0.98202459791863761"/>
    <n v="987"/>
    <n v="1038"/>
    <n v="65"/>
    <x v="1"/>
    <x v="7"/>
    <x v="64"/>
    <x v="0"/>
  </r>
  <r>
    <x v="966"/>
    <x v="1"/>
    <n v="4"/>
    <x v="229"/>
    <s v="27-02-2016"/>
    <x v="2"/>
    <x v="7"/>
    <x v="7"/>
    <x v="5"/>
    <n v="3"/>
    <x v="7"/>
    <s v="WI"/>
    <s v="01-03-2016"/>
    <n v="349"/>
    <n v="349"/>
    <n v="100"/>
    <n v="22.011461318051577"/>
    <n v="7682"/>
    <n v="17.002865329512893"/>
    <n v="-1748"/>
    <n v="5934"/>
    <n v="58"/>
    <x v="1"/>
    <x v="9"/>
    <x v="64"/>
    <x v="0"/>
  </r>
  <r>
    <x v="967"/>
    <x v="1"/>
    <n v="7"/>
    <x v="316"/>
    <s v="19-03-2016"/>
    <x v="1"/>
    <x v="17"/>
    <x v="17"/>
    <x v="3"/>
    <n v="3"/>
    <x v="17"/>
    <s v="OH"/>
    <s v="22-03-2016"/>
    <n v="1088"/>
    <n v="202"/>
    <n v="18.566176470588236"/>
    <n v="2.7573529411764705E-2"/>
    <n v="30"/>
    <n v="0.75459558823529416"/>
    <n v="791"/>
    <n v="821"/>
    <n v="69"/>
    <x v="1"/>
    <x v="9"/>
    <x v="64"/>
    <x v="0"/>
  </r>
  <r>
    <x v="968"/>
    <x v="0"/>
    <n v="6"/>
    <x v="273"/>
    <s v="01-05-2016"/>
    <x v="7"/>
    <x v="9"/>
    <x v="9"/>
    <x v="3"/>
    <n v="3"/>
    <x v="9"/>
    <s v="IN"/>
    <s v="04-05-2016"/>
    <n v="1058"/>
    <n v="423"/>
    <n v="39.981096408317576"/>
    <n v="5.2712665406427224"/>
    <n v="5577"/>
    <n v="5.6181474480151232"/>
    <n v="367"/>
    <n v="5944"/>
    <n v="93"/>
    <x v="1"/>
    <x v="6"/>
    <x v="64"/>
    <x v="0"/>
  </r>
  <r>
    <x v="969"/>
    <x v="0"/>
    <n v="5"/>
    <x v="313"/>
    <s v="27-05-2016"/>
    <x v="7"/>
    <x v="23"/>
    <x v="23"/>
    <x v="1"/>
    <n v="3"/>
    <x v="23"/>
    <s v="WI"/>
    <s v="30-05-2016"/>
    <n v="205"/>
    <n v="205"/>
    <n v="100"/>
    <n v="38.897560975609757"/>
    <n v="7974"/>
    <n v="43.502439024390242"/>
    <n v="944"/>
    <n v="8918"/>
    <n v="54"/>
    <x v="1"/>
    <x v="8"/>
    <x v="64"/>
    <x v="0"/>
  </r>
  <r>
    <x v="970"/>
    <x v="0"/>
    <n v="8"/>
    <x v="83"/>
    <s v="02-07-2016"/>
    <x v="3"/>
    <x v="20"/>
    <x v="20"/>
    <x v="1"/>
    <n v="3"/>
    <x v="20"/>
    <s v="IL"/>
    <s v="05-07-2016"/>
    <n v="432"/>
    <n v="432"/>
    <n v="100"/>
    <n v="13.958333333333334"/>
    <n v="6030"/>
    <n v="15.905092592592593"/>
    <n v="841"/>
    <n v="6871"/>
    <n v="65"/>
    <x v="1"/>
    <x v="2"/>
    <x v="64"/>
    <x v="0"/>
  </r>
  <r>
    <x v="971"/>
    <x v="1"/>
    <n v="7"/>
    <x v="84"/>
    <s v="28-07-2016"/>
    <x v="3"/>
    <x v="10"/>
    <x v="10"/>
    <x v="1"/>
    <n v="3"/>
    <x v="10"/>
    <s v="IL"/>
    <s v="31-07-2016"/>
    <n v="989"/>
    <n v="385"/>
    <n v="38.928210313447927"/>
    <n v="4.7755308392315472"/>
    <n v="4723"/>
    <n v="5.5085945399393328"/>
    <n v="725"/>
    <n v="5448"/>
    <n v="94"/>
    <x v="1"/>
    <x v="1"/>
    <x v="64"/>
    <x v="0"/>
  </r>
  <r>
    <x v="972"/>
    <x v="1"/>
    <n v="5"/>
    <x v="158"/>
    <s v="27-04-2016"/>
    <x v="0"/>
    <x v="14"/>
    <x v="14"/>
    <x v="1"/>
    <n v="3"/>
    <x v="14"/>
    <s v="IL"/>
    <s v="30-04-2016"/>
    <n v="409"/>
    <n v="257"/>
    <n v="62.836185819070899"/>
    <n v="5.3667481662591685"/>
    <n v="2195"/>
    <n v="7.2102689486552567"/>
    <n v="754"/>
    <n v="2949"/>
    <n v="83"/>
    <x v="1"/>
    <x v="2"/>
    <x v="64"/>
    <x v="0"/>
  </r>
  <r>
    <x v="973"/>
    <x v="0"/>
    <n v="6"/>
    <x v="216"/>
    <s v="15-08-2016"/>
    <x v="5"/>
    <x v="2"/>
    <x v="2"/>
    <x v="1"/>
    <n v="3"/>
    <x v="2"/>
    <s v="IL"/>
    <s v="18-08-2016"/>
    <n v="1159"/>
    <n v="778"/>
    <n v="67.126833477135463"/>
    <n v="3.1475409836065573"/>
    <n v="3648"/>
    <n v="3.9318377911993099"/>
    <n v="909"/>
    <n v="4557"/>
    <n v="97"/>
    <x v="1"/>
    <x v="1"/>
    <x v="64"/>
    <x v="0"/>
  </r>
  <r>
    <x v="974"/>
    <x v="0"/>
    <n v="7"/>
    <x v="284"/>
    <s v="20-07-2016"/>
    <x v="3"/>
    <x v="16"/>
    <x v="16"/>
    <x v="4"/>
    <n v="3"/>
    <x v="16"/>
    <s v="MI"/>
    <s v="23-07-2016"/>
    <n v="261"/>
    <n v="261"/>
    <n v="100"/>
    <n v="3.0153256704980844"/>
    <n v="787"/>
    <n v="6.6513409961685825"/>
    <n v="949"/>
    <n v="1736"/>
    <n v="69"/>
    <x v="1"/>
    <x v="0"/>
    <x v="64"/>
    <x v="0"/>
  </r>
  <r>
    <x v="975"/>
    <x v="1"/>
    <n v="4"/>
    <x v="314"/>
    <s v="13-03-2016"/>
    <x v="1"/>
    <x v="17"/>
    <x v="17"/>
    <x v="3"/>
    <n v="3"/>
    <x v="17"/>
    <s v="OH"/>
    <s v="16-03-2016"/>
    <n v="999"/>
    <n v="574"/>
    <n v="57.457457457457458"/>
    <n v="1.5695695695695695"/>
    <n v="1568"/>
    <n v="5.1051051051051052E-2"/>
    <n v="-1517"/>
    <n v="51"/>
    <n v="54"/>
    <x v="1"/>
    <x v="4"/>
    <x v="64"/>
    <x v="0"/>
  </r>
  <r>
    <x v="976"/>
    <x v="0"/>
    <n v="7"/>
    <x v="240"/>
    <s v="20-03-2016"/>
    <x v="1"/>
    <x v="3"/>
    <x v="3"/>
    <x v="2"/>
    <n v="3"/>
    <x v="3"/>
    <s v="IL"/>
    <s v="23-03-2016"/>
    <n v="1013"/>
    <n v="492"/>
    <n v="48.568608094768017"/>
    <n v="0.77295162882527146"/>
    <n v="783"/>
    <n v="1.6890424481737414"/>
    <n v="928"/>
    <n v="1711"/>
    <n v="64"/>
    <x v="1"/>
    <x v="0"/>
    <x v="64"/>
    <x v="0"/>
  </r>
  <r>
    <x v="977"/>
    <x v="1"/>
    <n v="6"/>
    <x v="118"/>
    <s v="05-06-2016"/>
    <x v="6"/>
    <x v="10"/>
    <x v="10"/>
    <x v="1"/>
    <n v="3"/>
    <x v="10"/>
    <s v="IL"/>
    <s v="08-06-2016"/>
    <n v="651"/>
    <n v="632"/>
    <n v="97.081413210445461"/>
    <n v="7.4654377880184333"/>
    <n v="4860"/>
    <n v="8.7066052227342556"/>
    <n v="808"/>
    <n v="5668"/>
    <n v="97"/>
    <x v="1"/>
    <x v="8"/>
    <x v="64"/>
    <x v="0"/>
  </r>
  <r>
    <x v="978"/>
    <x v="1"/>
    <n v="7"/>
    <x v="294"/>
    <s v="27-01-2016"/>
    <x v="4"/>
    <x v="16"/>
    <x v="16"/>
    <x v="4"/>
    <n v="3"/>
    <x v="16"/>
    <s v="MI"/>
    <s v="30-01-2016"/>
    <n v="328"/>
    <n v="328"/>
    <n v="100"/>
    <n v="16.314024390243901"/>
    <n v="5351"/>
    <n v="17.121951219512194"/>
    <n v="265"/>
    <n v="5616"/>
    <n v="82"/>
    <x v="1"/>
    <x v="6"/>
    <x v="64"/>
    <x v="0"/>
  </r>
  <r>
    <x v="979"/>
    <x v="0"/>
    <n v="8"/>
    <x v="87"/>
    <s v="20-05-2016"/>
    <x v="7"/>
    <x v="5"/>
    <x v="5"/>
    <x v="3"/>
    <n v="3"/>
    <x v="5"/>
    <s v="IA"/>
    <s v="23-05-2016"/>
    <n v="1123"/>
    <n v="415"/>
    <n v="36.954585930543189"/>
    <n v="2.4122885129118434"/>
    <n v="2709"/>
    <n v="3.135351736420303"/>
    <n v="812"/>
    <n v="3521"/>
    <n v="74"/>
    <x v="1"/>
    <x v="0"/>
    <x v="64"/>
    <x v="0"/>
  </r>
  <r>
    <x v="980"/>
    <x v="1"/>
    <n v="4"/>
    <x v="295"/>
    <s v="06-01-2016"/>
    <x v="4"/>
    <x v="1"/>
    <x v="1"/>
    <x v="1"/>
    <n v="3"/>
    <x v="1"/>
    <s v="WI"/>
    <s v="09-01-2016"/>
    <n v="419"/>
    <n v="419"/>
    <n v="100"/>
    <n v="15.064439140811455"/>
    <n v="6312"/>
    <n v="10.186157517899762"/>
    <n v="-2044"/>
    <n v="4268"/>
    <n v="93"/>
    <x v="1"/>
    <x v="7"/>
    <x v="64"/>
    <x v="0"/>
  </r>
  <r>
    <x v="981"/>
    <x v="1"/>
    <n v="7"/>
    <x v="193"/>
    <s v="06-05-2016"/>
    <x v="7"/>
    <x v="0"/>
    <x v="0"/>
    <x v="0"/>
    <n v="3"/>
    <x v="0"/>
    <s v="MI"/>
    <s v="09-05-2016"/>
    <n v="721"/>
    <n v="541"/>
    <n v="75.034674063800281"/>
    <n v="3.6560332871012484"/>
    <n v="2636"/>
    <n v="4.7267683772538138"/>
    <n v="772"/>
    <n v="3408"/>
    <n v="82"/>
    <x v="1"/>
    <x v="1"/>
    <x v="64"/>
    <x v="0"/>
  </r>
  <r>
    <x v="982"/>
    <x v="0"/>
    <n v="4"/>
    <x v="161"/>
    <s v="25-06-2016"/>
    <x v="6"/>
    <x v="21"/>
    <x v="21"/>
    <x v="2"/>
    <n v="3"/>
    <x v="21"/>
    <s v="IL"/>
    <s v="28-06-2016"/>
    <n v="1141"/>
    <n v="420"/>
    <n v="36.809815950920246"/>
    <n v="5.2506573181419807"/>
    <n v="5991"/>
    <n v="3.1051709027169152"/>
    <n v="-2448"/>
    <n v="3543"/>
    <n v="60"/>
    <x v="1"/>
    <x v="0"/>
    <x v="64"/>
    <x v="0"/>
  </r>
  <r>
    <x v="983"/>
    <x v="0"/>
    <n v="8"/>
    <x v="8"/>
    <s v="03-02-2016"/>
    <x v="2"/>
    <x v="1"/>
    <x v="1"/>
    <x v="1"/>
    <n v="3"/>
    <x v="1"/>
    <s v="WI"/>
    <s v="06-02-2016"/>
    <n v="1069"/>
    <n v="561"/>
    <n v="52.47895229186156"/>
    <n v="0.39943872778297473"/>
    <n v="427"/>
    <n v="0.80355472404116002"/>
    <n v="432"/>
    <n v="859"/>
    <n v="84"/>
    <x v="1"/>
    <x v="9"/>
    <x v="64"/>
    <x v="0"/>
  </r>
  <r>
    <x v="984"/>
    <x v="0"/>
    <n v="6"/>
    <x v="249"/>
    <s v="24-03-2016"/>
    <x v="1"/>
    <x v="15"/>
    <x v="15"/>
    <x v="4"/>
    <n v="3"/>
    <x v="15"/>
    <s v="IL"/>
    <s v="24-03-2016"/>
    <n v="778"/>
    <n v="758"/>
    <n v="97.429305912596391"/>
    <n v="3.9473007712082264"/>
    <n v="3071"/>
    <n v="4.8598971722365034"/>
    <n v="710"/>
    <n v="3781"/>
    <n v="54"/>
    <x v="1"/>
    <x v="1"/>
    <x v="85"/>
    <x v="1"/>
  </r>
  <r>
    <x v="985"/>
    <x v="1"/>
    <n v="6"/>
    <x v="257"/>
    <s v="19-05-2016"/>
    <x v="7"/>
    <x v="20"/>
    <x v="20"/>
    <x v="1"/>
    <n v="3"/>
    <x v="20"/>
    <s v="IL"/>
    <s v="22-05-2016"/>
    <n v="1171"/>
    <n v="798"/>
    <n v="68.146883005977799"/>
    <n v="2.1485909479077709"/>
    <n v="2516"/>
    <n v="2.6276686592655851"/>
    <n v="561"/>
    <n v="3077"/>
    <n v="77"/>
    <x v="1"/>
    <x v="3"/>
    <x v="64"/>
    <x v="0"/>
  </r>
  <r>
    <x v="986"/>
    <x v="1"/>
    <n v="4"/>
    <x v="72"/>
    <s v="05-06-2016"/>
    <x v="6"/>
    <x v="2"/>
    <x v="2"/>
    <x v="1"/>
    <n v="3"/>
    <x v="2"/>
    <s v="IL"/>
    <s v="08-06-2016"/>
    <n v="1145"/>
    <n v="578"/>
    <n v="50.480349344978173"/>
    <n v="6.9379912663755459"/>
    <n v="7944"/>
    <n v="5.549344978165939"/>
    <n v="-1590"/>
    <n v="6354"/>
    <n v="57"/>
    <x v="1"/>
    <x v="9"/>
    <x v="64"/>
    <x v="0"/>
  </r>
  <r>
    <x v="987"/>
    <x v="1"/>
    <n v="4"/>
    <x v="94"/>
    <s v="04-01-2016"/>
    <x v="4"/>
    <x v="15"/>
    <x v="15"/>
    <x v="4"/>
    <n v="3"/>
    <x v="15"/>
    <s v="IL"/>
    <s v="07-01-2016"/>
    <n v="1163"/>
    <n v="551"/>
    <n v="47.377472055030097"/>
    <n v="5.8460877042132413"/>
    <n v="6799"/>
    <n v="3.5468615649183146"/>
    <n v="-2674"/>
    <n v="4125"/>
    <n v="93"/>
    <x v="1"/>
    <x v="0"/>
    <x v="64"/>
    <x v="0"/>
  </r>
  <r>
    <x v="988"/>
    <x v="1"/>
    <n v="4"/>
    <x v="153"/>
    <s v="13-04-2016"/>
    <x v="0"/>
    <x v="12"/>
    <x v="12"/>
    <x v="3"/>
    <n v="3"/>
    <x v="12"/>
    <s v="MI"/>
    <s v="16-04-2016"/>
    <n v="472"/>
    <n v="472"/>
    <n v="100"/>
    <n v="17.050847457627118"/>
    <n v="8048"/>
    <n v="12.953389830508474"/>
    <n v="-1934"/>
    <n v="6114"/>
    <n v="57"/>
    <x v="1"/>
    <x v="7"/>
    <x v="64"/>
    <x v="0"/>
  </r>
  <r>
    <x v="989"/>
    <x v="0"/>
    <n v="8"/>
    <x v="174"/>
    <s v="02-02-2016"/>
    <x v="2"/>
    <x v="10"/>
    <x v="10"/>
    <x v="1"/>
    <n v="3"/>
    <x v="10"/>
    <s v="IL"/>
    <s v="05-02-2016"/>
    <n v="555"/>
    <n v="555"/>
    <n v="100"/>
    <n v="8.9513513513513505"/>
    <n v="4968"/>
    <n v="9.4180180180180173"/>
    <n v="259"/>
    <n v="5227"/>
    <n v="96"/>
    <x v="1"/>
    <x v="7"/>
    <x v="64"/>
    <x v="0"/>
  </r>
  <r>
    <x v="990"/>
    <x v="0"/>
    <n v="6"/>
    <x v="277"/>
    <s v="19-05-2016"/>
    <x v="7"/>
    <x v="18"/>
    <x v="18"/>
    <x v="1"/>
    <n v="3"/>
    <x v="18"/>
    <s v="IN"/>
    <s v="22-05-2016"/>
    <n v="938"/>
    <n v="244"/>
    <n v="26.012793176972281"/>
    <n v="4.794243070362473"/>
    <n v="4497"/>
    <n v="5.2910447761194028"/>
    <n v="466"/>
    <n v="4963"/>
    <n v="96"/>
    <x v="1"/>
    <x v="8"/>
    <x v="64"/>
    <x v="0"/>
  </r>
  <r>
    <x v="991"/>
    <x v="0"/>
    <n v="5"/>
    <x v="323"/>
    <s v="26-05-2016"/>
    <x v="7"/>
    <x v="15"/>
    <x v="15"/>
    <x v="4"/>
    <n v="3"/>
    <x v="15"/>
    <s v="IL"/>
    <s v="27-05-2016"/>
    <n v="981"/>
    <n v="644"/>
    <n v="65.647298674821613"/>
    <n v="7.4852191641182468"/>
    <n v="7343"/>
    <n v="8.2354740061162079"/>
    <n v="736"/>
    <n v="8079"/>
    <n v="99"/>
    <x v="1"/>
    <x v="8"/>
    <x v="84"/>
    <x v="0"/>
  </r>
  <r>
    <x v="992"/>
    <x v="1"/>
    <n v="8"/>
    <x v="319"/>
    <s v="06-06-2016"/>
    <x v="6"/>
    <x v="8"/>
    <x v="8"/>
    <x v="3"/>
    <n v="3"/>
    <x v="8"/>
    <s v="OH"/>
    <s v="09-06-2016"/>
    <n v="607"/>
    <n v="305"/>
    <n v="50.247116968698514"/>
    <n v="13.650741350906095"/>
    <n v="8286"/>
    <n v="14.369028006589787"/>
    <n v="436"/>
    <n v="8722"/>
    <n v="76"/>
    <x v="1"/>
    <x v="0"/>
    <x v="64"/>
    <x v="0"/>
  </r>
  <r>
    <x v="993"/>
    <x v="0"/>
    <n v="4"/>
    <x v="268"/>
    <s v="14-07-2016"/>
    <x v="3"/>
    <x v="13"/>
    <x v="13"/>
    <x v="1"/>
    <n v="3"/>
    <x v="13"/>
    <s v="OH"/>
    <s v="17-07-2016"/>
    <n v="248"/>
    <n v="248"/>
    <n v="100"/>
    <n v="14.129032258064516"/>
    <n v="3504"/>
    <n v="5.842741935483871"/>
    <n v="-2055"/>
    <n v="1449"/>
    <n v="79"/>
    <x v="1"/>
    <x v="2"/>
    <x v="64"/>
    <x v="0"/>
  </r>
  <r>
    <x v="994"/>
    <x v="0"/>
    <n v="7"/>
    <x v="317"/>
    <s v="20-07-2016"/>
    <x v="3"/>
    <x v="23"/>
    <x v="23"/>
    <x v="1"/>
    <n v="3"/>
    <x v="23"/>
    <s v="WI"/>
    <s v="23-07-2016"/>
    <n v="565"/>
    <n v="331"/>
    <n v="58.584070796460175"/>
    <n v="13.325663716814159"/>
    <n v="7529"/>
    <n v="14.067256637168141"/>
    <n v="419"/>
    <n v="7948"/>
    <n v="94"/>
    <x v="1"/>
    <x v="8"/>
    <x v="64"/>
    <x v="0"/>
  </r>
  <r>
    <x v="995"/>
    <x v="0"/>
    <n v="5"/>
    <x v="75"/>
    <s v="04-04-2016"/>
    <x v="0"/>
    <x v="1"/>
    <x v="1"/>
    <x v="1"/>
    <n v="3"/>
    <x v="1"/>
    <s v="WI"/>
    <s v="07-04-2016"/>
    <n v="549"/>
    <n v="474"/>
    <n v="86.338797814207652"/>
    <n v="11.366120218579235"/>
    <n v="6240"/>
    <n v="12.535519125683059"/>
    <n v="642"/>
    <n v="6882"/>
    <n v="58"/>
    <x v="1"/>
    <x v="8"/>
    <x v="64"/>
    <x v="0"/>
  </r>
  <r>
    <x v="996"/>
    <x v="1"/>
    <n v="8"/>
    <x v="320"/>
    <s v="09-07-2016"/>
    <x v="3"/>
    <x v="15"/>
    <x v="15"/>
    <x v="4"/>
    <n v="3"/>
    <x v="15"/>
    <s v="IL"/>
    <s v="12-07-2016"/>
    <n v="803"/>
    <n v="443"/>
    <n v="55.168119551681194"/>
    <n v="2.2926525529265254"/>
    <n v="1841"/>
    <n v="3.0311332503113326"/>
    <n v="593"/>
    <n v="2434"/>
    <n v="87"/>
    <x v="1"/>
    <x v="9"/>
    <x v="64"/>
    <x v="0"/>
  </r>
  <r>
    <x v="997"/>
    <x v="1"/>
    <n v="8"/>
    <x v="224"/>
    <s v="02-08-2016"/>
    <x v="5"/>
    <x v="18"/>
    <x v="18"/>
    <x v="1"/>
    <n v="3"/>
    <x v="18"/>
    <s v="IN"/>
    <s v="05-08-2016"/>
    <n v="1187"/>
    <n v="624"/>
    <n v="52.569502948609937"/>
    <n v="0.55518112889637738"/>
    <n v="659"/>
    <n v="0.91996630160067394"/>
    <n v="433"/>
    <n v="1092"/>
    <n v="55"/>
    <x v="1"/>
    <x v="0"/>
    <x v="64"/>
    <x v="0"/>
  </r>
  <r>
    <x v="998"/>
    <x v="0"/>
    <n v="8"/>
    <x v="197"/>
    <s v="01-05-2016"/>
    <x v="7"/>
    <x v="11"/>
    <x v="11"/>
    <x v="2"/>
    <n v="3"/>
    <x v="11"/>
    <s v="MI"/>
    <s v="04-05-2016"/>
    <n v="959"/>
    <n v="638"/>
    <n v="66.527632950990608"/>
    <n v="4.9499478623566215"/>
    <n v="4747"/>
    <n v="5.0563086548488005"/>
    <n v="102"/>
    <n v="4849"/>
    <n v="99"/>
    <x v="1"/>
    <x v="9"/>
    <x v="64"/>
    <x v="0"/>
  </r>
  <r>
    <x v="999"/>
    <x v="1"/>
    <n v="6"/>
    <x v="165"/>
    <s v="07-03-2016"/>
    <x v="1"/>
    <x v="17"/>
    <x v="17"/>
    <x v="3"/>
    <n v="3"/>
    <x v="17"/>
    <s v="OH"/>
    <s v="10-03-2016"/>
    <n v="219"/>
    <n v="219"/>
    <n v="100"/>
    <n v="2.2146118721461185"/>
    <n v="485"/>
    <n v="3.2922374429223744"/>
    <n v="236"/>
    <n v="721"/>
    <n v="86"/>
    <x v="1"/>
    <x v="0"/>
    <x v="64"/>
    <x v="0"/>
  </r>
  <r>
    <x v="1000"/>
    <x v="1"/>
    <n v="7"/>
    <x v="198"/>
    <s v="24-08-2016"/>
    <x v="5"/>
    <x v="22"/>
    <x v="22"/>
    <x v="0"/>
    <n v="3"/>
    <x v="22"/>
    <s v="IL"/>
    <s v="24-08-2016"/>
    <n v="523"/>
    <n v="523"/>
    <n v="100"/>
    <n v="15.508604206500957"/>
    <n v="8111"/>
    <n v="15.891013384321223"/>
    <n v="200"/>
    <n v="8311"/>
    <n v="67"/>
    <x v="1"/>
    <x v="7"/>
    <x v="85"/>
    <x v="1"/>
  </r>
  <r>
    <x v="1001"/>
    <x v="1"/>
    <n v="6"/>
    <x v="155"/>
    <s v="04-05-2016"/>
    <x v="7"/>
    <x v="2"/>
    <x v="2"/>
    <x v="1"/>
    <n v="3"/>
    <x v="2"/>
    <s v="IL"/>
    <s v="07-05-2016"/>
    <n v="322"/>
    <n v="322"/>
    <n v="100"/>
    <n v="24.040372670807454"/>
    <n v="7741"/>
    <n v="25.450310559006212"/>
    <n v="454"/>
    <n v="8195"/>
    <n v="53"/>
    <x v="1"/>
    <x v="5"/>
    <x v="64"/>
    <x v="0"/>
  </r>
  <r>
    <x v="1002"/>
    <x v="1"/>
    <n v="2"/>
    <x v="168"/>
    <s v="16-03-2016"/>
    <x v="1"/>
    <x v="16"/>
    <x v="16"/>
    <x v="4"/>
    <n v="3"/>
    <x v="16"/>
    <s v="MI"/>
    <s v="19-03-2016"/>
    <n v="759"/>
    <n v="759"/>
    <n v="100"/>
    <n v="0.42424242424242425"/>
    <n v="322"/>
    <n v="1.0079051383399209"/>
    <n v="443"/>
    <n v="765"/>
    <n v="53"/>
    <x v="1"/>
    <x v="2"/>
    <x v="64"/>
    <x v="0"/>
  </r>
  <r>
    <x v="1003"/>
    <x v="1"/>
    <n v="4"/>
    <x v="80"/>
    <s v="04-02-2016"/>
    <x v="2"/>
    <x v="7"/>
    <x v="7"/>
    <x v="5"/>
    <n v="3"/>
    <x v="7"/>
    <s v="WI"/>
    <s v="07-02-2016"/>
    <n v="470"/>
    <n v="470"/>
    <n v="100"/>
    <n v="7.2574468085106387"/>
    <n v="3411"/>
    <n v="2.3361702127659574"/>
    <n v="-2313"/>
    <n v="1098"/>
    <n v="51"/>
    <x v="1"/>
    <x v="8"/>
    <x v="64"/>
    <x v="0"/>
  </r>
  <r>
    <x v="1004"/>
    <x v="1"/>
    <n v="1"/>
    <x v="188"/>
    <s v="01-04-2016"/>
    <x v="0"/>
    <x v="10"/>
    <x v="10"/>
    <x v="1"/>
    <n v="3"/>
    <x v="10"/>
    <s v="IL"/>
    <s v="04-04-2016"/>
    <n v="565"/>
    <n v="205"/>
    <n v="36.283185840707965"/>
    <n v="1.5079646017699115"/>
    <n v="852"/>
    <n v="10.292035398230089"/>
    <n v="4963"/>
    <n v="5815"/>
    <n v="98"/>
    <x v="1"/>
    <x v="3"/>
    <x v="64"/>
    <x v="0"/>
  </r>
  <r>
    <x v="1005"/>
    <x v="0"/>
    <n v="2"/>
    <x v="100"/>
    <s v="20-03-2016"/>
    <x v="1"/>
    <x v="18"/>
    <x v="18"/>
    <x v="1"/>
    <n v="3"/>
    <x v="18"/>
    <s v="IN"/>
    <s v="23-03-2016"/>
    <n v="763"/>
    <n v="655"/>
    <n v="85.845347313237212"/>
    <n v="1.1585845347313237"/>
    <n v="884"/>
    <n v="1.7588466579292268"/>
    <n v="458"/>
    <n v="1342"/>
    <n v="57"/>
    <x v="1"/>
    <x v="4"/>
    <x v="64"/>
    <x v="0"/>
  </r>
  <r>
    <x v="1006"/>
    <x v="0"/>
    <n v="2"/>
    <x v="169"/>
    <s v="08-06-2016"/>
    <x v="6"/>
    <x v="5"/>
    <x v="5"/>
    <x v="3"/>
    <n v="3"/>
    <x v="5"/>
    <s v="IA"/>
    <s v="11-06-2016"/>
    <n v="707"/>
    <n v="423"/>
    <n v="59.830268741159834"/>
    <n v="7.3748231966053748"/>
    <n v="5214"/>
    <n v="7.6166902404526171"/>
    <n v="171"/>
    <n v="5385"/>
    <n v="99"/>
    <x v="1"/>
    <x v="8"/>
    <x v="64"/>
    <x v="0"/>
  </r>
  <r>
    <x v="1007"/>
    <x v="0"/>
    <n v="2"/>
    <x v="298"/>
    <s v="10-04-2016"/>
    <x v="0"/>
    <x v="13"/>
    <x v="13"/>
    <x v="1"/>
    <n v="3"/>
    <x v="13"/>
    <s v="OH"/>
    <s v="13-04-2016"/>
    <n v="763"/>
    <n v="713"/>
    <n v="93.446920052424645"/>
    <n v="9.8296199213630402"/>
    <n v="7500"/>
    <n v="10.323722149410223"/>
    <n v="377"/>
    <n v="7877"/>
    <n v="62"/>
    <x v="1"/>
    <x v="8"/>
    <x v="64"/>
    <x v="0"/>
  </r>
  <r>
    <x v="1008"/>
    <x v="1"/>
    <n v="2"/>
    <x v="18"/>
    <s v="19-07-2016"/>
    <x v="3"/>
    <x v="20"/>
    <x v="20"/>
    <x v="1"/>
    <n v="3"/>
    <x v="20"/>
    <s v="IL"/>
    <s v="22-07-2016"/>
    <n v="411"/>
    <n v="411"/>
    <n v="100"/>
    <n v="5.1362530413625302"/>
    <n v="2111"/>
    <n v="6.0340632603406323"/>
    <n v="369"/>
    <n v="2480"/>
    <n v="91"/>
    <x v="1"/>
    <x v="0"/>
    <x v="64"/>
    <x v="0"/>
  </r>
  <r>
    <x v="1009"/>
    <x v="0"/>
    <n v="2"/>
    <x v="290"/>
    <s v="22-08-2016"/>
    <x v="5"/>
    <x v="2"/>
    <x v="2"/>
    <x v="1"/>
    <n v="3"/>
    <x v="2"/>
    <s v="IL"/>
    <s v="25-08-2016"/>
    <n v="420"/>
    <n v="420"/>
    <n v="100"/>
    <n v="9.0880952380952387"/>
    <n v="3817"/>
    <n v="10.264285714285714"/>
    <n v="494"/>
    <n v="4311"/>
    <n v="51"/>
    <x v="1"/>
    <x v="8"/>
    <x v="64"/>
    <x v="0"/>
  </r>
  <r>
    <x v="1010"/>
    <x v="0"/>
    <n v="3"/>
    <x v="103"/>
    <s v="12-04-2016"/>
    <x v="0"/>
    <x v="21"/>
    <x v="21"/>
    <x v="2"/>
    <n v="3"/>
    <x v="21"/>
    <s v="IL"/>
    <s v="15-04-2016"/>
    <n v="318"/>
    <n v="318"/>
    <n v="100"/>
    <n v="5.8459119496855347"/>
    <n v="1859"/>
    <n v="7.0157232704402519"/>
    <n v="372"/>
    <n v="2231"/>
    <n v="90"/>
    <x v="1"/>
    <x v="3"/>
    <x v="64"/>
    <x v="0"/>
  </r>
  <r>
    <x v="1011"/>
    <x v="2"/>
    <n v="6"/>
    <x v="252"/>
    <s v="27-06-2016"/>
    <x v="6"/>
    <x v="15"/>
    <x v="15"/>
    <x v="4"/>
    <n v="3"/>
    <x v="15"/>
    <s v="IL"/>
    <s v="27-06-2016"/>
    <n v="588"/>
    <n v="307"/>
    <n v="52.210884353741491"/>
    <n v="10.13265306122449"/>
    <n v="5958"/>
    <n v="11.481292517006803"/>
    <n v="793"/>
    <n v="6751"/>
    <n v="52"/>
    <x v="1"/>
    <x v="6"/>
    <x v="85"/>
    <x v="1"/>
  </r>
  <r>
    <x v="1012"/>
    <x v="2"/>
    <n v="3"/>
    <x v="304"/>
    <s v="22-02-2016"/>
    <x v="2"/>
    <x v="18"/>
    <x v="18"/>
    <x v="1"/>
    <n v="3"/>
    <x v="18"/>
    <s v="IN"/>
    <s v="24-02-2016"/>
    <n v="1050"/>
    <n v="680"/>
    <n v="64.761904761904759"/>
    <n v="3.4580952380952379"/>
    <n v="3631"/>
    <n v="3.78"/>
    <n v="338"/>
    <n v="3969"/>
    <n v="99"/>
    <x v="1"/>
    <x v="1"/>
    <x v="76"/>
    <x v="0"/>
  </r>
  <r>
    <x v="1013"/>
    <x v="2"/>
    <n v="2"/>
    <x v="119"/>
    <s v="31-05-2016"/>
    <x v="7"/>
    <x v="20"/>
    <x v="20"/>
    <x v="1"/>
    <n v="3"/>
    <x v="20"/>
    <s v="IL"/>
    <s v="03-06-2016"/>
    <n v="1196"/>
    <n v="630"/>
    <n v="52.675585284280935"/>
    <n v="6.6931438127090299"/>
    <n v="8005"/>
    <n v="7.2257525083612038"/>
    <n v="637"/>
    <n v="8642"/>
    <n v="95"/>
    <x v="1"/>
    <x v="4"/>
    <x v="64"/>
    <x v="0"/>
  </r>
  <r>
    <x v="1014"/>
    <x v="2"/>
    <n v="1"/>
    <x v="131"/>
    <s v="21-03-2016"/>
    <x v="1"/>
    <x v="6"/>
    <x v="6"/>
    <x v="4"/>
    <n v="3"/>
    <x v="6"/>
    <s v="IN"/>
    <s v="24-03-2016"/>
    <n v="582"/>
    <n v="237"/>
    <n v="40.72164948453608"/>
    <n v="11.132302405498281"/>
    <n v="6479"/>
    <n v="19.042955326460483"/>
    <n v="4604"/>
    <n v="11083"/>
    <n v="76"/>
    <x v="1"/>
    <x v="2"/>
    <x v="64"/>
    <x v="0"/>
  </r>
  <r>
    <x v="1015"/>
    <x v="2"/>
    <n v="2"/>
    <x v="50"/>
    <s v="12-05-2016"/>
    <x v="7"/>
    <x v="16"/>
    <x v="16"/>
    <x v="4"/>
    <n v="3"/>
    <x v="16"/>
    <s v="MI"/>
    <s v="15-05-2016"/>
    <n v="224"/>
    <n v="224"/>
    <n v="100"/>
    <n v="13.111607142857142"/>
    <n v="2937"/>
    <n v="16.625"/>
    <n v="787"/>
    <n v="3724"/>
    <n v="97"/>
    <x v="1"/>
    <x v="2"/>
    <x v="64"/>
    <x v="0"/>
  </r>
  <r>
    <x v="1016"/>
    <x v="2"/>
    <n v="1"/>
    <x v="145"/>
    <s v="14-05-2016"/>
    <x v="7"/>
    <x v="15"/>
    <x v="15"/>
    <x v="4"/>
    <n v="3"/>
    <x v="15"/>
    <s v="IL"/>
    <s v="14-05-2016"/>
    <n v="938"/>
    <n v="515"/>
    <n v="54.904051172707888"/>
    <n v="3.5255863539445631"/>
    <n v="3307"/>
    <n v="8.9285714285714288"/>
    <n v="5068"/>
    <n v="8375"/>
    <n v="74"/>
    <x v="1"/>
    <x v="2"/>
    <x v="85"/>
    <x v="1"/>
  </r>
  <r>
    <x v="1017"/>
    <x v="2"/>
    <n v="5"/>
    <x v="89"/>
    <s v="29-07-2016"/>
    <x v="3"/>
    <x v="8"/>
    <x v="8"/>
    <x v="3"/>
    <n v="3"/>
    <x v="8"/>
    <s v="OH"/>
    <s v="01-08-2016"/>
    <n v="1105"/>
    <n v="367"/>
    <n v="33.212669683257914"/>
    <n v="5.0814479638009047"/>
    <n v="5615"/>
    <n v="5.5846153846153843"/>
    <n v="556"/>
    <n v="6171"/>
    <n v="68"/>
    <x v="1"/>
    <x v="5"/>
    <x v="64"/>
    <x v="0"/>
  </r>
  <r>
    <x v="1018"/>
    <x v="0"/>
    <n v="3"/>
    <x v="7"/>
    <s v="25-03-2016"/>
    <x v="1"/>
    <x v="5"/>
    <x v="5"/>
    <x v="3"/>
    <n v="3"/>
    <x v="5"/>
    <s v="IA"/>
    <s v="28-03-2016"/>
    <n v="367"/>
    <n v="367"/>
    <n v="100"/>
    <n v="13.863760217983652"/>
    <n v="5088"/>
    <n v="16.138964577656676"/>
    <n v="835"/>
    <n v="5923"/>
    <n v="93"/>
    <x v="1"/>
    <x v="6"/>
    <x v="64"/>
    <x v="0"/>
  </r>
  <r>
    <x v="1019"/>
    <x v="2"/>
    <n v="6"/>
    <x v="106"/>
    <s v="07-06-2016"/>
    <x v="6"/>
    <x v="0"/>
    <x v="0"/>
    <x v="0"/>
    <n v="3"/>
    <x v="0"/>
    <s v="MI"/>
    <s v="10-06-2016"/>
    <n v="1058"/>
    <n v="466"/>
    <n v="44.045368620037806"/>
    <n v="0.5207939508506616"/>
    <n v="551"/>
    <n v="1.4215500945179584"/>
    <n v="953"/>
    <n v="1504"/>
    <n v="51"/>
    <x v="1"/>
    <x v="0"/>
    <x v="64"/>
    <x v="0"/>
  </r>
  <r>
    <x v="1020"/>
    <x v="2"/>
    <n v="4"/>
    <x v="309"/>
    <s v="24-08-2016"/>
    <x v="5"/>
    <x v="18"/>
    <x v="18"/>
    <x v="1"/>
    <n v="3"/>
    <x v="18"/>
    <s v="IN"/>
    <s v="26-08-2016"/>
    <n v="1065"/>
    <n v="637"/>
    <n v="59.812206572769952"/>
    <n v="6.3098591549295771"/>
    <n v="6720"/>
    <n v="4.5014084507042256"/>
    <n v="-1926"/>
    <n v="4794"/>
    <n v="91"/>
    <x v="1"/>
    <x v="4"/>
    <x v="76"/>
    <x v="0"/>
  </r>
  <r>
    <x v="1021"/>
    <x v="2"/>
    <n v="6"/>
    <x v="9"/>
    <s v="26-05-2016"/>
    <x v="7"/>
    <x v="6"/>
    <x v="6"/>
    <x v="4"/>
    <n v="3"/>
    <x v="6"/>
    <s v="IN"/>
    <s v="29-05-2016"/>
    <n v="1160"/>
    <n v="792"/>
    <n v="68.275862068965523"/>
    <n v="6.1887931034482762"/>
    <n v="7179"/>
    <n v="6.2801724137931032"/>
    <n v="106"/>
    <n v="7285"/>
    <n v="89"/>
    <x v="1"/>
    <x v="9"/>
    <x v="64"/>
    <x v="0"/>
  </r>
  <r>
    <x v="1022"/>
    <x v="0"/>
    <n v="3"/>
    <x v="134"/>
    <s v="27-03-2016"/>
    <x v="1"/>
    <x v="13"/>
    <x v="13"/>
    <x v="1"/>
    <n v="3"/>
    <x v="13"/>
    <s v="OH"/>
    <s v="27-03-2016"/>
    <n v="247"/>
    <n v="247"/>
    <n v="100"/>
    <n v="32.627530364372468"/>
    <n v="8059"/>
    <n v="35.056680161943319"/>
    <n v="600"/>
    <n v="8659"/>
    <n v="54"/>
    <x v="1"/>
    <x v="0"/>
    <x v="85"/>
    <x v="1"/>
  </r>
  <r>
    <x v="1023"/>
    <x v="2"/>
    <n v="5"/>
    <x v="241"/>
    <s v="03-02-2016"/>
    <x v="2"/>
    <x v="2"/>
    <x v="2"/>
    <x v="1"/>
    <n v="3"/>
    <x v="2"/>
    <s v="IL"/>
    <s v="06-02-2016"/>
    <n v="493"/>
    <n v="493"/>
    <n v="100"/>
    <n v="1.7261663286004056"/>
    <n v="851"/>
    <n v="2.4908722109533468"/>
    <n v="377"/>
    <n v="1228"/>
    <n v="97"/>
    <x v="1"/>
    <x v="7"/>
    <x v="64"/>
    <x v="0"/>
  </r>
  <r>
    <x v="1024"/>
    <x v="0"/>
    <n v="3"/>
    <x v="10"/>
    <s v="24-02-2016"/>
    <x v="2"/>
    <x v="4"/>
    <x v="4"/>
    <x v="2"/>
    <n v="3"/>
    <x v="4"/>
    <s v="MI"/>
    <s v="27-02-2016"/>
    <n v="502"/>
    <n v="379"/>
    <n v="75.498007968127496"/>
    <n v="1.6693227091633467"/>
    <n v="838"/>
    <n v="3.4382470119521913"/>
    <n v="888"/>
    <n v="1726"/>
    <n v="64"/>
    <x v="1"/>
    <x v="0"/>
    <x v="64"/>
    <x v="0"/>
  </r>
  <r>
    <x v="1025"/>
    <x v="2"/>
    <n v="2"/>
    <x v="195"/>
    <s v="03-06-2016"/>
    <x v="6"/>
    <x v="15"/>
    <x v="15"/>
    <x v="4"/>
    <n v="3"/>
    <x v="15"/>
    <s v="IL"/>
    <s v="04-06-2016"/>
    <n v="343"/>
    <n v="343"/>
    <n v="100"/>
    <n v="11.545189504373178"/>
    <n v="3960"/>
    <n v="14.075801749271138"/>
    <n v="868"/>
    <n v="4828"/>
    <n v="77"/>
    <x v="1"/>
    <x v="9"/>
    <x v="84"/>
    <x v="0"/>
  </r>
  <r>
    <x v="1026"/>
    <x v="0"/>
    <n v="3"/>
    <x v="52"/>
    <s v="08-08-2016"/>
    <x v="5"/>
    <x v="4"/>
    <x v="4"/>
    <x v="2"/>
    <n v="3"/>
    <x v="4"/>
    <s v="MI"/>
    <s v="11-08-2016"/>
    <n v="842"/>
    <n v="303"/>
    <n v="35.985748218527313"/>
    <n v="9.1247030878859849"/>
    <n v="7683"/>
    <n v="9.764845605700712"/>
    <n v="539"/>
    <n v="8222"/>
    <n v="50"/>
    <x v="1"/>
    <x v="0"/>
    <x v="64"/>
    <x v="0"/>
  </r>
  <r>
    <x v="1027"/>
    <x v="0"/>
    <n v="1"/>
    <x v="242"/>
    <s v="07-06-2016"/>
    <x v="6"/>
    <x v="5"/>
    <x v="5"/>
    <x v="3"/>
    <n v="3"/>
    <x v="5"/>
    <s v="IA"/>
    <s v="10-06-2016"/>
    <n v="301"/>
    <n v="301"/>
    <n v="100"/>
    <n v="5.9136212624584719"/>
    <n v="1780"/>
    <n v="19.096345514950166"/>
    <n v="3968"/>
    <n v="5748"/>
    <n v="86"/>
    <x v="1"/>
    <x v="9"/>
    <x v="64"/>
    <x v="0"/>
  </r>
  <r>
    <x v="1028"/>
    <x v="0"/>
    <n v="2"/>
    <x v="53"/>
    <s v="14-04-2016"/>
    <x v="0"/>
    <x v="20"/>
    <x v="20"/>
    <x v="1"/>
    <n v="3"/>
    <x v="20"/>
    <s v="IL"/>
    <s v="17-04-2016"/>
    <n v="904"/>
    <n v="587"/>
    <n v="64.93362831858407"/>
    <n v="1.4292035398230087"/>
    <n v="1292"/>
    <n v="2.2964601769911503"/>
    <n v="784"/>
    <n v="2076"/>
    <n v="82"/>
    <x v="1"/>
    <x v="4"/>
    <x v="64"/>
    <x v="0"/>
  </r>
  <r>
    <x v="1029"/>
    <x v="2"/>
    <n v="6"/>
    <x v="175"/>
    <s v="29-04-2016"/>
    <x v="0"/>
    <x v="10"/>
    <x v="10"/>
    <x v="1"/>
    <n v="3"/>
    <x v="10"/>
    <s v="IL"/>
    <s v="02-05-2016"/>
    <n v="509"/>
    <n v="509"/>
    <n v="100"/>
    <n v="0.86640471512770134"/>
    <n v="441"/>
    <n v="2.300589390962672"/>
    <n v="730"/>
    <n v="1171"/>
    <n v="53"/>
    <x v="1"/>
    <x v="6"/>
    <x v="64"/>
    <x v="0"/>
  </r>
  <r>
    <x v="1030"/>
    <x v="2"/>
    <n v="2"/>
    <x v="292"/>
    <s v="14-01-2016"/>
    <x v="4"/>
    <x v="19"/>
    <x v="19"/>
    <x v="0"/>
    <n v="3"/>
    <x v="19"/>
    <s v="WI"/>
    <s v="17-01-2016"/>
    <n v="860"/>
    <n v="734"/>
    <n v="85.348837209302332"/>
    <n v="2.2151162790697674"/>
    <n v="1905"/>
    <n v="3.0220930232558141"/>
    <n v="694"/>
    <n v="2599"/>
    <n v="93"/>
    <x v="1"/>
    <x v="2"/>
    <x v="64"/>
    <x v="0"/>
  </r>
  <r>
    <x v="1031"/>
    <x v="2"/>
    <n v="6"/>
    <x v="245"/>
    <s v="05-08-2016"/>
    <x v="5"/>
    <x v="15"/>
    <x v="15"/>
    <x v="4"/>
    <n v="3"/>
    <x v="15"/>
    <s v="IL"/>
    <s v="08-08-2016"/>
    <n v="675"/>
    <n v="481"/>
    <n v="71.259259259259252"/>
    <n v="5.6755555555555555"/>
    <n v="3831"/>
    <n v="6.72"/>
    <n v="705"/>
    <n v="4536"/>
    <n v="87"/>
    <x v="1"/>
    <x v="4"/>
    <x v="64"/>
    <x v="0"/>
  </r>
  <r>
    <x v="1032"/>
    <x v="2"/>
    <n v="2"/>
    <x v="209"/>
    <s v="06-08-2016"/>
    <x v="5"/>
    <x v="13"/>
    <x v="13"/>
    <x v="1"/>
    <n v="3"/>
    <x v="13"/>
    <s v="OH"/>
    <s v="06-08-2016"/>
    <n v="434"/>
    <n v="434"/>
    <n v="100"/>
    <n v="13.785714285714286"/>
    <n v="5983"/>
    <n v="15.481566820276498"/>
    <n v="736"/>
    <n v="6719"/>
    <n v="89"/>
    <x v="1"/>
    <x v="0"/>
    <x v="85"/>
    <x v="1"/>
  </r>
  <r>
    <x v="1033"/>
    <x v="2"/>
    <n v="3"/>
    <x v="176"/>
    <s v="08-02-2016"/>
    <x v="2"/>
    <x v="12"/>
    <x v="12"/>
    <x v="3"/>
    <n v="3"/>
    <x v="12"/>
    <s v="MI"/>
    <s v="11-02-2016"/>
    <n v="799"/>
    <n v="799"/>
    <n v="100"/>
    <n v="5.0225281602002507"/>
    <n v="4013"/>
    <n v="5.6883604505632039"/>
    <n v="532"/>
    <n v="4545"/>
    <n v="69"/>
    <x v="1"/>
    <x v="1"/>
    <x v="64"/>
    <x v="0"/>
  </r>
  <r>
    <x v="1034"/>
    <x v="0"/>
    <n v="2"/>
    <x v="56"/>
    <s v="09-05-2016"/>
    <x v="7"/>
    <x v="15"/>
    <x v="15"/>
    <x v="4"/>
    <n v="3"/>
    <x v="15"/>
    <s v="IL"/>
    <s v="10-05-2016"/>
    <n v="870"/>
    <n v="263"/>
    <n v="30.229885057471261"/>
    <n v="3.9321839080459768"/>
    <n v="3421"/>
    <n v="4.5494252873563221"/>
    <n v="537"/>
    <n v="3958"/>
    <n v="86"/>
    <x v="1"/>
    <x v="3"/>
    <x v="84"/>
    <x v="0"/>
  </r>
  <r>
    <x v="1035"/>
    <x v="0"/>
    <n v="3"/>
    <x v="325"/>
    <s v="10-08-2016"/>
    <x v="5"/>
    <x v="13"/>
    <x v="13"/>
    <x v="1"/>
    <n v="3"/>
    <x v="13"/>
    <s v="OH"/>
    <s v="13-08-2016"/>
    <n v="889"/>
    <n v="502"/>
    <n v="56.467941507311579"/>
    <n v="3.0573678290213722"/>
    <n v="2718"/>
    <n v="3.6647919010123733"/>
    <n v="540"/>
    <n v="3258"/>
    <n v="56"/>
    <x v="1"/>
    <x v="8"/>
    <x v="64"/>
    <x v="0"/>
  </r>
  <r>
    <x v="1036"/>
    <x v="2"/>
    <n v="5"/>
    <x v="57"/>
    <s v="03-06-2016"/>
    <x v="6"/>
    <x v="12"/>
    <x v="12"/>
    <x v="3"/>
    <n v="3"/>
    <x v="12"/>
    <s v="MI"/>
    <s v="06-06-2016"/>
    <n v="620"/>
    <n v="319"/>
    <n v="51.451612903225808"/>
    <n v="13.635483870967741"/>
    <n v="8454"/>
    <n v="14.501612903225807"/>
    <n v="537"/>
    <n v="8991"/>
    <n v="84"/>
    <x v="1"/>
    <x v="5"/>
    <x v="64"/>
    <x v="0"/>
  </r>
  <r>
    <x v="1037"/>
    <x v="0"/>
    <n v="4"/>
    <x v="266"/>
    <s v="28-02-2016"/>
    <x v="2"/>
    <x v="7"/>
    <x v="7"/>
    <x v="5"/>
    <n v="3"/>
    <x v="7"/>
    <s v="WI"/>
    <s v="02-03-2016"/>
    <n v="508"/>
    <n v="493"/>
    <n v="97.047244094488192"/>
    <n v="5.2637795275590555"/>
    <n v="2674"/>
    <n v="1.6929133858267718"/>
    <n v="-1814"/>
    <n v="860"/>
    <n v="73"/>
    <x v="1"/>
    <x v="6"/>
    <x v="64"/>
    <x v="0"/>
  </r>
  <r>
    <x v="1038"/>
    <x v="0"/>
    <n v="1"/>
    <x v="31"/>
    <s v="01-01-2016"/>
    <x v="4"/>
    <x v="17"/>
    <x v="17"/>
    <x v="3"/>
    <n v="3"/>
    <x v="17"/>
    <s v="OH"/>
    <s v="02-01-2016"/>
    <n v="357"/>
    <n v="238"/>
    <n v="66.666666666666657"/>
    <n v="6.3753501400560229"/>
    <n v="2276"/>
    <n v="20.69467787114846"/>
    <n v="5112"/>
    <n v="7388"/>
    <n v="60"/>
    <x v="1"/>
    <x v="1"/>
    <x v="84"/>
    <x v="0"/>
  </r>
  <r>
    <x v="1039"/>
    <x v="2"/>
    <n v="6"/>
    <x v="185"/>
    <s v="27-04-2016"/>
    <x v="0"/>
    <x v="11"/>
    <x v="11"/>
    <x v="2"/>
    <n v="3"/>
    <x v="11"/>
    <s v="MI"/>
    <s v="30-04-2016"/>
    <n v="860"/>
    <n v="330"/>
    <n v="38.372093023255815"/>
    <n v="0.56511627906976747"/>
    <n v="486"/>
    <n v="0.99767441860465111"/>
    <n v="372"/>
    <n v="858"/>
    <n v="84"/>
    <x v="1"/>
    <x v="6"/>
    <x v="64"/>
    <x v="0"/>
  </r>
  <r>
    <x v="1040"/>
    <x v="2"/>
    <n v="2"/>
    <x v="165"/>
    <s v="12-05-2016"/>
    <x v="7"/>
    <x v="15"/>
    <x v="15"/>
    <x v="4"/>
    <n v="3"/>
    <x v="15"/>
    <s v="IL"/>
    <s v="15-05-2016"/>
    <n v="209"/>
    <n v="209"/>
    <n v="100"/>
    <n v="1.229665071770335"/>
    <n v="257"/>
    <n v="5.8947368421052628"/>
    <n v="975"/>
    <n v="1232"/>
    <n v="75"/>
    <x v="1"/>
    <x v="6"/>
    <x v="64"/>
    <x v="0"/>
  </r>
  <r>
    <x v="1041"/>
    <x v="0"/>
    <n v="2"/>
    <x v="34"/>
    <s v="21-04-2016"/>
    <x v="0"/>
    <x v="16"/>
    <x v="16"/>
    <x v="4"/>
    <n v="3"/>
    <x v="16"/>
    <s v="MI"/>
    <s v="24-04-2016"/>
    <n v="571"/>
    <n v="238"/>
    <n v="41.681260945709283"/>
    <n v="6.945709281961471"/>
    <n v="3966"/>
    <n v="8.0700525394045535"/>
    <n v="642"/>
    <n v="4608"/>
    <n v="61"/>
    <x v="1"/>
    <x v="7"/>
    <x v="64"/>
    <x v="0"/>
  </r>
  <r>
    <x v="1042"/>
    <x v="0"/>
    <n v="1"/>
    <x v="293"/>
    <s v="11-03-2016"/>
    <x v="1"/>
    <x v="23"/>
    <x v="23"/>
    <x v="1"/>
    <n v="3"/>
    <x v="23"/>
    <s v="WI"/>
    <s v="12-03-2016"/>
    <n v="1074"/>
    <n v="553"/>
    <n v="51.489757914338917"/>
    <n v="1.8789571694599627"/>
    <n v="2018"/>
    <n v="5.2923649906890127"/>
    <n v="3666"/>
    <n v="5684"/>
    <n v="77"/>
    <x v="1"/>
    <x v="6"/>
    <x v="84"/>
    <x v="0"/>
  </r>
  <r>
    <x v="1043"/>
    <x v="2"/>
    <n v="6"/>
    <x v="60"/>
    <s v="27-05-2016"/>
    <x v="7"/>
    <x v="0"/>
    <x v="0"/>
    <x v="0"/>
    <n v="3"/>
    <x v="0"/>
    <s v="MI"/>
    <s v="30-05-2016"/>
    <n v="1130"/>
    <n v="518"/>
    <n v="45.840707964601769"/>
    <n v="6.0592920353982302"/>
    <n v="6847"/>
    <n v="6.8"/>
    <n v="837"/>
    <n v="7684"/>
    <n v="65"/>
    <x v="1"/>
    <x v="2"/>
    <x v="64"/>
    <x v="0"/>
  </r>
  <r>
    <x v="1044"/>
    <x v="2"/>
    <n v="3"/>
    <x v="141"/>
    <s v="01-03-2016"/>
    <x v="1"/>
    <x v="15"/>
    <x v="15"/>
    <x v="4"/>
    <n v="3"/>
    <x v="15"/>
    <s v="IL"/>
    <s v="01-03-2016"/>
    <n v="551"/>
    <n v="551"/>
    <n v="100"/>
    <n v="0.82214156079854805"/>
    <n v="453"/>
    <n v="2.114337568058076"/>
    <n v="712"/>
    <n v="1165"/>
    <n v="80"/>
    <x v="1"/>
    <x v="5"/>
    <x v="85"/>
    <x v="1"/>
  </r>
  <r>
    <x v="1045"/>
    <x v="0"/>
    <n v="2"/>
    <x v="15"/>
    <s v="23-08-2016"/>
    <x v="5"/>
    <x v="3"/>
    <x v="3"/>
    <x v="2"/>
    <n v="3"/>
    <x v="3"/>
    <s v="IL"/>
    <s v="26-08-2016"/>
    <n v="361"/>
    <n v="361"/>
    <n v="100"/>
    <n v="4.8199445983379503"/>
    <n v="1740"/>
    <n v="6.4875346260387809"/>
    <n v="602"/>
    <n v="2342"/>
    <n v="87"/>
    <x v="1"/>
    <x v="6"/>
    <x v="64"/>
    <x v="0"/>
  </r>
  <r>
    <x v="1046"/>
    <x v="0"/>
    <n v="2"/>
    <x v="239"/>
    <s v="08-03-2016"/>
    <x v="1"/>
    <x v="2"/>
    <x v="2"/>
    <x v="1"/>
    <n v="3"/>
    <x v="2"/>
    <s v="IL"/>
    <s v="11-03-2016"/>
    <n v="810"/>
    <n v="633"/>
    <n v="78.148148148148138"/>
    <n v="0.26419753086419751"/>
    <n v="214"/>
    <n v="0.5444444444444444"/>
    <n v="227"/>
    <n v="441"/>
    <n v="63"/>
    <x v="1"/>
    <x v="1"/>
    <x v="64"/>
    <x v="0"/>
  </r>
  <r>
    <x v="1047"/>
    <x v="2"/>
    <n v="1"/>
    <x v="168"/>
    <s v="28-02-2016"/>
    <x v="2"/>
    <x v="0"/>
    <x v="0"/>
    <x v="0"/>
    <n v="3"/>
    <x v="0"/>
    <s v="MI"/>
    <s v="02-03-2016"/>
    <n v="1002"/>
    <n v="585"/>
    <n v="58.383233532934128"/>
    <n v="0.70059880239520955"/>
    <n v="702"/>
    <n v="5.4041916167664672"/>
    <n v="4713"/>
    <n v="5415"/>
    <n v="82"/>
    <x v="1"/>
    <x v="7"/>
    <x v="64"/>
    <x v="0"/>
  </r>
  <r>
    <x v="1048"/>
    <x v="2"/>
    <n v="4"/>
    <x v="142"/>
    <s v="25-05-2016"/>
    <x v="7"/>
    <x v="4"/>
    <x v="4"/>
    <x v="2"/>
    <n v="3"/>
    <x v="4"/>
    <s v="MI"/>
    <s v="28-05-2016"/>
    <n v="708"/>
    <n v="481"/>
    <n v="67.937853107344637"/>
    <n v="6.5974576271186445"/>
    <n v="4671"/>
    <n v="4.4844632768361583"/>
    <n v="-1496"/>
    <n v="3175"/>
    <n v="85"/>
    <x v="1"/>
    <x v="3"/>
    <x v="64"/>
    <x v="0"/>
  </r>
  <r>
    <x v="1049"/>
    <x v="2"/>
    <n v="6"/>
    <x v="114"/>
    <s v="17-02-2016"/>
    <x v="2"/>
    <x v="13"/>
    <x v="13"/>
    <x v="1"/>
    <n v="3"/>
    <x v="13"/>
    <s v="OH"/>
    <s v="20-02-2016"/>
    <n v="509"/>
    <n v="407"/>
    <n v="79.960707269155208"/>
    <n v="9.1768172888015709"/>
    <n v="4671"/>
    <n v="10.740667976424362"/>
    <n v="796"/>
    <n v="5467"/>
    <n v="90"/>
    <x v="1"/>
    <x v="8"/>
    <x v="64"/>
    <x v="0"/>
  </r>
  <r>
    <x v="1050"/>
    <x v="0"/>
    <n v="1"/>
    <x v="215"/>
    <s v="22-08-2016"/>
    <x v="5"/>
    <x v="17"/>
    <x v="17"/>
    <x v="3"/>
    <n v="3"/>
    <x v="17"/>
    <s v="OH"/>
    <s v="23-08-2016"/>
    <n v="802"/>
    <n v="207"/>
    <n v="25.81047381546135"/>
    <n v="0.50374064837905241"/>
    <n v="404"/>
    <n v="6.5473815461346634"/>
    <n v="4847"/>
    <n v="5251"/>
    <n v="58"/>
    <x v="1"/>
    <x v="3"/>
    <x v="84"/>
    <x v="0"/>
  </r>
  <r>
    <x v="1051"/>
    <x v="2"/>
    <n v="3"/>
    <x v="17"/>
    <s v="28-07-2016"/>
    <x v="3"/>
    <x v="10"/>
    <x v="10"/>
    <x v="1"/>
    <n v="3"/>
    <x v="10"/>
    <s v="IL"/>
    <s v="31-07-2016"/>
    <n v="1042"/>
    <n v="756"/>
    <n v="72.552783109404999"/>
    <n v="7.7466410748560461"/>
    <n v="8072"/>
    <n v="8.3493282149712087"/>
    <n v="628"/>
    <n v="8700"/>
    <n v="64"/>
    <x v="1"/>
    <x v="6"/>
    <x v="64"/>
    <x v="0"/>
  </r>
  <r>
    <x v="1052"/>
    <x v="0"/>
    <n v="4"/>
    <x v="189"/>
    <s v="22-08-2016"/>
    <x v="5"/>
    <x v="14"/>
    <x v="14"/>
    <x v="1"/>
    <n v="3"/>
    <x v="14"/>
    <s v="IL"/>
    <s v="25-08-2016"/>
    <n v="515"/>
    <n v="494"/>
    <n v="95.922330097087382"/>
    <n v="12.681553398058252"/>
    <n v="6531"/>
    <n v="9.0135922330097085"/>
    <n v="-1889"/>
    <n v="4642"/>
    <n v="99"/>
    <x v="1"/>
    <x v="6"/>
    <x v="64"/>
    <x v="0"/>
  </r>
  <r>
    <x v="1053"/>
    <x v="2"/>
    <n v="5"/>
    <x v="190"/>
    <s v="12-03-2016"/>
    <x v="1"/>
    <x v="6"/>
    <x v="6"/>
    <x v="4"/>
    <n v="3"/>
    <x v="6"/>
    <s v="IN"/>
    <s v="15-03-2016"/>
    <n v="430"/>
    <n v="430"/>
    <n v="100"/>
    <n v="18.546511627906977"/>
    <n v="7975"/>
    <n v="19.330232558139535"/>
    <n v="337"/>
    <n v="8312"/>
    <n v="78"/>
    <x v="1"/>
    <x v="0"/>
    <x v="64"/>
    <x v="0"/>
  </r>
  <r>
    <x v="1054"/>
    <x v="0"/>
    <n v="2"/>
    <x v="281"/>
    <s v="18-05-2016"/>
    <x v="7"/>
    <x v="15"/>
    <x v="15"/>
    <x v="4"/>
    <n v="3"/>
    <x v="15"/>
    <s v="IL"/>
    <s v="21-05-2016"/>
    <n v="275"/>
    <n v="256"/>
    <n v="93.090909090909093"/>
    <n v="26.414545454545454"/>
    <n v="7264"/>
    <n v="29.327272727272728"/>
    <n v="801"/>
    <n v="8065"/>
    <n v="63"/>
    <x v="1"/>
    <x v="5"/>
    <x v="64"/>
    <x v="0"/>
  </r>
  <r>
    <x v="1055"/>
    <x v="2"/>
    <n v="6"/>
    <x v="101"/>
    <s v="27-04-2016"/>
    <x v="0"/>
    <x v="7"/>
    <x v="7"/>
    <x v="5"/>
    <n v="3"/>
    <x v="7"/>
    <s v="WI"/>
    <s v="30-04-2016"/>
    <n v="890"/>
    <n v="328"/>
    <n v="36.853932584269664"/>
    <n v="3.8235955056179773"/>
    <n v="3403"/>
    <n v="4.559550561797753"/>
    <n v="655"/>
    <n v="4058"/>
    <n v="54"/>
    <x v="1"/>
    <x v="7"/>
    <x v="64"/>
    <x v="0"/>
  </r>
  <r>
    <x v="1056"/>
    <x v="2"/>
    <n v="6"/>
    <x v="39"/>
    <s v="09-07-2016"/>
    <x v="3"/>
    <x v="3"/>
    <x v="3"/>
    <x v="2"/>
    <n v="3"/>
    <x v="3"/>
    <s v="IL"/>
    <s v="12-07-2016"/>
    <n v="728"/>
    <n v="728"/>
    <n v="100"/>
    <n v="0.30631868131868134"/>
    <n v="223"/>
    <n v="1.1771978021978022"/>
    <n v="634"/>
    <n v="857"/>
    <n v="50"/>
    <x v="1"/>
    <x v="2"/>
    <x v="64"/>
    <x v="0"/>
  </r>
  <r>
    <x v="1057"/>
    <x v="0"/>
    <n v="3"/>
    <x v="40"/>
    <s v="09-08-2016"/>
    <x v="5"/>
    <x v="10"/>
    <x v="10"/>
    <x v="1"/>
    <n v="3"/>
    <x v="10"/>
    <s v="IL"/>
    <s v="12-08-2016"/>
    <n v="886"/>
    <n v="682"/>
    <n v="76.97516930022573"/>
    <n v="9.782167042889391"/>
    <n v="8667"/>
    <n v="10.067720090293454"/>
    <n v="253"/>
    <n v="8920"/>
    <n v="64"/>
    <x v="1"/>
    <x v="7"/>
    <x v="64"/>
    <x v="0"/>
  </r>
  <r>
    <x v="1058"/>
    <x v="2"/>
    <n v="6"/>
    <x v="41"/>
    <s v="13-04-2016"/>
    <x v="0"/>
    <x v="14"/>
    <x v="14"/>
    <x v="1"/>
    <n v="3"/>
    <x v="14"/>
    <s v="IL"/>
    <s v="16-04-2016"/>
    <n v="256"/>
    <n v="256"/>
    <n v="100"/>
    <n v="8.40234375"/>
    <n v="2151"/>
    <n v="11.1015625"/>
    <n v="691"/>
    <n v="2842"/>
    <n v="50"/>
    <x v="1"/>
    <x v="9"/>
    <x v="64"/>
    <x v="0"/>
  </r>
  <r>
    <x v="1059"/>
    <x v="0"/>
    <n v="4"/>
    <x v="22"/>
    <s v="23-04-2016"/>
    <x v="0"/>
    <x v="8"/>
    <x v="8"/>
    <x v="3"/>
    <n v="3"/>
    <x v="8"/>
    <s v="OH"/>
    <s v="26-04-2016"/>
    <n v="394"/>
    <n v="394"/>
    <n v="100"/>
    <n v="11.631979695431472"/>
    <n v="4583"/>
    <n v="6.2639593908629445"/>
    <n v="-2115"/>
    <n v="2468"/>
    <n v="79"/>
    <x v="1"/>
    <x v="3"/>
    <x v="64"/>
    <x v="0"/>
  </r>
  <r>
    <x v="1060"/>
    <x v="0"/>
    <n v="6"/>
    <x v="42"/>
    <s v="12-04-2016"/>
    <x v="0"/>
    <x v="12"/>
    <x v="12"/>
    <x v="3"/>
    <n v="3"/>
    <x v="12"/>
    <s v="MI"/>
    <s v="15-04-2016"/>
    <n v="871"/>
    <n v="642"/>
    <n v="73.708381171067742"/>
    <n v="1.0470723306544203"/>
    <n v="912"/>
    <n v="1.600459242250287"/>
    <n v="482"/>
    <n v="1394"/>
    <n v="78"/>
    <x v="1"/>
    <x v="6"/>
    <x v="64"/>
    <x v="0"/>
  </r>
  <r>
    <x v="1061"/>
    <x v="0"/>
    <n v="3"/>
    <x v="182"/>
    <s v="08-07-2016"/>
    <x v="3"/>
    <x v="11"/>
    <x v="11"/>
    <x v="2"/>
    <n v="3"/>
    <x v="11"/>
    <s v="MI"/>
    <s v="11-07-2016"/>
    <n v="895"/>
    <n v="559"/>
    <n v="62.458100558659211"/>
    <n v="6.5586592178770946"/>
    <n v="5870"/>
    <n v="7.1865921787709501"/>
    <n v="562"/>
    <n v="6432"/>
    <n v="98"/>
    <x v="1"/>
    <x v="2"/>
    <x v="64"/>
    <x v="0"/>
  </r>
  <r>
    <x v="1062"/>
    <x v="0"/>
    <n v="2"/>
    <x v="291"/>
    <s v="13-06-2016"/>
    <x v="6"/>
    <x v="8"/>
    <x v="8"/>
    <x v="3"/>
    <n v="3"/>
    <x v="8"/>
    <s v="OH"/>
    <s v="16-06-2016"/>
    <n v="954"/>
    <n v="725"/>
    <n v="75.9958071278826"/>
    <n v="8.5199161425576513"/>
    <n v="8128"/>
    <n v="8.634171907756814"/>
    <n v="109"/>
    <n v="8237"/>
    <n v="87"/>
    <x v="1"/>
    <x v="2"/>
    <x v="64"/>
    <x v="0"/>
  </r>
  <r>
    <x v="1063"/>
    <x v="2"/>
    <n v="5"/>
    <x v="46"/>
    <s v="15-02-2016"/>
    <x v="2"/>
    <x v="13"/>
    <x v="13"/>
    <x v="1"/>
    <n v="3"/>
    <x v="13"/>
    <s v="OH"/>
    <s v="17-02-2016"/>
    <n v="1042"/>
    <n v="258"/>
    <n v="24.760076775431862"/>
    <n v="4.2591170825335896"/>
    <n v="4438"/>
    <n v="5.0115163147792705"/>
    <n v="784"/>
    <n v="5222"/>
    <n v="64"/>
    <x v="1"/>
    <x v="2"/>
    <x v="76"/>
    <x v="0"/>
  </r>
  <r>
    <x v="1064"/>
    <x v="2"/>
    <n v="4"/>
    <x v="314"/>
    <s v="04-08-2016"/>
    <x v="5"/>
    <x v="23"/>
    <x v="23"/>
    <x v="1"/>
    <n v="3"/>
    <x v="23"/>
    <s v="WI"/>
    <s v="05-08-2016"/>
    <n v="651"/>
    <n v="555"/>
    <n v="85.253456221198149"/>
    <n v="8.6021505376344081"/>
    <n v="5600"/>
    <n v="6.3256528417818743"/>
    <n v="-1482"/>
    <n v="4118"/>
    <n v="73"/>
    <x v="1"/>
    <x v="1"/>
    <x v="84"/>
    <x v="0"/>
  </r>
  <r>
    <x v="1065"/>
    <x v="2"/>
    <n v="4"/>
    <x v="118"/>
    <s v="28-07-2016"/>
    <x v="3"/>
    <x v="4"/>
    <x v="4"/>
    <x v="2"/>
    <n v="3"/>
    <x v="4"/>
    <s v="MI"/>
    <s v="31-07-2016"/>
    <n v="236"/>
    <n v="236"/>
    <n v="100"/>
    <n v="18.343220338983052"/>
    <n v="4329"/>
    <n v="12.449152542372881"/>
    <n v="-1391"/>
    <n v="2938"/>
    <n v="65"/>
    <x v="1"/>
    <x v="7"/>
    <x v="64"/>
    <x v="0"/>
  </r>
  <r>
    <x v="1066"/>
    <x v="0"/>
    <n v="2"/>
    <x v="66"/>
    <s v="14-08-2016"/>
    <x v="5"/>
    <x v="11"/>
    <x v="11"/>
    <x v="2"/>
    <n v="3"/>
    <x v="11"/>
    <s v="MI"/>
    <s v="17-08-2016"/>
    <n v="350"/>
    <n v="350"/>
    <n v="100"/>
    <n v="7.2028571428571428"/>
    <n v="2521"/>
    <n v="8.2285714285714278"/>
    <n v="359"/>
    <n v="2880"/>
    <n v="73"/>
    <x v="1"/>
    <x v="2"/>
    <x v="64"/>
    <x v="0"/>
  </r>
  <r>
    <x v="1067"/>
    <x v="0"/>
    <n v="3"/>
    <x v="217"/>
    <s v="26-04-2016"/>
    <x v="0"/>
    <x v="6"/>
    <x v="6"/>
    <x v="4"/>
    <n v="3"/>
    <x v="6"/>
    <s v="IN"/>
    <s v="29-04-2016"/>
    <n v="1054"/>
    <n v="441"/>
    <n v="41.840607210626182"/>
    <n v="3.8908918406072108"/>
    <n v="4101"/>
    <n v="4.8311195445920303"/>
    <n v="991"/>
    <n v="5092"/>
    <n v="89"/>
    <x v="1"/>
    <x v="4"/>
    <x v="64"/>
    <x v="0"/>
  </r>
  <r>
    <x v="1068"/>
    <x v="2"/>
    <n v="3"/>
    <x v="218"/>
    <s v="27-06-2016"/>
    <x v="6"/>
    <x v="4"/>
    <x v="4"/>
    <x v="2"/>
    <n v="3"/>
    <x v="4"/>
    <s v="MI"/>
    <s v="30-06-2016"/>
    <n v="1035"/>
    <n v="505"/>
    <n v="48.792270531400966"/>
    <n v="1.4106280193236715"/>
    <n v="1460"/>
    <n v="1.7971014492753623"/>
    <n v="400"/>
    <n v="1860"/>
    <n v="79"/>
    <x v="1"/>
    <x v="9"/>
    <x v="64"/>
    <x v="0"/>
  </r>
  <r>
    <x v="1069"/>
    <x v="2"/>
    <n v="1"/>
    <x v="24"/>
    <s v="12-04-2016"/>
    <x v="0"/>
    <x v="13"/>
    <x v="13"/>
    <x v="1"/>
    <n v="3"/>
    <x v="13"/>
    <s v="OH"/>
    <s v="15-04-2016"/>
    <n v="210"/>
    <n v="210"/>
    <n v="100"/>
    <n v="15.019047619047619"/>
    <n v="3154"/>
    <n v="39.24285714285714"/>
    <n v="5087"/>
    <n v="8241"/>
    <n v="77"/>
    <x v="1"/>
    <x v="2"/>
    <x v="64"/>
    <x v="0"/>
  </r>
  <r>
    <x v="1070"/>
    <x v="2"/>
    <n v="1"/>
    <x v="24"/>
    <s v="27-05-2016"/>
    <x v="7"/>
    <x v="6"/>
    <x v="6"/>
    <x v="4"/>
    <n v="3"/>
    <x v="6"/>
    <s v="IN"/>
    <s v="30-05-2016"/>
    <n v="459"/>
    <n v="318"/>
    <n v="69.281045751633982"/>
    <n v="1.1808278867102397"/>
    <n v="542"/>
    <n v="11.272331154684096"/>
    <n v="4632"/>
    <n v="5174"/>
    <n v="88"/>
    <x v="1"/>
    <x v="2"/>
    <x v="64"/>
    <x v="0"/>
  </r>
  <r>
    <x v="1071"/>
    <x v="0"/>
    <n v="2"/>
    <x v="255"/>
    <s v="28-02-2016"/>
    <x v="2"/>
    <x v="15"/>
    <x v="15"/>
    <x v="4"/>
    <n v="3"/>
    <x v="15"/>
    <s v="IL"/>
    <s v="02-03-2016"/>
    <n v="453"/>
    <n v="341"/>
    <n v="75.275938189845476"/>
    <n v="3.3554083885209711"/>
    <n v="1520"/>
    <n v="4.8498896247240619"/>
    <n v="677"/>
    <n v="2197"/>
    <n v="71"/>
    <x v="1"/>
    <x v="7"/>
    <x v="64"/>
    <x v="0"/>
  </r>
  <r>
    <x v="1072"/>
    <x v="2"/>
    <n v="6"/>
    <x v="204"/>
    <s v="07-02-2016"/>
    <x v="2"/>
    <x v="14"/>
    <x v="14"/>
    <x v="1"/>
    <n v="3"/>
    <x v="14"/>
    <s v="IL"/>
    <s v="10-02-2016"/>
    <n v="389"/>
    <n v="389"/>
    <n v="100"/>
    <n v="4.1233933161953731"/>
    <n v="1604"/>
    <n v="5.1722365038560412"/>
    <n v="408"/>
    <n v="2012"/>
    <n v="86"/>
    <x v="1"/>
    <x v="3"/>
    <x v="64"/>
    <x v="0"/>
  </r>
  <r>
    <x v="1073"/>
    <x v="0"/>
    <n v="2"/>
    <x v="309"/>
    <s v="22-08-2016"/>
    <x v="5"/>
    <x v="22"/>
    <x v="22"/>
    <x v="0"/>
    <n v="3"/>
    <x v="22"/>
    <s v="IL"/>
    <s v="23-08-2016"/>
    <n v="826"/>
    <n v="245"/>
    <n v="29.66101694915254"/>
    <n v="5.8062953995157383"/>
    <n v="4796"/>
    <n v="6.1815980629539951"/>
    <n v="310"/>
    <n v="5106"/>
    <n v="96"/>
    <x v="1"/>
    <x v="6"/>
    <x v="84"/>
    <x v="0"/>
  </r>
  <r>
    <x v="1074"/>
    <x v="0"/>
    <n v="2"/>
    <x v="133"/>
    <s v="27-01-2016"/>
    <x v="4"/>
    <x v="21"/>
    <x v="21"/>
    <x v="2"/>
    <n v="3"/>
    <x v="21"/>
    <s v="IL"/>
    <s v="30-01-2016"/>
    <n v="909"/>
    <n v="723"/>
    <n v="79.537953795379536"/>
    <n v="1.130913091309131"/>
    <n v="1028"/>
    <n v="2.1199119911991198"/>
    <n v="899"/>
    <n v="1927"/>
    <n v="65"/>
    <x v="1"/>
    <x v="5"/>
    <x v="64"/>
    <x v="0"/>
  </r>
  <r>
    <x v="1075"/>
    <x v="2"/>
    <n v="6"/>
    <x v="322"/>
    <s v="19-02-2016"/>
    <x v="2"/>
    <x v="15"/>
    <x v="15"/>
    <x v="4"/>
    <n v="3"/>
    <x v="15"/>
    <s v="IL"/>
    <s v="21-02-2016"/>
    <n v="387"/>
    <n v="387"/>
    <n v="100"/>
    <n v="0.87338501291989667"/>
    <n v="338"/>
    <n v="1.2506459948320414"/>
    <n v="146"/>
    <n v="484"/>
    <n v="70"/>
    <x v="1"/>
    <x v="9"/>
    <x v="76"/>
    <x v="0"/>
  </r>
  <r>
    <x v="1076"/>
    <x v="0"/>
    <n v="5"/>
    <x v="28"/>
    <s v="01-06-2016"/>
    <x v="6"/>
    <x v="5"/>
    <x v="5"/>
    <x v="3"/>
    <n v="3"/>
    <x v="5"/>
    <s v="IA"/>
    <s v="04-06-2016"/>
    <n v="595"/>
    <n v="595"/>
    <n v="100"/>
    <n v="3.3966386554621848"/>
    <n v="2021"/>
    <n v="3.7226890756302522"/>
    <n v="194"/>
    <n v="2215"/>
    <n v="91"/>
    <x v="1"/>
    <x v="8"/>
    <x v="64"/>
    <x v="0"/>
  </r>
  <r>
    <x v="1077"/>
    <x v="2"/>
    <n v="3"/>
    <x v="146"/>
    <s v="23-05-2016"/>
    <x v="7"/>
    <x v="12"/>
    <x v="12"/>
    <x v="3"/>
    <n v="3"/>
    <x v="12"/>
    <s v="MI"/>
    <s v="26-05-2016"/>
    <n v="702"/>
    <n v="702"/>
    <n v="100"/>
    <n v="8.7735042735042743"/>
    <n v="6159"/>
    <n v="8.9415954415954424"/>
    <n v="118"/>
    <n v="6277"/>
    <n v="69"/>
    <x v="1"/>
    <x v="4"/>
    <x v="64"/>
    <x v="0"/>
  </r>
  <r>
    <x v="1078"/>
    <x v="2"/>
    <n v="1"/>
    <x v="206"/>
    <s v="18-02-2016"/>
    <x v="2"/>
    <x v="17"/>
    <x v="17"/>
    <x v="3"/>
    <n v="3"/>
    <x v="17"/>
    <s v="OH"/>
    <s v="19-02-2016"/>
    <n v="303"/>
    <n v="303"/>
    <n v="100"/>
    <n v="4.7161716171617165"/>
    <n v="1429"/>
    <n v="22.095709570957094"/>
    <n v="5266"/>
    <n v="6695"/>
    <n v="65"/>
    <x v="1"/>
    <x v="5"/>
    <x v="84"/>
    <x v="0"/>
  </r>
  <r>
    <x v="1079"/>
    <x v="2"/>
    <n v="5"/>
    <x v="194"/>
    <s v="27-05-2016"/>
    <x v="7"/>
    <x v="19"/>
    <x v="19"/>
    <x v="0"/>
    <n v="3"/>
    <x v="19"/>
    <s v="WI"/>
    <s v="30-05-2016"/>
    <n v="478"/>
    <n v="478"/>
    <n v="100"/>
    <n v="15.799163179916318"/>
    <n v="7552"/>
    <n v="17.418410041841003"/>
    <n v="774"/>
    <n v="8326"/>
    <n v="50"/>
    <x v="1"/>
    <x v="6"/>
    <x v="64"/>
    <x v="0"/>
  </r>
  <r>
    <x v="1080"/>
    <x v="0"/>
    <n v="6"/>
    <x v="71"/>
    <s v="20-02-2016"/>
    <x v="2"/>
    <x v="18"/>
    <x v="18"/>
    <x v="1"/>
    <n v="3"/>
    <x v="18"/>
    <s v="IN"/>
    <s v="20-02-2016"/>
    <n v="384"/>
    <n v="384"/>
    <n v="100"/>
    <n v="17.471354166666668"/>
    <n v="6709"/>
    <n v="18.747395833333332"/>
    <n v="490"/>
    <n v="7199"/>
    <n v="79"/>
    <x v="1"/>
    <x v="9"/>
    <x v="85"/>
    <x v="1"/>
  </r>
  <r>
    <x v="1081"/>
    <x v="0"/>
    <n v="6"/>
    <x v="72"/>
    <s v="06-05-2016"/>
    <x v="7"/>
    <x v="1"/>
    <x v="1"/>
    <x v="1"/>
    <n v="3"/>
    <x v="1"/>
    <s v="WI"/>
    <s v="09-05-2016"/>
    <n v="1019"/>
    <n v="711"/>
    <n v="69.774288518155061"/>
    <n v="1.3326790971540725"/>
    <n v="1358"/>
    <n v="2.1334641805691854"/>
    <n v="816"/>
    <n v="2174"/>
    <n v="96"/>
    <x v="1"/>
    <x v="3"/>
    <x v="64"/>
    <x v="0"/>
  </r>
  <r>
    <x v="1082"/>
    <x v="2"/>
    <n v="2"/>
    <x v="121"/>
    <s v="15-02-2016"/>
    <x v="2"/>
    <x v="15"/>
    <x v="15"/>
    <x v="4"/>
    <n v="3"/>
    <x v="15"/>
    <s v="IL"/>
    <s v="18-02-2016"/>
    <n v="381"/>
    <n v="332"/>
    <n v="87.139107611548567"/>
    <n v="15.627296587926509"/>
    <n v="5954"/>
    <n v="17.719160104986877"/>
    <n v="797"/>
    <n v="6751"/>
    <n v="56"/>
    <x v="1"/>
    <x v="3"/>
    <x v="64"/>
    <x v="0"/>
  </r>
  <r>
    <x v="1083"/>
    <x v="2"/>
    <n v="1"/>
    <x v="310"/>
    <s v="07-06-2016"/>
    <x v="6"/>
    <x v="5"/>
    <x v="5"/>
    <x v="3"/>
    <n v="3"/>
    <x v="5"/>
    <s v="IA"/>
    <s v="10-06-2016"/>
    <n v="950"/>
    <n v="751"/>
    <n v="79.05263157894737"/>
    <n v="7.4210526315789478"/>
    <n v="7050"/>
    <n v="11.816842105263158"/>
    <n v="4176"/>
    <n v="11226"/>
    <n v="67"/>
    <x v="1"/>
    <x v="5"/>
    <x v="64"/>
    <x v="0"/>
  </r>
  <r>
    <x v="1084"/>
    <x v="0"/>
    <n v="5"/>
    <x v="108"/>
    <s v="14-02-2016"/>
    <x v="2"/>
    <x v="0"/>
    <x v="0"/>
    <x v="0"/>
    <n v="3"/>
    <x v="0"/>
    <s v="MI"/>
    <s v="17-02-2016"/>
    <n v="1067"/>
    <n v="679"/>
    <n v="63.636363636363633"/>
    <n v="4.1030927835051543"/>
    <n v="4378"/>
    <n v="4.5388940955951265"/>
    <n v="465"/>
    <n v="4843"/>
    <n v="100"/>
    <x v="1"/>
    <x v="7"/>
    <x v="64"/>
    <x v="0"/>
  </r>
  <r>
    <x v="1085"/>
    <x v="2"/>
    <n v="6"/>
    <x v="242"/>
    <s v="06-03-2016"/>
    <x v="1"/>
    <x v="21"/>
    <x v="21"/>
    <x v="2"/>
    <n v="3"/>
    <x v="21"/>
    <s v="IL"/>
    <s v="09-03-2016"/>
    <n v="425"/>
    <n v="425"/>
    <n v="100"/>
    <n v="18.308235294117647"/>
    <n v="7781"/>
    <n v="19.458823529411763"/>
    <n v="489"/>
    <n v="8270"/>
    <n v="88"/>
    <x v="1"/>
    <x v="5"/>
    <x v="64"/>
    <x v="0"/>
  </r>
  <r>
    <x v="1086"/>
    <x v="0"/>
    <n v="2"/>
    <x v="154"/>
    <s v="26-04-2016"/>
    <x v="0"/>
    <x v="11"/>
    <x v="11"/>
    <x v="2"/>
    <n v="3"/>
    <x v="11"/>
    <s v="MI"/>
    <s v="29-04-2016"/>
    <n v="1089"/>
    <n v="588"/>
    <n v="53.994490358126725"/>
    <n v="1.1946740128558311"/>
    <n v="1301"/>
    <n v="1.8301193755739211"/>
    <n v="692"/>
    <n v="1993"/>
    <n v="70"/>
    <x v="1"/>
    <x v="0"/>
    <x v="64"/>
    <x v="0"/>
  </r>
  <r>
    <x v="1087"/>
    <x v="2"/>
    <n v="6"/>
    <x v="268"/>
    <s v="28-04-2016"/>
    <x v="0"/>
    <x v="22"/>
    <x v="22"/>
    <x v="0"/>
    <n v="3"/>
    <x v="22"/>
    <s v="IL"/>
    <s v="29-04-2016"/>
    <n v="1170"/>
    <n v="381"/>
    <n v="32.564102564102562"/>
    <n v="4.6358974358974363"/>
    <n v="5424"/>
    <n v="5.1769230769230772"/>
    <n v="633"/>
    <n v="6057"/>
    <n v="65"/>
    <x v="1"/>
    <x v="1"/>
    <x v="84"/>
    <x v="0"/>
  </r>
  <r>
    <x v="1088"/>
    <x v="2"/>
    <n v="3"/>
    <x v="243"/>
    <s v="18-04-2016"/>
    <x v="0"/>
    <x v="2"/>
    <x v="2"/>
    <x v="1"/>
    <n v="3"/>
    <x v="2"/>
    <s v="IL"/>
    <s v="21-04-2016"/>
    <n v="887"/>
    <n v="220"/>
    <n v="24.80270574971815"/>
    <n v="1.47576099210823"/>
    <n v="1309"/>
    <n v="2.0777903043968431"/>
    <n v="534"/>
    <n v="1843"/>
    <n v="90"/>
    <x v="1"/>
    <x v="3"/>
    <x v="64"/>
    <x v="0"/>
  </r>
  <r>
    <x v="1089"/>
    <x v="2"/>
    <n v="2"/>
    <x v="125"/>
    <s v="09-07-2016"/>
    <x v="3"/>
    <x v="22"/>
    <x v="22"/>
    <x v="0"/>
    <n v="3"/>
    <x v="22"/>
    <s v="IL"/>
    <s v="12-07-2016"/>
    <n v="1135"/>
    <n v="746"/>
    <n v="65.726872246696033"/>
    <n v="3.3330396475770927"/>
    <n v="3783"/>
    <n v="3.4810572687224668"/>
    <n v="168"/>
    <n v="3951"/>
    <n v="56"/>
    <x v="1"/>
    <x v="2"/>
    <x v="64"/>
    <x v="0"/>
  </r>
  <r>
    <x v="1090"/>
    <x v="0"/>
    <n v="5"/>
    <x v="224"/>
    <s v="05-05-2016"/>
    <x v="7"/>
    <x v="13"/>
    <x v="13"/>
    <x v="1"/>
    <n v="3"/>
    <x v="13"/>
    <s v="OH"/>
    <s v="05-05-2016"/>
    <n v="919"/>
    <n v="672"/>
    <n v="73.122959738846575"/>
    <n v="8.8019586507072898"/>
    <n v="8089"/>
    <n v="9.0805223068552774"/>
    <n v="256"/>
    <n v="8345"/>
    <n v="61"/>
    <x v="1"/>
    <x v="8"/>
    <x v="85"/>
    <x v="1"/>
  </r>
  <r>
    <x v="1091"/>
    <x v="0"/>
    <n v="6"/>
    <x v="77"/>
    <s v="09-08-2016"/>
    <x v="5"/>
    <x v="14"/>
    <x v="14"/>
    <x v="1"/>
    <n v="3"/>
    <x v="14"/>
    <s v="IL"/>
    <s v="12-08-2016"/>
    <n v="720"/>
    <n v="546"/>
    <n v="75.833333333333329"/>
    <n v="5.5041666666666664"/>
    <n v="3963"/>
    <n v="5.854166666666667"/>
    <n v="252"/>
    <n v="4215"/>
    <n v="88"/>
    <x v="1"/>
    <x v="8"/>
    <x v="64"/>
    <x v="0"/>
  </r>
  <r>
    <x v="1092"/>
    <x v="2"/>
    <n v="6"/>
    <x v="198"/>
    <s v="13-07-2016"/>
    <x v="3"/>
    <x v="18"/>
    <x v="18"/>
    <x v="1"/>
    <n v="3"/>
    <x v="18"/>
    <s v="IN"/>
    <s v="16-07-2016"/>
    <n v="959"/>
    <n v="776"/>
    <n v="80.917622523461944"/>
    <n v="8.6308654848800828"/>
    <n v="8277"/>
    <n v="8.7768508863399379"/>
    <n v="140"/>
    <n v="8417"/>
    <n v="69"/>
    <x v="1"/>
    <x v="8"/>
    <x v="64"/>
    <x v="0"/>
  </r>
  <r>
    <x v="1093"/>
    <x v="2"/>
    <n v="3"/>
    <x v="199"/>
    <s v="13-08-2016"/>
    <x v="5"/>
    <x v="0"/>
    <x v="0"/>
    <x v="0"/>
    <n v="3"/>
    <x v="0"/>
    <s v="MI"/>
    <s v="16-08-2016"/>
    <n v="711"/>
    <n v="570"/>
    <n v="80.168776371308013"/>
    <n v="10.827004219409282"/>
    <n v="7698"/>
    <n v="11.784810126582279"/>
    <n v="681"/>
    <n v="8379"/>
    <n v="53"/>
    <x v="1"/>
    <x v="9"/>
    <x v="64"/>
    <x v="0"/>
  </r>
  <r>
    <x v="1094"/>
    <x v="0"/>
    <n v="3"/>
    <x v="15"/>
    <s v="04-05-2016"/>
    <x v="7"/>
    <x v="16"/>
    <x v="16"/>
    <x v="4"/>
    <n v="3"/>
    <x v="16"/>
    <s v="MI"/>
    <s v="07-05-2016"/>
    <n v="1060"/>
    <n v="202"/>
    <n v="19.056603773584907"/>
    <n v="4.6405660377358489"/>
    <n v="4919"/>
    <n v="5.2047169811320755"/>
    <n v="598"/>
    <n v="5517"/>
    <n v="71"/>
    <x v="1"/>
    <x v="1"/>
    <x v="64"/>
    <x v="0"/>
  </r>
  <r>
    <x v="1095"/>
    <x v="2"/>
    <n v="5"/>
    <x v="226"/>
    <s v="08-06-2016"/>
    <x v="6"/>
    <x v="8"/>
    <x v="8"/>
    <x v="3"/>
    <n v="3"/>
    <x v="8"/>
    <s v="OH"/>
    <s v="11-06-2016"/>
    <n v="476"/>
    <n v="385"/>
    <n v="80.882352941176478"/>
    <n v="9.2794117647058822"/>
    <n v="4417"/>
    <n v="9.8655462184873954"/>
    <n v="279"/>
    <n v="4696"/>
    <n v="58"/>
    <x v="1"/>
    <x v="1"/>
    <x v="64"/>
    <x v="0"/>
  </r>
  <r>
    <x v="1096"/>
    <x v="2"/>
    <n v="6"/>
    <x v="180"/>
    <s v="12-06-2016"/>
    <x v="6"/>
    <x v="0"/>
    <x v="0"/>
    <x v="0"/>
    <n v="3"/>
    <x v="0"/>
    <s v="MI"/>
    <s v="15-06-2016"/>
    <n v="942"/>
    <n v="645"/>
    <n v="68.471337579617824"/>
    <n v="1.3895966029723992"/>
    <n v="1309"/>
    <n v="1.6804670912951167"/>
    <n v="274"/>
    <n v="1583"/>
    <n v="71"/>
    <x v="1"/>
    <x v="2"/>
    <x v="64"/>
    <x v="0"/>
  </r>
  <r>
    <x v="1097"/>
    <x v="0"/>
    <n v="4"/>
    <x v="18"/>
    <s v="24-01-2016"/>
    <x v="4"/>
    <x v="2"/>
    <x v="2"/>
    <x v="1"/>
    <n v="3"/>
    <x v="2"/>
    <s v="IL"/>
    <s v="27-01-2016"/>
    <n v="1131"/>
    <n v="627"/>
    <n v="55.437665782493376"/>
    <n v="5.6410256410256414"/>
    <n v="6380"/>
    <n v="3.4244031830238728"/>
    <n v="-2507"/>
    <n v="3873"/>
    <n v="75"/>
    <x v="1"/>
    <x v="6"/>
    <x v="64"/>
    <x v="0"/>
  </r>
  <r>
    <x v="1098"/>
    <x v="2"/>
    <n v="2"/>
    <x v="63"/>
    <s v="16-01-2016"/>
    <x v="4"/>
    <x v="4"/>
    <x v="4"/>
    <x v="2"/>
    <n v="3"/>
    <x v="4"/>
    <s v="MI"/>
    <s v="19-01-2016"/>
    <n v="1006"/>
    <n v="459"/>
    <n v="45.62624254473161"/>
    <n v="3.4075546719681911"/>
    <n v="3428"/>
    <n v="4.2693836978131214"/>
    <n v="867"/>
    <n v="4295"/>
    <n v="84"/>
    <x v="1"/>
    <x v="3"/>
    <x v="64"/>
    <x v="0"/>
  </r>
  <r>
    <x v="1099"/>
    <x v="0"/>
    <n v="6"/>
    <x v="202"/>
    <s v="13-01-2016"/>
    <x v="4"/>
    <x v="13"/>
    <x v="13"/>
    <x v="1"/>
    <n v="3"/>
    <x v="13"/>
    <s v="OH"/>
    <s v="16-01-2016"/>
    <n v="1055"/>
    <n v="582"/>
    <n v="55.165876777251185"/>
    <n v="1.0180094786729859"/>
    <n v="1074"/>
    <n v="1.4938388625592418"/>
    <n v="502"/>
    <n v="1576"/>
    <n v="95"/>
    <x v="1"/>
    <x v="1"/>
    <x v="64"/>
    <x v="0"/>
  </r>
  <r>
    <x v="1100"/>
    <x v="2"/>
    <n v="1"/>
    <x v="250"/>
    <s v="15-07-2016"/>
    <x v="3"/>
    <x v="3"/>
    <x v="3"/>
    <x v="2"/>
    <n v="3"/>
    <x v="3"/>
    <s v="IL"/>
    <s v="18-07-2016"/>
    <n v="632"/>
    <n v="511"/>
    <n v="80.85443037974683"/>
    <n v="2.1376582278481013"/>
    <n v="1351"/>
    <n v="7.9889240506329111"/>
    <n v="3698"/>
    <n v="5049"/>
    <n v="98"/>
    <x v="1"/>
    <x v="8"/>
    <x v="64"/>
    <x v="0"/>
  </r>
  <r>
    <x v="1101"/>
    <x v="0"/>
    <n v="4"/>
    <x v="21"/>
    <s v="14-02-2016"/>
    <x v="2"/>
    <x v="10"/>
    <x v="10"/>
    <x v="1"/>
    <n v="3"/>
    <x v="10"/>
    <s v="IL"/>
    <s v="17-02-2016"/>
    <n v="756"/>
    <n v="711"/>
    <n v="94.047619047619051"/>
    <n v="11.363756613756614"/>
    <n v="8591"/>
    <n v="8.25"/>
    <n v="-2354"/>
    <n v="6237"/>
    <n v="59"/>
    <x v="1"/>
    <x v="7"/>
    <x v="64"/>
    <x v="0"/>
  </r>
  <r>
    <x v="1102"/>
    <x v="0"/>
    <n v="2"/>
    <x v="283"/>
    <s v="16-02-2016"/>
    <x v="2"/>
    <x v="14"/>
    <x v="14"/>
    <x v="1"/>
    <n v="3"/>
    <x v="14"/>
    <s v="IL"/>
    <s v="19-02-2016"/>
    <n v="837"/>
    <n v="268"/>
    <n v="32.019115890083633"/>
    <n v="0.83273596176821985"/>
    <n v="697"/>
    <n v="1.9534050179211468"/>
    <n v="938"/>
    <n v="1635"/>
    <n v="78"/>
    <x v="1"/>
    <x v="5"/>
    <x v="64"/>
    <x v="0"/>
  </r>
  <r>
    <x v="1103"/>
    <x v="2"/>
    <n v="3"/>
    <x v="251"/>
    <s v="08-02-2016"/>
    <x v="2"/>
    <x v="22"/>
    <x v="22"/>
    <x v="0"/>
    <n v="3"/>
    <x v="22"/>
    <s v="IL"/>
    <s v="13-02-2016"/>
    <n v="1001"/>
    <n v="438"/>
    <n v="43.756243756243755"/>
    <n v="5.6993006993006992"/>
    <n v="5705"/>
    <n v="6.34965034965035"/>
    <n v="651"/>
    <n v="6356"/>
    <n v="64"/>
    <x v="1"/>
    <x v="2"/>
    <x v="41"/>
    <x v="0"/>
  </r>
  <r>
    <x v="1104"/>
    <x v="2"/>
    <n v="3"/>
    <x v="43"/>
    <s v="04-03-2016"/>
    <x v="1"/>
    <x v="15"/>
    <x v="15"/>
    <x v="4"/>
    <n v="3"/>
    <x v="15"/>
    <s v="IL"/>
    <s v="07-03-2016"/>
    <n v="1133"/>
    <n v="279"/>
    <n v="24.624889673433362"/>
    <n v="0.58958517210944394"/>
    <n v="668"/>
    <n v="0.8455428067078552"/>
    <n v="290"/>
    <n v="958"/>
    <n v="85"/>
    <x v="1"/>
    <x v="3"/>
    <x v="64"/>
    <x v="0"/>
  </r>
  <r>
    <x v="1105"/>
    <x v="2"/>
    <n v="3"/>
    <x v="83"/>
    <s v="26-05-2016"/>
    <x v="7"/>
    <x v="20"/>
    <x v="20"/>
    <x v="1"/>
    <n v="3"/>
    <x v="20"/>
    <s v="IL"/>
    <s v="29-05-2016"/>
    <n v="278"/>
    <n v="278"/>
    <n v="100"/>
    <n v="12.525179856115107"/>
    <n v="3482"/>
    <n v="13.399280575539569"/>
    <n v="243"/>
    <n v="3725"/>
    <n v="68"/>
    <x v="1"/>
    <x v="5"/>
    <x v="64"/>
    <x v="0"/>
  </r>
  <r>
    <x v="1106"/>
    <x v="0"/>
    <n v="3"/>
    <x v="128"/>
    <s v="21-02-2016"/>
    <x v="2"/>
    <x v="12"/>
    <x v="12"/>
    <x v="3"/>
    <n v="3"/>
    <x v="12"/>
    <s v="MI"/>
    <s v="24-02-2016"/>
    <n v="386"/>
    <n v="278"/>
    <n v="72.020725388601036"/>
    <n v="5.323834196891192"/>
    <n v="2055"/>
    <n v="7.2538860103626943"/>
    <n v="745"/>
    <n v="2800"/>
    <n v="91"/>
    <x v="1"/>
    <x v="7"/>
    <x v="64"/>
    <x v="0"/>
  </r>
  <r>
    <x v="1107"/>
    <x v="0"/>
    <n v="6"/>
    <x v="252"/>
    <s v="24-07-2016"/>
    <x v="3"/>
    <x v="17"/>
    <x v="17"/>
    <x v="3"/>
    <n v="3"/>
    <x v="17"/>
    <s v="OH"/>
    <s v="30-07-2016"/>
    <n v="522"/>
    <n v="215"/>
    <n v="41.187739463601531"/>
    <n v="5.7394636015325666"/>
    <n v="2996"/>
    <n v="6.4195402298850572"/>
    <n v="355"/>
    <n v="3351"/>
    <n v="50"/>
    <x v="1"/>
    <x v="7"/>
    <x v="28"/>
    <x v="0"/>
  </r>
  <r>
    <x v="1108"/>
    <x v="0"/>
    <n v="1"/>
    <x v="158"/>
    <s v="06-06-2016"/>
    <x v="6"/>
    <x v="14"/>
    <x v="14"/>
    <x v="1"/>
    <n v="3"/>
    <x v="14"/>
    <s v="IL"/>
    <s v="09-06-2016"/>
    <n v="264"/>
    <n v="264"/>
    <n v="100"/>
    <n v="4.0189393939393936"/>
    <n v="1061"/>
    <n v="21.867424242424242"/>
    <n v="4712"/>
    <n v="5773"/>
    <n v="65"/>
    <x v="1"/>
    <x v="7"/>
    <x v="64"/>
    <x v="0"/>
  </r>
  <r>
    <x v="1109"/>
    <x v="2"/>
    <n v="1"/>
    <x v="307"/>
    <s v="03-05-2016"/>
    <x v="7"/>
    <x v="21"/>
    <x v="21"/>
    <x v="2"/>
    <n v="3"/>
    <x v="21"/>
    <s v="IL"/>
    <s v="06-05-2016"/>
    <n v="1011"/>
    <n v="545"/>
    <n v="53.90702274975272"/>
    <n v="3.3570722057368942"/>
    <n v="3394"/>
    <n v="8.4144411473788328"/>
    <n v="5113"/>
    <n v="8507"/>
    <n v="78"/>
    <x v="1"/>
    <x v="1"/>
    <x v="64"/>
    <x v="0"/>
  </r>
  <r>
    <x v="1110"/>
    <x v="0"/>
    <n v="5"/>
    <x v="48"/>
    <s v="18-01-2016"/>
    <x v="4"/>
    <x v="5"/>
    <x v="5"/>
    <x v="3"/>
    <n v="3"/>
    <x v="5"/>
    <s v="IA"/>
    <s v="21-01-2016"/>
    <n v="398"/>
    <n v="398"/>
    <n v="100"/>
    <n v="18.547738693467338"/>
    <n v="7382"/>
    <n v="20.570351758793969"/>
    <n v="805"/>
    <n v="8187"/>
    <n v="86"/>
    <x v="1"/>
    <x v="2"/>
    <x v="64"/>
    <x v="0"/>
  </r>
  <r>
    <x v="1111"/>
    <x v="2"/>
    <n v="2"/>
    <x v="304"/>
    <s v="15-06-2016"/>
    <x v="6"/>
    <x v="13"/>
    <x v="13"/>
    <x v="1"/>
    <n v="3"/>
    <x v="13"/>
    <s v="OH"/>
    <s v="21-06-2016"/>
    <n v="559"/>
    <n v="559"/>
    <n v="100"/>
    <n v="3.2164579606440071"/>
    <n v="1798"/>
    <n v="3.8479427549194991"/>
    <n v="353"/>
    <n v="2151"/>
    <n v="64"/>
    <x v="1"/>
    <x v="8"/>
    <x v="28"/>
    <x v="0"/>
  </r>
  <r>
    <x v="1112"/>
    <x v="2"/>
    <n v="6"/>
    <x v="191"/>
    <s v="28-01-2016"/>
    <x v="4"/>
    <x v="20"/>
    <x v="20"/>
    <x v="1"/>
    <n v="3"/>
    <x v="20"/>
    <s v="IL"/>
    <s v="31-01-2016"/>
    <n v="539"/>
    <n v="453"/>
    <n v="84.044526901669755"/>
    <n v="11.896103896103897"/>
    <n v="6412"/>
    <n v="13.569573283858999"/>
    <n v="902"/>
    <n v="7314"/>
    <n v="90"/>
    <x v="1"/>
    <x v="5"/>
    <x v="64"/>
    <x v="0"/>
  </r>
  <r>
    <x v="1113"/>
    <x v="2"/>
    <n v="2"/>
    <x v="274"/>
    <s v="25-02-2016"/>
    <x v="2"/>
    <x v="12"/>
    <x v="12"/>
    <x v="3"/>
    <n v="3"/>
    <x v="12"/>
    <s v="MI"/>
    <s v="28-02-2016"/>
    <n v="1006"/>
    <n v="683"/>
    <n v="67.89264413518886"/>
    <n v="7.6491053677932408"/>
    <n v="7695"/>
    <n v="8.5477137176938367"/>
    <n v="904"/>
    <n v="8599"/>
    <n v="60"/>
    <x v="1"/>
    <x v="9"/>
    <x v="64"/>
    <x v="0"/>
  </r>
  <r>
    <x v="1114"/>
    <x v="0"/>
    <n v="3"/>
    <x v="65"/>
    <s v="25-01-2016"/>
    <x v="4"/>
    <x v="7"/>
    <x v="7"/>
    <x v="5"/>
    <n v="3"/>
    <x v="7"/>
    <s v="WI"/>
    <s v="28-01-2016"/>
    <n v="518"/>
    <n v="452"/>
    <n v="87.25868725868726"/>
    <n v="7.281853281853282"/>
    <n v="3772"/>
    <n v="8.7027027027027035"/>
    <n v="736"/>
    <n v="4508"/>
    <n v="82"/>
    <x v="1"/>
    <x v="2"/>
    <x v="64"/>
    <x v="0"/>
  </r>
  <r>
    <x v="1115"/>
    <x v="0"/>
    <n v="5"/>
    <x v="294"/>
    <s v="04-03-2016"/>
    <x v="1"/>
    <x v="16"/>
    <x v="16"/>
    <x v="4"/>
    <n v="3"/>
    <x v="16"/>
    <s v="MI"/>
    <s v="07-03-2016"/>
    <n v="287"/>
    <n v="287"/>
    <n v="100"/>
    <n v="10.017421602787456"/>
    <n v="2875"/>
    <n v="11.961672473867596"/>
    <n v="558"/>
    <n v="3433"/>
    <n v="97"/>
    <x v="1"/>
    <x v="6"/>
    <x v="64"/>
    <x v="0"/>
  </r>
  <r>
    <x v="1116"/>
    <x v="0"/>
    <n v="1"/>
    <x v="144"/>
    <s v="29-08-2016"/>
    <x v="5"/>
    <x v="22"/>
    <x v="22"/>
    <x v="0"/>
    <n v="3"/>
    <x v="22"/>
    <s v="IL"/>
    <s v="01-09-2016"/>
    <n v="689"/>
    <n v="528"/>
    <n v="76.632801161103046"/>
    <n v="11.477503628447025"/>
    <n v="7908"/>
    <n v="16.770682148040638"/>
    <n v="3647"/>
    <n v="11555"/>
    <n v="56"/>
    <x v="1"/>
    <x v="2"/>
    <x v="64"/>
    <x v="0"/>
  </r>
  <r>
    <x v="1117"/>
    <x v="0"/>
    <n v="2"/>
    <x v="23"/>
    <s v="21-08-2016"/>
    <x v="5"/>
    <x v="21"/>
    <x v="21"/>
    <x v="2"/>
    <n v="3"/>
    <x v="21"/>
    <s v="IL"/>
    <s v="24-08-2016"/>
    <n v="1192"/>
    <n v="439"/>
    <n v="36.828859060402685"/>
    <n v="1.5310402684563758"/>
    <n v="1825"/>
    <n v="1.8917785234899329"/>
    <n v="430"/>
    <n v="2255"/>
    <n v="67"/>
    <x v="1"/>
    <x v="1"/>
    <x v="64"/>
    <x v="0"/>
  </r>
  <r>
    <x v="1118"/>
    <x v="2"/>
    <n v="1"/>
    <x v="88"/>
    <s v="13-01-2016"/>
    <x v="4"/>
    <x v="11"/>
    <x v="11"/>
    <x v="2"/>
    <n v="3"/>
    <x v="11"/>
    <s v="MI"/>
    <s v="16-01-2016"/>
    <n v="202"/>
    <n v="202"/>
    <n v="100"/>
    <n v="14.009900990099009"/>
    <n v="2830"/>
    <n v="33.960396039603964"/>
    <n v="4030"/>
    <n v="6860"/>
    <n v="96"/>
    <x v="1"/>
    <x v="9"/>
    <x v="64"/>
    <x v="0"/>
  </r>
  <r>
    <x v="1119"/>
    <x v="0"/>
    <n v="5"/>
    <x v="69"/>
    <s v="08-04-2016"/>
    <x v="0"/>
    <x v="6"/>
    <x v="6"/>
    <x v="4"/>
    <n v="3"/>
    <x v="6"/>
    <s v="IN"/>
    <s v="11-04-2016"/>
    <n v="504"/>
    <n v="286"/>
    <n v="56.746031746031747"/>
    <n v="4.7698412698412698"/>
    <n v="2404"/>
    <n v="5.3769841269841274"/>
    <n v="306"/>
    <n v="2710"/>
    <n v="52"/>
    <x v="1"/>
    <x v="3"/>
    <x v="64"/>
    <x v="0"/>
  </r>
  <r>
    <x v="1120"/>
    <x v="0"/>
    <n v="2"/>
    <x v="296"/>
    <s v="04-03-2016"/>
    <x v="1"/>
    <x v="15"/>
    <x v="15"/>
    <x v="4"/>
    <n v="3"/>
    <x v="15"/>
    <s v="IL"/>
    <s v="04-03-2016"/>
    <n v="1014"/>
    <n v="235"/>
    <n v="23.175542406311635"/>
    <n v="2.9960552268244576"/>
    <n v="3038"/>
    <n v="3.4950690335305721"/>
    <n v="506"/>
    <n v="3544"/>
    <n v="100"/>
    <x v="1"/>
    <x v="8"/>
    <x v="85"/>
    <x v="1"/>
  </r>
  <r>
    <x v="1121"/>
    <x v="0"/>
    <n v="6"/>
    <x v="145"/>
    <s v="13-08-2016"/>
    <x v="5"/>
    <x v="17"/>
    <x v="17"/>
    <x v="3"/>
    <n v="3"/>
    <x v="17"/>
    <s v="OH"/>
    <s v="16-08-2016"/>
    <n v="356"/>
    <n v="356"/>
    <n v="100"/>
    <n v="1.053370786516854"/>
    <n v="375"/>
    <n v="3.4831460674157304"/>
    <n v="865"/>
    <n v="1240"/>
    <n v="62"/>
    <x v="1"/>
    <x v="2"/>
    <x v="64"/>
    <x v="0"/>
  </r>
  <r>
    <x v="1122"/>
    <x v="0"/>
    <n v="1"/>
    <x v="236"/>
    <s v="07-08-2016"/>
    <x v="5"/>
    <x v="3"/>
    <x v="3"/>
    <x v="2"/>
    <n v="3"/>
    <x v="3"/>
    <s v="IL"/>
    <s v="10-08-2016"/>
    <n v="689"/>
    <n v="399"/>
    <n v="57.910014513788099"/>
    <n v="4.1654571843251089"/>
    <n v="2870"/>
    <n v="11.486211901306241"/>
    <n v="5044"/>
    <n v="7914"/>
    <n v="65"/>
    <x v="1"/>
    <x v="9"/>
    <x v="64"/>
    <x v="0"/>
  </r>
  <r>
    <x v="1123"/>
    <x v="0"/>
    <n v="2"/>
    <x v="161"/>
    <s v="14-02-2016"/>
    <x v="2"/>
    <x v="21"/>
    <x v="21"/>
    <x v="2"/>
    <n v="3"/>
    <x v="21"/>
    <s v="IL"/>
    <s v="17-02-2016"/>
    <n v="444"/>
    <n v="255"/>
    <n v="57.432432432432435"/>
    <n v="13.594594594594595"/>
    <n v="6036"/>
    <n v="14.650900900900901"/>
    <n v="469"/>
    <n v="6505"/>
    <n v="53"/>
    <x v="1"/>
    <x v="8"/>
    <x v="64"/>
    <x v="0"/>
  </r>
  <r>
    <x v="1124"/>
    <x v="0"/>
    <n v="1"/>
    <x v="286"/>
    <s v="01-03-2016"/>
    <x v="1"/>
    <x v="10"/>
    <x v="10"/>
    <x v="1"/>
    <n v="3"/>
    <x v="10"/>
    <s v="IL"/>
    <s v="04-03-2016"/>
    <n v="576"/>
    <n v="359"/>
    <n v="62.326388888888886"/>
    <n v="1.3888888888888888E-2"/>
    <n v="8"/>
    <n v="6.4409722222222223"/>
    <n v="3702"/>
    <n v="3710"/>
    <n v="52"/>
    <x v="1"/>
    <x v="8"/>
    <x v="64"/>
    <x v="0"/>
  </r>
  <r>
    <x v="1125"/>
    <x v="2"/>
    <n v="3"/>
    <x v="195"/>
    <s v="04-02-2016"/>
    <x v="2"/>
    <x v="17"/>
    <x v="17"/>
    <x v="3"/>
    <n v="3"/>
    <x v="17"/>
    <s v="OH"/>
    <s v="07-02-2016"/>
    <n v="888"/>
    <n v="204"/>
    <n v="22.972972972972975"/>
    <n v="6.7398648648648649"/>
    <n v="5985"/>
    <n v="6.9819819819819822"/>
    <n v="215"/>
    <n v="6200"/>
    <n v="60"/>
    <x v="1"/>
    <x v="9"/>
    <x v="64"/>
    <x v="0"/>
  </r>
  <r>
    <x v="1126"/>
    <x v="2"/>
    <n v="3"/>
    <x v="288"/>
    <s v="01-06-2016"/>
    <x v="6"/>
    <x v="13"/>
    <x v="13"/>
    <x v="1"/>
    <n v="3"/>
    <x v="13"/>
    <s v="OH"/>
    <s v="04-06-2016"/>
    <n v="378"/>
    <n v="284"/>
    <n v="75.132275132275126"/>
    <n v="4.1137566137566139"/>
    <n v="1555"/>
    <n v="4.4973544973544977"/>
    <n v="145"/>
    <n v="1700"/>
    <n v="54"/>
    <x v="1"/>
    <x v="2"/>
    <x v="64"/>
    <x v="0"/>
  </r>
  <r>
    <x v="1127"/>
    <x v="2"/>
    <n v="1"/>
    <x v="153"/>
    <s v="05-07-2016"/>
    <x v="3"/>
    <x v="12"/>
    <x v="12"/>
    <x v="3"/>
    <n v="3"/>
    <x v="12"/>
    <s v="MI"/>
    <s v="08-07-2016"/>
    <n v="572"/>
    <n v="324"/>
    <n v="56.643356643356647"/>
    <n v="14.386363636363637"/>
    <n v="8229"/>
    <n v="23.164335664335663"/>
    <n v="5021"/>
    <n v="13250"/>
    <n v="62"/>
    <x v="1"/>
    <x v="8"/>
    <x v="64"/>
    <x v="0"/>
  </r>
  <r>
    <x v="1128"/>
    <x v="0"/>
    <n v="6"/>
    <x v="268"/>
    <s v="27-04-2016"/>
    <x v="0"/>
    <x v="13"/>
    <x v="13"/>
    <x v="1"/>
    <n v="3"/>
    <x v="13"/>
    <s v="OH"/>
    <s v="29-04-2016"/>
    <n v="320"/>
    <n v="320"/>
    <n v="100"/>
    <n v="16.728124999999999"/>
    <n v="5353"/>
    <n v="19.565625000000001"/>
    <n v="908"/>
    <n v="6261"/>
    <n v="72"/>
    <x v="1"/>
    <x v="7"/>
    <x v="76"/>
    <x v="0"/>
  </r>
  <r>
    <x v="1129"/>
    <x v="2"/>
    <n v="6"/>
    <x v="259"/>
    <s v="18-06-2016"/>
    <x v="6"/>
    <x v="21"/>
    <x v="21"/>
    <x v="2"/>
    <n v="3"/>
    <x v="21"/>
    <s v="IL"/>
    <s v="21-06-2016"/>
    <n v="449"/>
    <n v="412"/>
    <n v="91.759465478841875"/>
    <n v="4.7572383073496658"/>
    <n v="2136"/>
    <n v="6.8218262806236076"/>
    <n v="927"/>
    <n v="3063"/>
    <n v="56"/>
    <x v="1"/>
    <x v="1"/>
    <x v="64"/>
    <x v="0"/>
  </r>
  <r>
    <x v="1130"/>
    <x v="2"/>
    <n v="4"/>
    <x v="56"/>
    <s v="28-03-2016"/>
    <x v="1"/>
    <x v="17"/>
    <x v="17"/>
    <x v="3"/>
    <n v="3"/>
    <x v="17"/>
    <s v="OH"/>
    <s v="31-03-2016"/>
    <n v="1174"/>
    <n v="708"/>
    <n v="60.306643952299829"/>
    <n v="2.3500851788756387"/>
    <n v="2759"/>
    <n v="1.25809199318569"/>
    <n v="-1282"/>
    <n v="1477"/>
    <n v="55"/>
    <x v="1"/>
    <x v="2"/>
    <x v="64"/>
    <x v="0"/>
  </r>
  <r>
    <x v="1131"/>
    <x v="0"/>
    <n v="3"/>
    <x v="57"/>
    <s v="20-05-2016"/>
    <x v="7"/>
    <x v="9"/>
    <x v="9"/>
    <x v="3"/>
    <n v="3"/>
    <x v="9"/>
    <s v="IN"/>
    <s v="23-05-2016"/>
    <n v="240"/>
    <n v="240"/>
    <n v="100"/>
    <n v="9.3458333333333332"/>
    <n v="2243"/>
    <n v="11.4375"/>
    <n v="502"/>
    <n v="2745"/>
    <n v="84"/>
    <x v="1"/>
    <x v="5"/>
    <x v="64"/>
    <x v="0"/>
  </r>
  <r>
    <x v="1132"/>
    <x v="2"/>
    <n v="6"/>
    <x v="163"/>
    <s v="19-01-2016"/>
    <x v="4"/>
    <x v="21"/>
    <x v="21"/>
    <x v="2"/>
    <n v="3"/>
    <x v="21"/>
    <s v="IL"/>
    <s v="22-01-2016"/>
    <n v="560"/>
    <n v="560"/>
    <n v="100"/>
    <n v="13.092857142857143"/>
    <n v="7332"/>
    <n v="14.771428571428572"/>
    <n v="940"/>
    <n v="8272"/>
    <n v="81"/>
    <x v="1"/>
    <x v="1"/>
    <x v="64"/>
    <x v="0"/>
  </r>
  <r>
    <x v="1133"/>
    <x v="0"/>
    <n v="2"/>
    <x v="212"/>
    <s v="18-03-2016"/>
    <x v="1"/>
    <x v="14"/>
    <x v="14"/>
    <x v="1"/>
    <n v="3"/>
    <x v="14"/>
    <s v="IL"/>
    <s v="21-03-2016"/>
    <n v="1162"/>
    <n v="320"/>
    <n v="27.538726333907054"/>
    <n v="2.1239242685025816"/>
    <n v="2468"/>
    <n v="2.4397590361445785"/>
    <n v="367"/>
    <n v="2835"/>
    <n v="92"/>
    <x v="1"/>
    <x v="7"/>
    <x v="64"/>
    <x v="0"/>
  </r>
  <r>
    <x v="1134"/>
    <x v="2"/>
    <n v="2"/>
    <x v="198"/>
    <s v="19-05-2016"/>
    <x v="7"/>
    <x v="22"/>
    <x v="22"/>
    <x v="0"/>
    <n v="3"/>
    <x v="22"/>
    <s v="IL"/>
    <s v="22-05-2016"/>
    <n v="960"/>
    <n v="415"/>
    <n v="43.229166666666671"/>
    <n v="5.4468750000000004"/>
    <n v="5229"/>
    <n v="5.6020833333333337"/>
    <n v="149"/>
    <n v="5378"/>
    <n v="89"/>
    <x v="1"/>
    <x v="2"/>
    <x v="64"/>
    <x v="0"/>
  </r>
  <r>
    <x v="1135"/>
    <x v="2"/>
    <n v="2"/>
    <x v="96"/>
    <s v="10-06-2016"/>
    <x v="6"/>
    <x v="19"/>
    <x v="19"/>
    <x v="0"/>
    <n v="3"/>
    <x v="19"/>
    <s v="WI"/>
    <s v="13-06-2016"/>
    <n v="988"/>
    <n v="584"/>
    <n v="59.109311740890689"/>
    <n v="3.3947368421052633"/>
    <n v="3354"/>
    <n v="4.3309716599190287"/>
    <n v="925"/>
    <n v="4279"/>
    <n v="61"/>
    <x v="1"/>
    <x v="2"/>
    <x v="64"/>
    <x v="0"/>
  </r>
  <r>
    <x v="1136"/>
    <x v="2"/>
    <n v="5"/>
    <x v="36"/>
    <s v="13-07-2016"/>
    <x v="3"/>
    <x v="20"/>
    <x v="20"/>
    <x v="1"/>
    <n v="3"/>
    <x v="20"/>
    <s v="IL"/>
    <s v="16-07-2016"/>
    <n v="409"/>
    <n v="409"/>
    <n v="100"/>
    <n v="12.398533007334963"/>
    <n v="5071"/>
    <n v="13.843520782396087"/>
    <n v="591"/>
    <n v="5662"/>
    <n v="83"/>
    <x v="1"/>
    <x v="5"/>
    <x v="64"/>
    <x v="0"/>
  </r>
  <r>
    <x v="1137"/>
    <x v="2"/>
    <n v="5"/>
    <x v="318"/>
    <s v="08-06-2016"/>
    <x v="6"/>
    <x v="15"/>
    <x v="15"/>
    <x v="4"/>
    <n v="3"/>
    <x v="15"/>
    <s v="IL"/>
    <s v="09-06-2016"/>
    <n v="650"/>
    <n v="557"/>
    <n v="85.692307692307693"/>
    <n v="5.86"/>
    <n v="3809"/>
    <n v="6.9184615384615382"/>
    <n v="688"/>
    <n v="4497"/>
    <n v="73"/>
    <x v="1"/>
    <x v="6"/>
    <x v="84"/>
    <x v="0"/>
  </r>
  <r>
    <x v="1138"/>
    <x v="0"/>
    <n v="5"/>
    <x v="100"/>
    <s v="28-04-2016"/>
    <x v="0"/>
    <x v="18"/>
    <x v="18"/>
    <x v="1"/>
    <n v="3"/>
    <x v="18"/>
    <s v="IN"/>
    <s v="28-04-2016"/>
    <n v="751"/>
    <n v="552"/>
    <n v="73.501997336884145"/>
    <n v="10.041278295605858"/>
    <n v="7541"/>
    <n v="11.079893475366179"/>
    <n v="780"/>
    <n v="8321"/>
    <n v="65"/>
    <x v="1"/>
    <x v="0"/>
    <x v="85"/>
    <x v="1"/>
  </r>
  <r>
    <x v="1139"/>
    <x v="0"/>
    <n v="2"/>
    <x v="1"/>
    <s v="15-04-2016"/>
    <x v="0"/>
    <x v="1"/>
    <x v="1"/>
    <x v="1"/>
    <n v="3"/>
    <x v="1"/>
    <s v="WI"/>
    <s v="18-04-2016"/>
    <n v="632"/>
    <n v="239"/>
    <n v="37.816455696202532"/>
    <n v="0.36234177215189872"/>
    <n v="229"/>
    <n v="1.5664556962025316"/>
    <n v="761"/>
    <n v="990"/>
    <n v="65"/>
    <x v="1"/>
    <x v="6"/>
    <x v="64"/>
    <x v="0"/>
  </r>
  <r>
    <x v="1140"/>
    <x v="2"/>
    <n v="4"/>
    <x v="37"/>
    <s v="06-08-2016"/>
    <x v="5"/>
    <x v="15"/>
    <x v="15"/>
    <x v="4"/>
    <n v="3"/>
    <x v="15"/>
    <s v="IL"/>
    <s v="09-08-2016"/>
    <n v="880"/>
    <n v="362"/>
    <n v="41.13636363636364"/>
    <n v="7.144318181818182"/>
    <n v="6287"/>
    <n v="4.8863636363636367"/>
    <n v="-1987"/>
    <n v="4300"/>
    <n v="50"/>
    <x v="1"/>
    <x v="4"/>
    <x v="64"/>
    <x v="0"/>
  </r>
  <r>
    <x v="1141"/>
    <x v="0"/>
    <n v="6"/>
    <x v="298"/>
    <s v="08-01-2016"/>
    <x v="4"/>
    <x v="13"/>
    <x v="13"/>
    <x v="1"/>
    <n v="3"/>
    <x v="13"/>
    <s v="OH"/>
    <s v="09-01-2016"/>
    <n v="1135"/>
    <n v="518"/>
    <n v="45.63876651982379"/>
    <n v="0.37973568281938325"/>
    <n v="431"/>
    <n v="0.76828193832599123"/>
    <n v="441"/>
    <n v="872"/>
    <n v="66"/>
    <x v="1"/>
    <x v="2"/>
    <x v="84"/>
    <x v="0"/>
  </r>
  <r>
    <x v="1142"/>
    <x v="2"/>
    <n v="4"/>
    <x v="312"/>
    <s v="10-03-2016"/>
    <x v="1"/>
    <x v="22"/>
    <x v="22"/>
    <x v="0"/>
    <n v="3"/>
    <x v="22"/>
    <s v="IL"/>
    <s v="13-03-2016"/>
    <n v="988"/>
    <n v="352"/>
    <n v="35.627530364372468"/>
    <n v="7.6761133603238862"/>
    <n v="7584"/>
    <n v="5.1163967611336032"/>
    <n v="-2529"/>
    <n v="5055"/>
    <n v="64"/>
    <x v="1"/>
    <x v="1"/>
    <x v="64"/>
    <x v="0"/>
  </r>
  <r>
    <x v="1143"/>
    <x v="0"/>
    <n v="7"/>
    <x v="180"/>
    <s v="21-05-2016"/>
    <x v="7"/>
    <x v="3"/>
    <x v="3"/>
    <x v="2"/>
    <n v="2"/>
    <x v="3"/>
    <s v="IL"/>
    <s v="23-05-2016"/>
    <n v="317"/>
    <n v="317"/>
    <n v="100"/>
    <n v="2.0378548895899056"/>
    <n v="646"/>
    <n v="3.7823343848580442"/>
    <n v="553"/>
    <n v="1199"/>
    <n v="62"/>
    <x v="1"/>
    <x v="2"/>
    <x v="76"/>
    <x v="0"/>
  </r>
  <r>
    <x v="1144"/>
    <x v="1"/>
    <n v="6"/>
    <x v="298"/>
    <s v="24-05-2016"/>
    <x v="7"/>
    <x v="13"/>
    <x v="13"/>
    <x v="1"/>
    <n v="2"/>
    <x v="13"/>
    <s v="OH"/>
    <s v="25-05-2016"/>
    <n v="220"/>
    <n v="220"/>
    <n v="100"/>
    <n v="26.236363636363638"/>
    <n v="5772"/>
    <n v="29.504545454545454"/>
    <n v="719"/>
    <n v="6491"/>
    <n v="83"/>
    <x v="1"/>
    <x v="5"/>
    <x v="84"/>
    <x v="0"/>
  </r>
  <r>
    <x v="1145"/>
    <x v="0"/>
    <n v="7"/>
    <x v="18"/>
    <s v="03-01-2016"/>
    <x v="4"/>
    <x v="20"/>
    <x v="20"/>
    <x v="1"/>
    <n v="2"/>
    <x v="20"/>
    <s v="IL"/>
    <s v="05-01-2016"/>
    <n v="786"/>
    <n v="347"/>
    <n v="44.147582697201017"/>
    <n v="4.83587786259542"/>
    <n v="3801"/>
    <n v="5.1908396946564883"/>
    <n v="279"/>
    <n v="4080"/>
    <n v="54"/>
    <x v="1"/>
    <x v="3"/>
    <x v="76"/>
    <x v="0"/>
  </r>
  <r>
    <x v="1146"/>
    <x v="0"/>
    <n v="6"/>
    <x v="190"/>
    <s v="07-07-2016"/>
    <x v="3"/>
    <x v="7"/>
    <x v="7"/>
    <x v="5"/>
    <n v="2"/>
    <x v="7"/>
    <s v="WI"/>
    <s v="09-07-2016"/>
    <n v="874"/>
    <n v="325"/>
    <n v="37.185354691075517"/>
    <n v="0.6167048054919908"/>
    <n v="539"/>
    <n v="1.402745995423341"/>
    <n v="687"/>
    <n v="1226"/>
    <n v="82"/>
    <x v="1"/>
    <x v="5"/>
    <x v="76"/>
    <x v="0"/>
  </r>
  <r>
    <x v="1147"/>
    <x v="0"/>
    <n v="6"/>
    <x v="282"/>
    <s v="04-04-2016"/>
    <x v="0"/>
    <x v="3"/>
    <x v="3"/>
    <x v="2"/>
    <n v="2"/>
    <x v="3"/>
    <s v="IL"/>
    <s v="06-04-2016"/>
    <n v="1068"/>
    <n v="267"/>
    <n v="25"/>
    <n v="8.2397003745318345E-2"/>
    <n v="88"/>
    <n v="0.85299625468164797"/>
    <n v="823"/>
    <n v="911"/>
    <n v="73"/>
    <x v="1"/>
    <x v="3"/>
    <x v="76"/>
    <x v="0"/>
  </r>
  <r>
    <x v="1148"/>
    <x v="0"/>
    <n v="8"/>
    <x v="63"/>
    <s v="12-03-2016"/>
    <x v="1"/>
    <x v="10"/>
    <x v="10"/>
    <x v="1"/>
    <n v="2"/>
    <x v="10"/>
    <s v="IL"/>
    <s v="14-03-2016"/>
    <n v="680"/>
    <n v="303"/>
    <n v="44.558823529411768"/>
    <n v="2.0838235294117649"/>
    <n v="1417"/>
    <n v="2.4455882352941178"/>
    <n v="246"/>
    <n v="1663"/>
    <n v="85"/>
    <x v="1"/>
    <x v="3"/>
    <x v="76"/>
    <x v="0"/>
  </r>
  <r>
    <x v="1149"/>
    <x v="1"/>
    <n v="4"/>
    <x v="157"/>
    <s v="05-01-2016"/>
    <x v="4"/>
    <x v="14"/>
    <x v="14"/>
    <x v="1"/>
    <n v="2"/>
    <x v="14"/>
    <s v="IL"/>
    <s v="07-01-2016"/>
    <n v="1004"/>
    <n v="289"/>
    <n v="28.784860557768926"/>
    <n v="4.0089641434262946"/>
    <n v="4025"/>
    <n v="2.5876494023904382"/>
    <n v="-1427"/>
    <n v="2598"/>
    <n v="52"/>
    <x v="1"/>
    <x v="7"/>
    <x v="76"/>
    <x v="0"/>
  </r>
  <r>
    <x v="1150"/>
    <x v="0"/>
    <n v="7"/>
    <x v="202"/>
    <s v="31-01-2016"/>
    <x v="4"/>
    <x v="18"/>
    <x v="18"/>
    <x v="1"/>
    <n v="2"/>
    <x v="18"/>
    <s v="IN"/>
    <s v="02-02-2016"/>
    <n v="508"/>
    <n v="321"/>
    <n v="63.188976377952756"/>
    <n v="6.106299212598425"/>
    <n v="3102"/>
    <n v="7.1948818897637796"/>
    <n v="553"/>
    <n v="3655"/>
    <n v="54"/>
    <x v="1"/>
    <x v="9"/>
    <x v="76"/>
    <x v="0"/>
  </r>
  <r>
    <x v="1151"/>
    <x v="0"/>
    <n v="6"/>
    <x v="272"/>
    <s v="17-07-2016"/>
    <x v="3"/>
    <x v="1"/>
    <x v="1"/>
    <x v="1"/>
    <n v="2"/>
    <x v="1"/>
    <s v="WI"/>
    <s v="19-07-2016"/>
    <n v="1102"/>
    <n v="446"/>
    <n v="40.471869328493646"/>
    <n v="3.9519056261343013"/>
    <n v="4355"/>
    <n v="4.4564428312159707"/>
    <n v="556"/>
    <n v="4911"/>
    <n v="79"/>
    <x v="1"/>
    <x v="2"/>
    <x v="76"/>
    <x v="0"/>
  </r>
  <r>
    <x v="1152"/>
    <x v="1"/>
    <n v="8"/>
    <x v="273"/>
    <s v="23-06-2016"/>
    <x v="6"/>
    <x v="12"/>
    <x v="12"/>
    <x v="3"/>
    <n v="2"/>
    <x v="12"/>
    <s v="MI"/>
    <s v="25-06-2016"/>
    <n v="363"/>
    <n v="363"/>
    <n v="100"/>
    <n v="21.876033057851238"/>
    <n v="7941"/>
    <n v="24.446280991735538"/>
    <n v="933"/>
    <n v="8874"/>
    <n v="78"/>
    <x v="1"/>
    <x v="4"/>
    <x v="76"/>
    <x v="0"/>
  </r>
  <r>
    <x v="1153"/>
    <x v="0"/>
    <n v="5"/>
    <x v="313"/>
    <s v="01-02-2016"/>
    <x v="2"/>
    <x v="17"/>
    <x v="17"/>
    <x v="3"/>
    <n v="2"/>
    <x v="17"/>
    <s v="OH"/>
    <s v="02-02-2016"/>
    <n v="331"/>
    <n v="331"/>
    <n v="100"/>
    <n v="20.546827794561935"/>
    <n v="6801"/>
    <n v="21.80664652567976"/>
    <n v="417"/>
    <n v="7218"/>
    <n v="83"/>
    <x v="1"/>
    <x v="4"/>
    <x v="84"/>
    <x v="0"/>
  </r>
  <r>
    <x v="1154"/>
    <x v="0"/>
    <n v="5"/>
    <x v="321"/>
    <s v="02-03-2016"/>
    <x v="1"/>
    <x v="18"/>
    <x v="18"/>
    <x v="1"/>
    <n v="2"/>
    <x v="18"/>
    <s v="IN"/>
    <s v="03-03-2016"/>
    <n v="832"/>
    <n v="458"/>
    <n v="55.048076923076927"/>
    <n v="7.4362980769230766"/>
    <n v="6187"/>
    <n v="7.828125"/>
    <n v="326"/>
    <n v="6513"/>
    <n v="58"/>
    <x v="1"/>
    <x v="4"/>
    <x v="84"/>
    <x v="0"/>
  </r>
  <r>
    <x v="1155"/>
    <x v="0"/>
    <n v="7"/>
    <x v="267"/>
    <s v="07-05-2016"/>
    <x v="7"/>
    <x v="13"/>
    <x v="13"/>
    <x v="1"/>
    <n v="2"/>
    <x v="13"/>
    <s v="OH"/>
    <s v="08-05-2016"/>
    <n v="552"/>
    <n v="552"/>
    <n v="100"/>
    <n v="6.8659420289855069"/>
    <n v="3790"/>
    <n v="8.0688405797101446"/>
    <n v="664"/>
    <n v="4454"/>
    <n v="96"/>
    <x v="1"/>
    <x v="7"/>
    <x v="84"/>
    <x v="0"/>
  </r>
  <r>
    <x v="1156"/>
    <x v="1"/>
    <n v="6"/>
    <x v="284"/>
    <s v="30-03-2016"/>
    <x v="1"/>
    <x v="0"/>
    <x v="0"/>
    <x v="0"/>
    <n v="2"/>
    <x v="0"/>
    <s v="MI"/>
    <s v="01-04-2016"/>
    <n v="815"/>
    <n v="627"/>
    <n v="76.932515337423311"/>
    <n v="1.2049079754601226"/>
    <n v="982"/>
    <n v="2.2061349693251535"/>
    <n v="816"/>
    <n v="1798"/>
    <n v="99"/>
    <x v="1"/>
    <x v="4"/>
    <x v="76"/>
    <x v="0"/>
  </r>
  <r>
    <x v="1157"/>
    <x v="1"/>
    <n v="8"/>
    <x v="65"/>
    <s v="05-02-2016"/>
    <x v="2"/>
    <x v="6"/>
    <x v="6"/>
    <x v="4"/>
    <n v="2"/>
    <x v="6"/>
    <s v="IN"/>
    <s v="07-02-2016"/>
    <n v="477"/>
    <n v="477"/>
    <n v="100"/>
    <n v="13.926624737945493"/>
    <n v="6643"/>
    <n v="15"/>
    <n v="512"/>
    <n v="7155"/>
    <n v="79"/>
    <x v="1"/>
    <x v="4"/>
    <x v="76"/>
    <x v="0"/>
  </r>
  <r>
    <x v="1158"/>
    <x v="1"/>
    <n v="7"/>
    <x v="253"/>
    <s v="11-03-2016"/>
    <x v="1"/>
    <x v="23"/>
    <x v="23"/>
    <x v="1"/>
    <n v="2"/>
    <x v="23"/>
    <s v="WI"/>
    <s v="13-03-2016"/>
    <n v="965"/>
    <n v="659"/>
    <n v="68.290155440414509"/>
    <n v="8.5336787564766841"/>
    <n v="8235"/>
    <n v="8.9989637305699475"/>
    <n v="449"/>
    <n v="8684"/>
    <n v="54"/>
    <x v="1"/>
    <x v="3"/>
    <x v="76"/>
    <x v="0"/>
  </r>
  <r>
    <x v="1159"/>
    <x v="1"/>
    <n v="8"/>
    <x v="86"/>
    <s v="17-08-2016"/>
    <x v="5"/>
    <x v="4"/>
    <x v="4"/>
    <x v="2"/>
    <n v="2"/>
    <x v="4"/>
    <s v="MI"/>
    <s v="19-08-2016"/>
    <n v="448"/>
    <n v="231"/>
    <n v="51.5625"/>
    <n v="13.546875"/>
    <n v="6069"/>
    <n v="14.042410714285714"/>
    <n v="222"/>
    <n v="6291"/>
    <n v="73"/>
    <x v="1"/>
    <x v="5"/>
    <x v="76"/>
    <x v="0"/>
  </r>
  <r>
    <x v="1160"/>
    <x v="0"/>
    <n v="5"/>
    <x v="203"/>
    <s v="27-06-2016"/>
    <x v="6"/>
    <x v="5"/>
    <x v="5"/>
    <x v="3"/>
    <n v="2"/>
    <x v="5"/>
    <s v="IA"/>
    <s v="29-06-2016"/>
    <n v="335"/>
    <n v="204"/>
    <n v="60.895522388059696"/>
    <n v="20.379104477611939"/>
    <n v="6827"/>
    <n v="22.913432835820895"/>
    <n v="849"/>
    <n v="7676"/>
    <n v="79"/>
    <x v="1"/>
    <x v="0"/>
    <x v="76"/>
    <x v="0"/>
  </r>
  <r>
    <x v="1161"/>
    <x v="1"/>
    <n v="8"/>
    <x v="219"/>
    <s v="30-08-2016"/>
    <x v="5"/>
    <x v="11"/>
    <x v="11"/>
    <x v="2"/>
    <n v="2"/>
    <x v="11"/>
    <s v="MI"/>
    <s v="01-09-2016"/>
    <n v="378"/>
    <n v="378"/>
    <n v="100"/>
    <n v="19.396825396825395"/>
    <n v="7332"/>
    <n v="19.801587301587301"/>
    <n v="153"/>
    <n v="7485"/>
    <n v="78"/>
    <x v="2"/>
    <x v="8"/>
    <x v="76"/>
    <x v="0"/>
  </r>
  <r>
    <x v="1162"/>
    <x v="0"/>
    <n v="4"/>
    <x v="145"/>
    <s v="17-05-2016"/>
    <x v="7"/>
    <x v="15"/>
    <x v="15"/>
    <x v="4"/>
    <n v="2"/>
    <x v="15"/>
    <s v="IL"/>
    <s v="19-05-2016"/>
    <n v="1085"/>
    <n v="635"/>
    <n v="58.525345622119815"/>
    <n v="7.5050691244239633"/>
    <n v="8143"/>
    <n v="5.4423963133640552"/>
    <n v="-2238"/>
    <n v="5905"/>
    <n v="77"/>
    <x v="1"/>
    <x v="2"/>
    <x v="76"/>
    <x v="0"/>
  </r>
  <r>
    <x v="1163"/>
    <x v="1"/>
    <n v="6"/>
    <x v="236"/>
    <s v="05-03-2016"/>
    <x v="1"/>
    <x v="16"/>
    <x v="16"/>
    <x v="4"/>
    <n v="2"/>
    <x v="16"/>
    <s v="MI"/>
    <s v="07-03-2016"/>
    <n v="559"/>
    <n v="216"/>
    <n v="38.640429338103758"/>
    <n v="12.590339892665474"/>
    <n v="7038"/>
    <n v="14.032200357781754"/>
    <n v="806"/>
    <n v="7844"/>
    <n v="97"/>
    <x v="1"/>
    <x v="4"/>
    <x v="76"/>
    <x v="0"/>
  </r>
  <r>
    <x v="1164"/>
    <x v="1"/>
    <n v="6"/>
    <x v="275"/>
    <s v="10-01-2016"/>
    <x v="4"/>
    <x v="13"/>
    <x v="13"/>
    <x v="1"/>
    <n v="2"/>
    <x v="13"/>
    <s v="OH"/>
    <s v="11-01-2016"/>
    <n v="294"/>
    <n v="294"/>
    <n v="100"/>
    <n v="18.472789115646258"/>
    <n v="5431"/>
    <n v="19.139455782312925"/>
    <n v="196"/>
    <n v="5627"/>
    <n v="80"/>
    <x v="1"/>
    <x v="0"/>
    <x v="84"/>
    <x v="0"/>
  </r>
  <r>
    <x v="1165"/>
    <x v="0"/>
    <n v="8"/>
    <x v="24"/>
    <s v="14-01-2016"/>
    <x v="4"/>
    <x v="7"/>
    <x v="7"/>
    <x v="5"/>
    <n v="2"/>
    <x v="7"/>
    <s v="WI"/>
    <s v="16-01-2016"/>
    <n v="1192"/>
    <n v="730"/>
    <n v="61.241610738255034"/>
    <n v="1.6174496644295302"/>
    <n v="1928"/>
    <n v="1.7936241610738255"/>
    <n v="210"/>
    <n v="2138"/>
    <n v="97"/>
    <x v="1"/>
    <x v="1"/>
    <x v="76"/>
    <x v="0"/>
  </r>
  <r>
    <x v="1166"/>
    <x v="0"/>
    <n v="5"/>
    <x v="256"/>
    <s v="20-06-2016"/>
    <x v="6"/>
    <x v="16"/>
    <x v="16"/>
    <x v="4"/>
    <n v="2"/>
    <x v="16"/>
    <s v="MI"/>
    <s v="22-06-2016"/>
    <n v="589"/>
    <n v="589"/>
    <n v="100"/>
    <n v="6.5976230899830224"/>
    <n v="3886"/>
    <n v="7.2003395585738543"/>
    <n v="355"/>
    <n v="4241"/>
    <n v="52"/>
    <x v="1"/>
    <x v="8"/>
    <x v="76"/>
    <x v="0"/>
  </r>
  <r>
    <x v="1167"/>
    <x v="0"/>
    <n v="5"/>
    <x v="134"/>
    <s v="25-01-2016"/>
    <x v="4"/>
    <x v="13"/>
    <x v="13"/>
    <x v="1"/>
    <n v="2"/>
    <x v="13"/>
    <s v="OH"/>
    <s v="27-01-2016"/>
    <n v="753"/>
    <n v="628"/>
    <n v="83.399734395750329"/>
    <n v="1.6374501992031874"/>
    <n v="1233"/>
    <n v="2.3213811420982737"/>
    <n v="515"/>
    <n v="1748"/>
    <n v="86"/>
    <x v="1"/>
    <x v="3"/>
    <x v="76"/>
    <x v="0"/>
  </r>
  <r>
    <x v="1168"/>
    <x v="1"/>
    <n v="7"/>
    <x v="322"/>
    <s v="13-03-2016"/>
    <x v="1"/>
    <x v="17"/>
    <x v="17"/>
    <x v="3"/>
    <n v="2"/>
    <x v="17"/>
    <s v="OH"/>
    <s v="13-03-2016"/>
    <n v="587"/>
    <n v="587"/>
    <n v="100"/>
    <n v="5.4463373083475295"/>
    <n v="3197"/>
    <n v="5.9131175468483814"/>
    <n v="274"/>
    <n v="3471"/>
    <n v="90"/>
    <x v="1"/>
    <x v="7"/>
    <x v="85"/>
    <x v="1"/>
  </r>
  <r>
    <x v="1169"/>
    <x v="1"/>
    <n v="6"/>
    <x v="146"/>
    <s v="05-06-2016"/>
    <x v="6"/>
    <x v="9"/>
    <x v="9"/>
    <x v="3"/>
    <n v="2"/>
    <x v="9"/>
    <s v="IN"/>
    <s v="07-06-2016"/>
    <n v="307"/>
    <n v="307"/>
    <n v="100"/>
    <n v="0.82084690553745931"/>
    <n v="252"/>
    <n v="2.4657980456026061"/>
    <n v="505"/>
    <n v="757"/>
    <n v="73"/>
    <x v="2"/>
    <x v="1"/>
    <x v="76"/>
    <x v="0"/>
  </r>
  <r>
    <x v="1170"/>
    <x v="1"/>
    <n v="6"/>
    <x v="205"/>
    <s v="04-03-2016"/>
    <x v="1"/>
    <x v="19"/>
    <x v="19"/>
    <x v="0"/>
    <n v="2"/>
    <x v="19"/>
    <s v="WI"/>
    <s v="06-03-2016"/>
    <n v="636"/>
    <n v="536"/>
    <n v="84.276729559748432"/>
    <n v="11.234276729559749"/>
    <n v="7145"/>
    <n v="11.85062893081761"/>
    <n v="392"/>
    <n v="7537"/>
    <n v="72"/>
    <x v="1"/>
    <x v="0"/>
    <x v="76"/>
    <x v="0"/>
  </r>
  <r>
    <x v="1171"/>
    <x v="0"/>
    <n v="4"/>
    <x v="301"/>
    <s v="04-02-2016"/>
    <x v="2"/>
    <x v="18"/>
    <x v="18"/>
    <x v="1"/>
    <n v="2"/>
    <x v="18"/>
    <s v="IN"/>
    <s v="04-02-2016"/>
    <n v="832"/>
    <n v="439"/>
    <n v="52.764423076923073"/>
    <n v="6.5396634615384617"/>
    <n v="5441"/>
    <n v="4.9350961538461542"/>
    <n v="-1335"/>
    <n v="4106"/>
    <n v="92"/>
    <x v="1"/>
    <x v="5"/>
    <x v="85"/>
    <x v="1"/>
  </r>
  <r>
    <x v="1172"/>
    <x v="1"/>
    <n v="8"/>
    <x v="257"/>
    <s v="08-08-2016"/>
    <x v="5"/>
    <x v="1"/>
    <x v="1"/>
    <x v="1"/>
    <n v="2"/>
    <x v="1"/>
    <s v="WI"/>
    <s v="10-08-2016"/>
    <n v="760"/>
    <n v="265"/>
    <n v="34.868421052631575"/>
    <n v="0.12763157894736843"/>
    <n v="97"/>
    <n v="0.97105263157894739"/>
    <n v="641"/>
    <n v="738"/>
    <n v="83"/>
    <x v="1"/>
    <x v="3"/>
    <x v="76"/>
    <x v="0"/>
  </r>
  <r>
    <x v="1173"/>
    <x v="0"/>
    <n v="6"/>
    <x v="152"/>
    <s v="18-03-2016"/>
    <x v="1"/>
    <x v="8"/>
    <x v="8"/>
    <x v="3"/>
    <n v="2"/>
    <x v="8"/>
    <s v="OH"/>
    <s v="20-03-2016"/>
    <n v="1029"/>
    <n v="475"/>
    <n v="46.161321671525748"/>
    <n v="6.7162293488824103"/>
    <n v="6911"/>
    <n v="7.0758017492711369"/>
    <n v="370"/>
    <n v="7281"/>
    <n v="67"/>
    <x v="1"/>
    <x v="0"/>
    <x v="76"/>
    <x v="0"/>
  </r>
  <r>
    <x v="1174"/>
    <x v="0"/>
    <n v="7"/>
    <x v="70"/>
    <s v="07-02-2016"/>
    <x v="2"/>
    <x v="5"/>
    <x v="5"/>
    <x v="3"/>
    <n v="2"/>
    <x v="5"/>
    <s v="IA"/>
    <s v="09-02-2016"/>
    <n v="809"/>
    <n v="555"/>
    <n v="68.603213844252167"/>
    <n v="2.1681087762669962"/>
    <n v="1754"/>
    <n v="3.3275648949320149"/>
    <n v="938"/>
    <n v="2692"/>
    <n v="52"/>
    <x v="1"/>
    <x v="5"/>
    <x v="76"/>
    <x v="0"/>
  </r>
  <r>
    <x v="1175"/>
    <x v="0"/>
    <n v="4"/>
    <x v="310"/>
    <s v="05-03-2016"/>
    <x v="1"/>
    <x v="14"/>
    <x v="14"/>
    <x v="1"/>
    <n v="2"/>
    <x v="14"/>
    <s v="IL"/>
    <s v="07-03-2016"/>
    <n v="328"/>
    <n v="328"/>
    <n v="100"/>
    <n v="7.875"/>
    <n v="2583"/>
    <n v="2.4451219512195124"/>
    <n v="-1781"/>
    <n v="802"/>
    <n v="71"/>
    <x v="1"/>
    <x v="4"/>
    <x v="76"/>
    <x v="0"/>
  </r>
  <r>
    <x v="1176"/>
    <x v="0"/>
    <n v="5"/>
    <x v="263"/>
    <s v="02-06-2016"/>
    <x v="6"/>
    <x v="22"/>
    <x v="22"/>
    <x v="0"/>
    <n v="2"/>
    <x v="22"/>
    <s v="IL"/>
    <s v="04-06-2016"/>
    <n v="836"/>
    <n v="712"/>
    <n v="85.167464114832541"/>
    <n v="2.5645933014354068"/>
    <n v="2144"/>
    <n v="3.0083732057416266"/>
    <n v="371"/>
    <n v="2515"/>
    <n v="93"/>
    <x v="1"/>
    <x v="2"/>
    <x v="76"/>
    <x v="0"/>
  </r>
  <r>
    <x v="1177"/>
    <x v="1"/>
    <n v="4"/>
    <x v="94"/>
    <s v="04-06-2016"/>
    <x v="6"/>
    <x v="23"/>
    <x v="23"/>
    <x v="1"/>
    <n v="2"/>
    <x v="23"/>
    <s v="WI"/>
    <s v="04-06-2016"/>
    <n v="750"/>
    <n v="672"/>
    <n v="89.600000000000009"/>
    <n v="4.6079999999999997"/>
    <n v="3456"/>
    <n v="2.008"/>
    <n v="-1950"/>
    <n v="1506"/>
    <n v="73"/>
    <x v="1"/>
    <x v="9"/>
    <x v="85"/>
    <x v="1"/>
  </r>
  <r>
    <x v="1178"/>
    <x v="0"/>
    <n v="6"/>
    <x v="288"/>
    <s v="03-06-2016"/>
    <x v="6"/>
    <x v="18"/>
    <x v="18"/>
    <x v="1"/>
    <n v="2"/>
    <x v="18"/>
    <s v="IN"/>
    <s v="05-06-2016"/>
    <n v="917"/>
    <n v="665"/>
    <n v="72.51908396946564"/>
    <n v="6.9989094874591053"/>
    <n v="6418"/>
    <n v="7.1363140676117771"/>
    <n v="126"/>
    <n v="6544"/>
    <n v="74"/>
    <x v="1"/>
    <x v="4"/>
    <x v="76"/>
    <x v="0"/>
  </r>
  <r>
    <x v="1179"/>
    <x v="1"/>
    <n v="5"/>
    <x v="73"/>
    <s v="25-02-2016"/>
    <x v="2"/>
    <x v="6"/>
    <x v="6"/>
    <x v="4"/>
    <n v="2"/>
    <x v="6"/>
    <s v="IN"/>
    <s v="27-02-2016"/>
    <n v="1159"/>
    <n v="738"/>
    <n v="63.675582398619504"/>
    <n v="0.77394305435720445"/>
    <n v="897"/>
    <n v="1.5987920621225193"/>
    <n v="956"/>
    <n v="1853"/>
    <n v="68"/>
    <x v="1"/>
    <x v="0"/>
    <x v="76"/>
    <x v="0"/>
  </r>
  <r>
    <x v="1180"/>
    <x v="1"/>
    <n v="6"/>
    <x v="154"/>
    <s v="04-08-2016"/>
    <x v="5"/>
    <x v="12"/>
    <x v="12"/>
    <x v="3"/>
    <n v="2"/>
    <x v="12"/>
    <s v="MI"/>
    <s v="06-08-2016"/>
    <n v="1052"/>
    <n v="440"/>
    <n v="41.825095057034225"/>
    <n v="5.1996197718631176"/>
    <n v="5470"/>
    <n v="6.0057034220532319"/>
    <n v="848"/>
    <n v="6318"/>
    <n v="79"/>
    <x v="2"/>
    <x v="1"/>
    <x v="76"/>
    <x v="0"/>
  </r>
  <r>
    <x v="1181"/>
    <x v="1"/>
    <n v="8"/>
    <x v="264"/>
    <s v="21-05-2016"/>
    <x v="7"/>
    <x v="9"/>
    <x v="9"/>
    <x v="3"/>
    <n v="2"/>
    <x v="9"/>
    <s v="IN"/>
    <s v="23-05-2016"/>
    <n v="1014"/>
    <n v="367"/>
    <n v="36.193293885601577"/>
    <n v="3.6173570019723864"/>
    <n v="3668"/>
    <n v="3.8570019723865876"/>
    <n v="243"/>
    <n v="3911"/>
    <n v="92"/>
    <x v="1"/>
    <x v="0"/>
    <x v="76"/>
    <x v="0"/>
  </r>
  <r>
    <x v="1182"/>
    <x v="1"/>
    <n v="6"/>
    <x v="208"/>
    <s v="28-02-2016"/>
    <x v="2"/>
    <x v="8"/>
    <x v="8"/>
    <x v="3"/>
    <n v="2"/>
    <x v="8"/>
    <s v="OH"/>
    <s v="01-03-2016"/>
    <n v="771"/>
    <n v="654"/>
    <n v="84.824902723735406"/>
    <n v="6.4526588845654995"/>
    <n v="4975"/>
    <n v="7.0389105058365757"/>
    <n v="452"/>
    <n v="5427"/>
    <n v="51"/>
    <x v="2"/>
    <x v="6"/>
    <x v="76"/>
    <x v="0"/>
  </r>
  <r>
    <x v="1183"/>
    <x v="1"/>
    <n v="8"/>
    <x v="258"/>
    <s v="20-04-2016"/>
    <x v="0"/>
    <x v="3"/>
    <x v="3"/>
    <x v="2"/>
    <n v="2"/>
    <x v="3"/>
    <s v="IL"/>
    <s v="22-04-2016"/>
    <n v="939"/>
    <n v="685"/>
    <n v="72.949946751863678"/>
    <n v="1.2758253461128861"/>
    <n v="1198"/>
    <n v="2.230031948881789"/>
    <n v="896"/>
    <n v="2094"/>
    <n v="63"/>
    <x v="1"/>
    <x v="5"/>
    <x v="76"/>
    <x v="0"/>
  </r>
  <r>
    <x v="1184"/>
    <x v="1"/>
    <n v="5"/>
    <x v="139"/>
    <s v="15-06-2016"/>
    <x v="6"/>
    <x v="10"/>
    <x v="10"/>
    <x v="1"/>
    <n v="2"/>
    <x v="10"/>
    <s v="IL"/>
    <s v="17-06-2016"/>
    <n v="355"/>
    <n v="355"/>
    <n v="100"/>
    <n v="15.873239436619718"/>
    <n v="5635"/>
    <n v="17.008450704225353"/>
    <n v="403"/>
    <n v="6038"/>
    <n v="55"/>
    <x v="1"/>
    <x v="9"/>
    <x v="76"/>
    <x v="0"/>
  </r>
  <r>
    <x v="1185"/>
    <x v="1"/>
    <n v="8"/>
    <x v="222"/>
    <s v="28-05-2016"/>
    <x v="7"/>
    <x v="9"/>
    <x v="9"/>
    <x v="3"/>
    <n v="2"/>
    <x v="9"/>
    <s v="IN"/>
    <s v="30-05-2016"/>
    <n v="759"/>
    <n v="695"/>
    <n v="91.567852437417656"/>
    <n v="0.52832674571805005"/>
    <n v="401"/>
    <n v="0.74703557312252966"/>
    <n v="166"/>
    <n v="567"/>
    <n v="65"/>
    <x v="1"/>
    <x v="7"/>
    <x v="76"/>
    <x v="0"/>
  </r>
  <r>
    <x v="1186"/>
    <x v="1"/>
    <n v="5"/>
    <x v="223"/>
    <s v="06-07-2016"/>
    <x v="3"/>
    <x v="11"/>
    <x v="11"/>
    <x v="2"/>
    <n v="2"/>
    <x v="11"/>
    <s v="MI"/>
    <s v="08-07-2016"/>
    <n v="481"/>
    <n v="481"/>
    <n v="100"/>
    <n v="3.4033264033264032"/>
    <n v="1637"/>
    <n v="3.6798336798336799"/>
    <n v="133"/>
    <n v="1770"/>
    <n v="50"/>
    <x v="2"/>
    <x v="8"/>
    <x v="76"/>
    <x v="0"/>
  </r>
  <r>
    <x v="1187"/>
    <x v="1"/>
    <n v="7"/>
    <x v="57"/>
    <s v="08-06-2016"/>
    <x v="6"/>
    <x v="12"/>
    <x v="12"/>
    <x v="3"/>
    <n v="2"/>
    <x v="12"/>
    <s v="MI"/>
    <s v="10-06-2016"/>
    <n v="958"/>
    <n v="406"/>
    <n v="42.379958246346554"/>
    <n v="8.7630480167014611"/>
    <n v="8395"/>
    <n v="8.8726513569937371"/>
    <n v="105"/>
    <n v="8500"/>
    <n v="91"/>
    <x v="1"/>
    <x v="8"/>
    <x v="76"/>
    <x v="0"/>
  </r>
  <r>
    <x v="1188"/>
    <x v="0"/>
    <n v="5"/>
    <x v="31"/>
    <s v="29-08-2016"/>
    <x v="5"/>
    <x v="17"/>
    <x v="17"/>
    <x v="3"/>
    <n v="2"/>
    <x v="17"/>
    <s v="OH"/>
    <s v="31-08-2016"/>
    <n v="755"/>
    <n v="576"/>
    <n v="76.291390728476827"/>
    <n v="6.7602649006622517"/>
    <n v="5104"/>
    <n v="6.9841059602649009"/>
    <n v="169"/>
    <n v="5273"/>
    <n v="53"/>
    <x v="1"/>
    <x v="4"/>
    <x v="76"/>
    <x v="0"/>
  </r>
  <r>
    <x v="1189"/>
    <x v="0"/>
    <n v="6"/>
    <x v="58"/>
    <s v="21-01-2016"/>
    <x v="4"/>
    <x v="4"/>
    <x v="4"/>
    <x v="2"/>
    <n v="2"/>
    <x v="4"/>
    <s v="MI"/>
    <s v="23-01-2016"/>
    <n v="404"/>
    <n v="404"/>
    <n v="100"/>
    <n v="20.336633663366335"/>
    <n v="8216"/>
    <n v="21.299504950495049"/>
    <n v="389"/>
    <n v="8605"/>
    <n v="97"/>
    <x v="2"/>
    <x v="3"/>
    <x v="76"/>
    <x v="0"/>
  </r>
  <r>
    <x v="1190"/>
    <x v="0"/>
    <n v="8"/>
    <x v="148"/>
    <s v="16-02-2016"/>
    <x v="2"/>
    <x v="18"/>
    <x v="18"/>
    <x v="1"/>
    <n v="2"/>
    <x v="18"/>
    <s v="IN"/>
    <s v="18-02-2016"/>
    <n v="207"/>
    <n v="207"/>
    <n v="100"/>
    <n v="12.961352657004831"/>
    <n v="2683"/>
    <n v="15.676328502415458"/>
    <n v="562"/>
    <n v="3245"/>
    <n v="100"/>
    <x v="1"/>
    <x v="9"/>
    <x v="76"/>
    <x v="0"/>
  </r>
  <r>
    <x v="1191"/>
    <x v="1"/>
    <n v="4"/>
    <x v="164"/>
    <s v="13-03-2016"/>
    <x v="1"/>
    <x v="1"/>
    <x v="1"/>
    <x v="1"/>
    <n v="2"/>
    <x v="1"/>
    <s v="WI"/>
    <s v="15-03-2016"/>
    <n v="239"/>
    <n v="239"/>
    <n v="100"/>
    <n v="30.03347280334728"/>
    <n v="7178"/>
    <n v="23.12970711297071"/>
    <n v="-1650"/>
    <n v="5528"/>
    <n v="98"/>
    <x v="1"/>
    <x v="5"/>
    <x v="76"/>
    <x v="0"/>
  </r>
  <r>
    <x v="1192"/>
    <x v="1"/>
    <n v="7"/>
    <x v="165"/>
    <s v="18-07-2016"/>
    <x v="3"/>
    <x v="15"/>
    <x v="15"/>
    <x v="4"/>
    <n v="2"/>
    <x v="15"/>
    <s v="IL"/>
    <s v="19-07-2016"/>
    <n v="432"/>
    <n v="359"/>
    <n v="83.101851851851848"/>
    <n v="14.32175925925926"/>
    <n v="6187"/>
    <n v="14.784722222222221"/>
    <n v="200"/>
    <n v="6387"/>
    <n v="67"/>
    <x v="1"/>
    <x v="2"/>
    <x v="84"/>
    <x v="0"/>
  </r>
  <r>
    <x v="1193"/>
    <x v="1"/>
    <n v="6"/>
    <x v="96"/>
    <s v="15-05-2016"/>
    <x v="7"/>
    <x v="7"/>
    <x v="7"/>
    <x v="5"/>
    <n v="2"/>
    <x v="7"/>
    <s v="WI"/>
    <s v="17-05-2016"/>
    <n v="730"/>
    <n v="229"/>
    <n v="31.36986301369863"/>
    <n v="4.7780821917808218"/>
    <n v="3488"/>
    <n v="5.7095890410958905"/>
    <n v="680"/>
    <n v="4168"/>
    <n v="64"/>
    <x v="1"/>
    <x v="1"/>
    <x v="76"/>
    <x v="0"/>
  </r>
  <r>
    <x v="1194"/>
    <x v="1"/>
    <n v="8"/>
    <x v="213"/>
    <s v="05-03-2016"/>
    <x v="1"/>
    <x v="9"/>
    <x v="9"/>
    <x v="3"/>
    <n v="2"/>
    <x v="9"/>
    <s v="IN"/>
    <s v="07-03-2016"/>
    <n v="901"/>
    <n v="530"/>
    <n v="58.82352941176471"/>
    <n v="4.1498335183129855"/>
    <n v="3739"/>
    <n v="4.6093229744728079"/>
    <n v="414"/>
    <n v="4153"/>
    <n v="54"/>
    <x v="2"/>
    <x v="2"/>
    <x v="76"/>
    <x v="0"/>
  </r>
  <r>
    <x v="1195"/>
    <x v="1"/>
    <n v="7"/>
    <x v="59"/>
    <s v="04-08-2016"/>
    <x v="5"/>
    <x v="19"/>
    <x v="19"/>
    <x v="0"/>
    <n v="2"/>
    <x v="19"/>
    <s v="WI"/>
    <s v="06-08-2016"/>
    <n v="384"/>
    <n v="235"/>
    <n v="61.197916666666664"/>
    <n v="17.705729166666668"/>
    <n v="6799"/>
    <n v="19.809895833333332"/>
    <n v="808"/>
    <n v="7607"/>
    <n v="52"/>
    <x v="1"/>
    <x v="4"/>
    <x v="76"/>
    <x v="0"/>
  </r>
  <r>
    <x v="1196"/>
    <x v="1"/>
    <n v="6"/>
    <x v="305"/>
    <s v="28-02-2016"/>
    <x v="2"/>
    <x v="11"/>
    <x v="11"/>
    <x v="2"/>
    <n v="2"/>
    <x v="11"/>
    <s v="MI"/>
    <s v="01-03-2016"/>
    <n v="807"/>
    <n v="200"/>
    <n v="24.783147459727388"/>
    <n v="1.0693928128872368"/>
    <n v="863"/>
    <n v="1.3791821561338291"/>
    <n v="250"/>
    <n v="1113"/>
    <n v="73"/>
    <x v="1"/>
    <x v="4"/>
    <x v="76"/>
    <x v="0"/>
  </r>
  <r>
    <x v="1197"/>
    <x v="0"/>
    <n v="5"/>
    <x v="61"/>
    <s v="16-01-2016"/>
    <x v="4"/>
    <x v="6"/>
    <x v="6"/>
    <x v="4"/>
    <n v="2"/>
    <x v="6"/>
    <s v="IN"/>
    <s v="18-01-2016"/>
    <n v="890"/>
    <n v="569"/>
    <n v="63.932584269662918"/>
    <n v="5.4325842696629216"/>
    <n v="4835"/>
    <n v="5.8516853932584274"/>
    <n v="373"/>
    <n v="5208"/>
    <n v="68"/>
    <x v="1"/>
    <x v="3"/>
    <x v="76"/>
    <x v="0"/>
  </r>
  <r>
    <x v="1198"/>
    <x v="1"/>
    <n v="4"/>
    <x v="141"/>
    <s v="26-06-2016"/>
    <x v="6"/>
    <x v="15"/>
    <x v="15"/>
    <x v="4"/>
    <n v="2"/>
    <x v="15"/>
    <s v="IL"/>
    <s v="28-06-2016"/>
    <n v="226"/>
    <n v="223"/>
    <n v="98.672566371681413"/>
    <n v="31.384955752212388"/>
    <n v="7093"/>
    <n v="21.889380530973451"/>
    <n v="-2146"/>
    <n v="4947"/>
    <n v="85"/>
    <x v="1"/>
    <x v="2"/>
    <x v="76"/>
    <x v="0"/>
  </r>
  <r>
    <x v="1199"/>
    <x v="0"/>
    <n v="4"/>
    <x v="167"/>
    <s v="09-04-2016"/>
    <x v="0"/>
    <x v="8"/>
    <x v="8"/>
    <x v="3"/>
    <n v="2"/>
    <x v="8"/>
    <s v="OH"/>
    <s v="11-04-2016"/>
    <n v="728"/>
    <n v="728"/>
    <n v="100"/>
    <n v="11.609890109890109"/>
    <n v="8452"/>
    <n v="8.405219780219781"/>
    <n v="-2333"/>
    <n v="6119"/>
    <n v="98"/>
    <x v="1"/>
    <x v="3"/>
    <x v="76"/>
    <x v="0"/>
  </r>
  <r>
    <x v="1200"/>
    <x v="1"/>
    <n v="6"/>
    <x v="297"/>
    <s v="25-08-2016"/>
    <x v="5"/>
    <x v="13"/>
    <x v="13"/>
    <x v="1"/>
    <n v="2"/>
    <x v="13"/>
    <s v="OH"/>
    <s v="26-08-2016"/>
    <n v="781"/>
    <n v="458"/>
    <n v="58.642765685019207"/>
    <n v="3.9295774647887325"/>
    <n v="3069"/>
    <n v="5.1792573623559539"/>
    <n v="976"/>
    <n v="4045"/>
    <n v="58"/>
    <x v="1"/>
    <x v="1"/>
    <x v="84"/>
    <x v="0"/>
  </r>
  <r>
    <x v="1201"/>
    <x v="1"/>
    <n v="5"/>
    <x v="226"/>
    <s v="06-06-2016"/>
    <x v="6"/>
    <x v="10"/>
    <x v="10"/>
    <x v="1"/>
    <n v="2"/>
    <x v="10"/>
    <s v="IL"/>
    <s v="08-06-2016"/>
    <n v="400"/>
    <n v="304"/>
    <n v="76"/>
    <n v="13.185"/>
    <n v="5274"/>
    <n v="14.6875"/>
    <n v="601"/>
    <n v="5875"/>
    <n v="52"/>
    <x v="2"/>
    <x v="1"/>
    <x v="76"/>
    <x v="0"/>
  </r>
  <r>
    <x v="1202"/>
    <x v="0"/>
    <n v="4"/>
    <x v="227"/>
    <s v="11-04-2016"/>
    <x v="0"/>
    <x v="14"/>
    <x v="14"/>
    <x v="1"/>
    <n v="2"/>
    <x v="14"/>
    <s v="IL"/>
    <s v="13-04-2016"/>
    <n v="482"/>
    <n v="482"/>
    <n v="100"/>
    <n v="14.139004149377593"/>
    <n v="6815"/>
    <n v="8.9979253112033195"/>
    <n v="-2478"/>
    <n v="4337"/>
    <n v="87"/>
    <x v="1"/>
    <x v="1"/>
    <x v="76"/>
    <x v="0"/>
  </r>
  <r>
    <x v="1203"/>
    <x v="0"/>
    <n v="7"/>
    <x v="214"/>
    <s v="03-07-2016"/>
    <x v="3"/>
    <x v="22"/>
    <x v="22"/>
    <x v="0"/>
    <n v="2"/>
    <x v="22"/>
    <s v="IL"/>
    <s v="05-07-2016"/>
    <n v="570"/>
    <n v="570"/>
    <n v="100"/>
    <n v="3.76140350877193"/>
    <n v="2144"/>
    <n v="4.3280701754385964"/>
    <n v="323"/>
    <n v="2467"/>
    <n v="89"/>
    <x v="1"/>
    <x v="9"/>
    <x v="76"/>
    <x v="0"/>
  </r>
  <r>
    <x v="1204"/>
    <x v="0"/>
    <n v="5"/>
    <x v="80"/>
    <s v="29-04-2016"/>
    <x v="0"/>
    <x v="6"/>
    <x v="6"/>
    <x v="4"/>
    <n v="2"/>
    <x v="6"/>
    <s v="IN"/>
    <s v="01-05-2016"/>
    <n v="1188"/>
    <n v="240"/>
    <n v="20.202020202020201"/>
    <n v="3.0875420875420874"/>
    <n v="3668"/>
    <n v="3.2171717171717171"/>
    <n v="154"/>
    <n v="3822"/>
    <n v="59"/>
    <x v="1"/>
    <x v="6"/>
    <x v="76"/>
    <x v="0"/>
  </r>
  <r>
    <x v="1205"/>
    <x v="0"/>
    <n v="6"/>
    <x v="215"/>
    <s v="28-02-2016"/>
    <x v="2"/>
    <x v="17"/>
    <x v="17"/>
    <x v="3"/>
    <n v="2"/>
    <x v="17"/>
    <s v="OH"/>
    <s v="01-03-2016"/>
    <n v="915"/>
    <n v="570"/>
    <n v="62.295081967213115"/>
    <n v="1.7431693989071038"/>
    <n v="1595"/>
    <n v="1.9628415300546449"/>
    <n v="201"/>
    <n v="1796"/>
    <n v="64"/>
    <x v="1"/>
    <x v="6"/>
    <x v="76"/>
    <x v="0"/>
  </r>
  <r>
    <x v="1206"/>
    <x v="0"/>
    <n v="8"/>
    <x v="38"/>
    <s v="13-08-2016"/>
    <x v="5"/>
    <x v="0"/>
    <x v="0"/>
    <x v="0"/>
    <n v="2"/>
    <x v="0"/>
    <s v="MI"/>
    <s v="15-08-2016"/>
    <n v="945"/>
    <n v="481"/>
    <n v="50.899470899470899"/>
    <n v="0.45714285714285713"/>
    <n v="432"/>
    <n v="1.2476190476190476"/>
    <n v="747"/>
    <n v="1179"/>
    <n v="56"/>
    <x v="1"/>
    <x v="0"/>
    <x v="76"/>
    <x v="0"/>
  </r>
  <r>
    <x v="1207"/>
    <x v="1"/>
    <n v="4"/>
    <x v="115"/>
    <s v="11-02-2016"/>
    <x v="2"/>
    <x v="4"/>
    <x v="4"/>
    <x v="2"/>
    <n v="2"/>
    <x v="4"/>
    <s v="MI"/>
    <s v="13-02-2016"/>
    <n v="862"/>
    <n v="494"/>
    <n v="57.308584686774942"/>
    <n v="5.5997679814385153"/>
    <n v="4827"/>
    <n v="3.4976798143851506"/>
    <n v="-1812"/>
    <n v="3015"/>
    <n v="65"/>
    <x v="1"/>
    <x v="9"/>
    <x v="76"/>
    <x v="0"/>
  </r>
  <r>
    <x v="1208"/>
    <x v="0"/>
    <n v="6"/>
    <x v="2"/>
    <s v="04-01-2016"/>
    <x v="4"/>
    <x v="20"/>
    <x v="20"/>
    <x v="1"/>
    <n v="2"/>
    <x v="20"/>
    <s v="IL"/>
    <s v="06-01-2016"/>
    <n v="442"/>
    <n v="442"/>
    <n v="100"/>
    <n v="8.2126696832579178"/>
    <n v="3630"/>
    <n v="8.8235294117647065"/>
    <n v="270"/>
    <n v="3900"/>
    <n v="90"/>
    <x v="1"/>
    <x v="7"/>
    <x v="76"/>
    <x v="0"/>
  </r>
  <r>
    <x v="1209"/>
    <x v="1"/>
    <n v="5"/>
    <x v="41"/>
    <s v="18-01-2016"/>
    <x v="4"/>
    <x v="14"/>
    <x v="14"/>
    <x v="1"/>
    <n v="2"/>
    <x v="14"/>
    <s v="IL"/>
    <s v="20-01-2016"/>
    <n v="874"/>
    <n v="548"/>
    <n v="62.700228832951943"/>
    <n v="1.9187643020594967"/>
    <n v="1677"/>
    <n v="2.223112128146453"/>
    <n v="266"/>
    <n v="1943"/>
    <n v="83"/>
    <x v="1"/>
    <x v="4"/>
    <x v="76"/>
    <x v="0"/>
  </r>
  <r>
    <x v="1210"/>
    <x v="0"/>
    <n v="4"/>
    <x v="202"/>
    <s v="11-07-2016"/>
    <x v="3"/>
    <x v="22"/>
    <x v="22"/>
    <x v="0"/>
    <n v="2"/>
    <x v="22"/>
    <s v="IL"/>
    <s v="13-07-2016"/>
    <n v="864"/>
    <n v="674"/>
    <n v="78.009259259259252"/>
    <n v="6.0706018518518521"/>
    <n v="5245"/>
    <n v="3.8622685185185186"/>
    <n v="-1908"/>
    <n v="3337"/>
    <n v="91"/>
    <x v="1"/>
    <x v="3"/>
    <x v="76"/>
    <x v="0"/>
  </r>
  <r>
    <x v="1211"/>
    <x v="0"/>
    <n v="5"/>
    <x v="316"/>
    <s v="07-06-2016"/>
    <x v="6"/>
    <x v="23"/>
    <x v="23"/>
    <x v="1"/>
    <n v="2"/>
    <x v="23"/>
    <s v="WI"/>
    <s v="08-06-2016"/>
    <n v="797"/>
    <n v="450"/>
    <n v="56.461731493099123"/>
    <n v="10.0702634880803"/>
    <n v="8026"/>
    <n v="10.914680050188206"/>
    <n v="673"/>
    <n v="8699"/>
    <n v="98"/>
    <x v="1"/>
    <x v="3"/>
    <x v="84"/>
    <x v="0"/>
  </r>
  <r>
    <x v="1212"/>
    <x v="1"/>
    <n v="7"/>
    <x v="64"/>
    <s v="01-04-2016"/>
    <x v="0"/>
    <x v="7"/>
    <x v="7"/>
    <x v="5"/>
    <n v="2"/>
    <x v="7"/>
    <s v="WI"/>
    <s v="03-04-2016"/>
    <n v="884"/>
    <n v="631"/>
    <n v="71.380090497737555"/>
    <n v="1.5769230769230769"/>
    <n v="1394"/>
    <n v="2.3563348416289593"/>
    <n v="689"/>
    <n v="2083"/>
    <n v="74"/>
    <x v="1"/>
    <x v="6"/>
    <x v="76"/>
    <x v="0"/>
  </r>
  <r>
    <x v="1213"/>
    <x v="0"/>
    <n v="8"/>
    <x v="84"/>
    <s v="12-05-2016"/>
    <x v="7"/>
    <x v="4"/>
    <x v="4"/>
    <x v="2"/>
    <n v="2"/>
    <x v="4"/>
    <s v="MI"/>
    <s v="14-05-2016"/>
    <n v="1034"/>
    <n v="215"/>
    <n v="20.793036750483559"/>
    <n v="1.5"/>
    <n v="1551"/>
    <n v="2.253384912959381"/>
    <n v="779"/>
    <n v="2330"/>
    <n v="52"/>
    <x v="2"/>
    <x v="0"/>
    <x v="76"/>
    <x v="0"/>
  </r>
  <r>
    <x v="1214"/>
    <x v="1"/>
    <n v="8"/>
    <x v="117"/>
    <s v="02-08-2016"/>
    <x v="5"/>
    <x v="15"/>
    <x v="15"/>
    <x v="4"/>
    <n v="2"/>
    <x v="15"/>
    <s v="IL"/>
    <s v="02-08-2016"/>
    <n v="661"/>
    <n v="661"/>
    <n v="100"/>
    <n v="8.7276853252647495"/>
    <n v="5769"/>
    <n v="9.6021180030257192"/>
    <n v="578"/>
    <n v="6347"/>
    <n v="95"/>
    <x v="1"/>
    <x v="5"/>
    <x v="85"/>
    <x v="1"/>
  </r>
  <r>
    <x v="1215"/>
    <x v="0"/>
    <n v="6"/>
    <x v="171"/>
    <s v="15-07-2016"/>
    <x v="3"/>
    <x v="12"/>
    <x v="12"/>
    <x v="3"/>
    <n v="2"/>
    <x v="12"/>
    <s v="MI"/>
    <s v="17-07-2016"/>
    <n v="720"/>
    <n v="579"/>
    <n v="80.416666666666671"/>
    <n v="7.3152777777777782"/>
    <n v="5267"/>
    <n v="8.1236111111111118"/>
    <n v="582"/>
    <n v="5849"/>
    <n v="98"/>
    <x v="1"/>
    <x v="1"/>
    <x v="76"/>
    <x v="0"/>
  </r>
  <r>
    <x v="1216"/>
    <x v="0"/>
    <n v="7"/>
    <x v="299"/>
    <s v="11-06-2016"/>
    <x v="6"/>
    <x v="17"/>
    <x v="17"/>
    <x v="3"/>
    <n v="2"/>
    <x v="17"/>
    <s v="OH"/>
    <s v="12-06-2016"/>
    <n v="741"/>
    <n v="707"/>
    <n v="95.411605937921735"/>
    <n v="5.2901484480431851"/>
    <n v="3920"/>
    <n v="6.1268556005398107"/>
    <n v="620"/>
    <n v="4540"/>
    <n v="73"/>
    <x v="1"/>
    <x v="9"/>
    <x v="84"/>
    <x v="0"/>
  </r>
  <r>
    <x v="1217"/>
    <x v="0"/>
    <n v="8"/>
    <x v="274"/>
    <s v="03-02-2016"/>
    <x v="2"/>
    <x v="9"/>
    <x v="9"/>
    <x v="3"/>
    <n v="2"/>
    <x v="9"/>
    <s v="IN"/>
    <s v="05-02-2016"/>
    <n v="1027"/>
    <n v="210"/>
    <n v="20.447906523855892"/>
    <n v="3.1606621226874392"/>
    <n v="3246"/>
    <n v="3.3885102239532618"/>
    <n v="234"/>
    <n v="3480"/>
    <n v="71"/>
    <x v="2"/>
    <x v="8"/>
    <x v="76"/>
    <x v="0"/>
  </r>
  <r>
    <x v="1218"/>
    <x v="0"/>
    <n v="8"/>
    <x v="65"/>
    <s v="23-02-2016"/>
    <x v="2"/>
    <x v="19"/>
    <x v="19"/>
    <x v="0"/>
    <n v="2"/>
    <x v="19"/>
    <s v="WI"/>
    <s v="25-02-2016"/>
    <n v="1067"/>
    <n v="296"/>
    <n v="27.741330834114343"/>
    <n v="4.321462043111528"/>
    <n v="4611"/>
    <n v="4.9493908153701964"/>
    <n v="670"/>
    <n v="5281"/>
    <n v="64"/>
    <x v="1"/>
    <x v="0"/>
    <x v="76"/>
    <x v="0"/>
  </r>
  <r>
    <x v="1219"/>
    <x v="0"/>
    <n v="5"/>
    <x v="314"/>
    <s v="13-04-2016"/>
    <x v="0"/>
    <x v="23"/>
    <x v="23"/>
    <x v="1"/>
    <n v="2"/>
    <x v="23"/>
    <s v="WI"/>
    <s v="15-04-2016"/>
    <n v="836"/>
    <n v="530"/>
    <n v="63.397129186602875"/>
    <n v="4.9688995215311005"/>
    <n v="4154"/>
    <n v="5.7009569377990434"/>
    <n v="612"/>
    <n v="4766"/>
    <n v="56"/>
    <x v="1"/>
    <x v="1"/>
    <x v="76"/>
    <x v="0"/>
  </r>
  <r>
    <x v="1220"/>
    <x v="0"/>
    <n v="4"/>
    <x v="278"/>
    <s v="01-07-2016"/>
    <x v="3"/>
    <x v="18"/>
    <x v="18"/>
    <x v="1"/>
    <n v="2"/>
    <x v="18"/>
    <s v="IN"/>
    <s v="02-07-2016"/>
    <n v="654"/>
    <n v="534"/>
    <n v="81.651376146788991"/>
    <n v="10.906727828746178"/>
    <n v="7133"/>
    <n v="7.1345565749235478"/>
    <n v="-2467"/>
    <n v="4666"/>
    <n v="75"/>
    <x v="1"/>
    <x v="4"/>
    <x v="84"/>
    <x v="0"/>
  </r>
  <r>
    <x v="1221"/>
    <x v="0"/>
    <n v="7"/>
    <x v="119"/>
    <s v="26-06-2016"/>
    <x v="6"/>
    <x v="1"/>
    <x v="1"/>
    <x v="1"/>
    <n v="2"/>
    <x v="1"/>
    <s v="WI"/>
    <s v="28-06-2016"/>
    <n v="493"/>
    <n v="319"/>
    <n v="64.705882352941174"/>
    <n v="2.3975659229208923"/>
    <n v="1182"/>
    <n v="3.5212981744421907"/>
    <n v="554"/>
    <n v="1736"/>
    <n v="90"/>
    <x v="1"/>
    <x v="5"/>
    <x v="76"/>
    <x v="0"/>
  </r>
  <r>
    <x v="1222"/>
    <x v="1"/>
    <n v="8"/>
    <x v="324"/>
    <s v="15-01-2016"/>
    <x v="4"/>
    <x v="15"/>
    <x v="15"/>
    <x v="4"/>
    <n v="2"/>
    <x v="15"/>
    <s v="IL"/>
    <s v="17-01-2016"/>
    <n v="676"/>
    <n v="223"/>
    <n v="32.988165680473372"/>
    <n v="0.43639053254437871"/>
    <n v="295"/>
    <n v="0.76183431952662717"/>
    <n v="220"/>
    <n v="515"/>
    <n v="78"/>
    <x v="1"/>
    <x v="7"/>
    <x v="76"/>
    <x v="0"/>
  </r>
  <r>
    <x v="1223"/>
    <x v="1"/>
    <n v="8"/>
    <x v="85"/>
    <s v="07-07-2016"/>
    <x v="3"/>
    <x v="8"/>
    <x v="8"/>
    <x v="3"/>
    <n v="2"/>
    <x v="8"/>
    <s v="OH"/>
    <s v="09-07-2016"/>
    <n v="1178"/>
    <n v="243"/>
    <n v="20.62818336162988"/>
    <n v="3.892190152801358"/>
    <n v="4585"/>
    <n v="4.0373514431239386"/>
    <n v="171"/>
    <n v="4756"/>
    <n v="94"/>
    <x v="1"/>
    <x v="1"/>
    <x v="76"/>
    <x v="0"/>
  </r>
  <r>
    <x v="1224"/>
    <x v="1"/>
    <n v="7"/>
    <x v="86"/>
    <s v="18-07-2016"/>
    <x v="3"/>
    <x v="10"/>
    <x v="10"/>
    <x v="1"/>
    <n v="2"/>
    <x v="10"/>
    <s v="IL"/>
    <s v="20-07-2016"/>
    <n v="456"/>
    <n v="456"/>
    <n v="100"/>
    <n v="12.337719298245615"/>
    <n v="5626"/>
    <n v="13.414473684210526"/>
    <n v="491"/>
    <n v="6117"/>
    <n v="68"/>
    <x v="2"/>
    <x v="3"/>
    <x v="76"/>
    <x v="0"/>
  </r>
  <r>
    <x v="1225"/>
    <x v="0"/>
    <n v="7"/>
    <x v="68"/>
    <s v="07-08-2016"/>
    <x v="5"/>
    <x v="2"/>
    <x v="2"/>
    <x v="1"/>
    <n v="2"/>
    <x v="2"/>
    <s v="IL"/>
    <s v="09-08-2016"/>
    <n v="435"/>
    <n v="426"/>
    <n v="97.931034482758619"/>
    <n v="8.12183908045977"/>
    <n v="3533"/>
    <n v="8.6919540229885062"/>
    <n v="248"/>
    <n v="3781"/>
    <n v="97"/>
    <x v="1"/>
    <x v="2"/>
    <x v="76"/>
    <x v="0"/>
  </r>
  <r>
    <x v="1226"/>
    <x v="1"/>
    <n v="6"/>
    <x v="104"/>
    <s v="07-03-2016"/>
    <x v="1"/>
    <x v="23"/>
    <x v="23"/>
    <x v="1"/>
    <n v="2"/>
    <x v="23"/>
    <s v="WI"/>
    <s v="08-03-2016"/>
    <n v="618"/>
    <n v="204"/>
    <n v="33.009708737864081"/>
    <n v="11.676375404530745"/>
    <n v="7216"/>
    <n v="12.771844660194175"/>
    <n v="677"/>
    <n v="7893"/>
    <n v="61"/>
    <x v="1"/>
    <x v="7"/>
    <x v="84"/>
    <x v="0"/>
  </r>
  <r>
    <x v="1227"/>
    <x v="1"/>
    <n v="4"/>
    <x v="303"/>
    <s v="02-06-2016"/>
    <x v="6"/>
    <x v="11"/>
    <x v="11"/>
    <x v="2"/>
    <n v="2"/>
    <x v="11"/>
    <s v="MI"/>
    <s v="04-06-2016"/>
    <n v="878"/>
    <n v="525"/>
    <n v="59.794988610478363"/>
    <n v="9.0375854214123006"/>
    <n v="7935"/>
    <n v="7.2448747152619593"/>
    <n v="-1574"/>
    <n v="6361"/>
    <n v="93"/>
    <x v="1"/>
    <x v="8"/>
    <x v="76"/>
    <x v="0"/>
  </r>
  <r>
    <x v="1228"/>
    <x v="1"/>
    <n v="4"/>
    <x v="246"/>
    <s v="14-01-2016"/>
    <x v="4"/>
    <x v="6"/>
    <x v="6"/>
    <x v="4"/>
    <n v="2"/>
    <x v="6"/>
    <s v="IN"/>
    <s v="16-01-2016"/>
    <n v="895"/>
    <n v="739"/>
    <n v="82.569832402234638"/>
    <n v="2.1117318435754191"/>
    <n v="1890"/>
    <n v="0.69608938547486032"/>
    <n v="-1267"/>
    <n v="623"/>
    <n v="88"/>
    <x v="1"/>
    <x v="2"/>
    <x v="76"/>
    <x v="0"/>
  </r>
  <r>
    <x v="1229"/>
    <x v="1"/>
    <n v="6"/>
    <x v="88"/>
    <s v="21-03-2016"/>
    <x v="1"/>
    <x v="12"/>
    <x v="12"/>
    <x v="3"/>
    <n v="2"/>
    <x v="12"/>
    <s v="MI"/>
    <s v="23-03-2016"/>
    <n v="614"/>
    <n v="614"/>
    <n v="100"/>
    <n v="5.7817589576547235"/>
    <n v="3550"/>
    <n v="7.0586319218241043"/>
    <n v="784"/>
    <n v="4334"/>
    <n v="98"/>
    <x v="2"/>
    <x v="4"/>
    <x v="76"/>
    <x v="0"/>
  </r>
  <r>
    <x v="1230"/>
    <x v="1"/>
    <n v="6"/>
    <x v="296"/>
    <s v="18-04-2016"/>
    <x v="0"/>
    <x v="17"/>
    <x v="17"/>
    <x v="3"/>
    <n v="2"/>
    <x v="17"/>
    <s v="OH"/>
    <s v="20-04-2016"/>
    <n v="459"/>
    <n v="459"/>
    <n v="100"/>
    <n v="4.6557734204793029"/>
    <n v="2137"/>
    <n v="6.4226579520697165"/>
    <n v="811"/>
    <n v="2948"/>
    <n v="67"/>
    <x v="1"/>
    <x v="0"/>
    <x v="76"/>
    <x v="0"/>
  </r>
  <r>
    <x v="1231"/>
    <x v="1"/>
    <n v="6"/>
    <x v="247"/>
    <s v="11-06-2016"/>
    <x v="6"/>
    <x v="22"/>
    <x v="22"/>
    <x v="0"/>
    <n v="2"/>
    <x v="22"/>
    <s v="IL"/>
    <s v="11-06-2016"/>
    <n v="242"/>
    <n v="242"/>
    <n v="100"/>
    <n v="23.640495867768596"/>
    <n v="5721"/>
    <n v="26.061983471074381"/>
    <n v="586"/>
    <n v="6307"/>
    <n v="89"/>
    <x v="1"/>
    <x v="1"/>
    <x v="85"/>
    <x v="1"/>
  </r>
  <r>
    <x v="1232"/>
    <x v="0"/>
    <n v="4"/>
    <x v="145"/>
    <s v="26-04-2016"/>
    <x v="0"/>
    <x v="23"/>
    <x v="23"/>
    <x v="1"/>
    <n v="2"/>
    <x v="23"/>
    <s v="WI"/>
    <s v="28-04-2016"/>
    <n v="886"/>
    <n v="518"/>
    <n v="58.465011286681715"/>
    <n v="8.5711060948081261"/>
    <n v="7594"/>
    <n v="6.2257336343115126"/>
    <n v="-2078"/>
    <n v="5516"/>
    <n v="74"/>
    <x v="1"/>
    <x v="5"/>
    <x v="76"/>
    <x v="0"/>
  </r>
  <r>
    <x v="1233"/>
    <x v="1"/>
    <n v="6"/>
    <x v="275"/>
    <s v="19-05-2016"/>
    <x v="7"/>
    <x v="18"/>
    <x v="18"/>
    <x v="1"/>
    <n v="2"/>
    <x v="18"/>
    <s v="IN"/>
    <s v="20-05-2016"/>
    <n v="404"/>
    <n v="404"/>
    <n v="100"/>
    <n v="17.905940594059405"/>
    <n v="7234"/>
    <n v="20.06930693069307"/>
    <n v="874"/>
    <n v="8108"/>
    <n v="72"/>
    <x v="1"/>
    <x v="8"/>
    <x v="84"/>
    <x v="0"/>
  </r>
  <r>
    <x v="1234"/>
    <x v="0"/>
    <n v="7"/>
    <x v="309"/>
    <s v="11-04-2016"/>
    <x v="0"/>
    <x v="22"/>
    <x v="22"/>
    <x v="0"/>
    <n v="2"/>
    <x v="22"/>
    <s v="IL"/>
    <s v="13-04-2016"/>
    <n v="994"/>
    <n v="291"/>
    <n v="29.275653923541245"/>
    <n v="2.8611670020120723"/>
    <n v="2844"/>
    <n v="3.1267605633802815"/>
    <n v="264"/>
    <n v="3108"/>
    <n v="82"/>
    <x v="1"/>
    <x v="1"/>
    <x v="76"/>
    <x v="0"/>
  </r>
  <r>
    <x v="1235"/>
    <x v="1"/>
    <n v="7"/>
    <x v="183"/>
    <s v="11-03-2016"/>
    <x v="1"/>
    <x v="9"/>
    <x v="9"/>
    <x v="3"/>
    <n v="2"/>
    <x v="9"/>
    <s v="IN"/>
    <s v="13-03-2016"/>
    <n v="906"/>
    <n v="319"/>
    <n v="35.209713024282564"/>
    <n v="1.7450331125827814"/>
    <n v="1581"/>
    <n v="2.4083885209713025"/>
    <n v="601"/>
    <n v="2182"/>
    <n v="69"/>
    <x v="1"/>
    <x v="2"/>
    <x v="76"/>
    <x v="0"/>
  </r>
  <r>
    <x v="1236"/>
    <x v="0"/>
    <n v="7"/>
    <x v="300"/>
    <s v="15-06-2016"/>
    <x v="6"/>
    <x v="23"/>
    <x v="23"/>
    <x v="1"/>
    <n v="2"/>
    <x v="23"/>
    <s v="WI"/>
    <s v="15-06-2016"/>
    <n v="447"/>
    <n v="430"/>
    <n v="96.196868008948542"/>
    <n v="11.503355704697986"/>
    <n v="5142"/>
    <n v="11.827740492170022"/>
    <n v="145"/>
    <n v="5287"/>
    <n v="92"/>
    <x v="1"/>
    <x v="6"/>
    <x v="85"/>
    <x v="1"/>
  </r>
  <r>
    <x v="1237"/>
    <x v="1"/>
    <n v="5"/>
    <x v="91"/>
    <s v="11-02-2016"/>
    <x v="2"/>
    <x v="11"/>
    <x v="11"/>
    <x v="2"/>
    <n v="2"/>
    <x v="11"/>
    <s v="MI"/>
    <s v="13-02-2016"/>
    <n v="784"/>
    <n v="731"/>
    <n v="93.239795918367349"/>
    <n v="0.25255102040816324"/>
    <n v="198"/>
    <n v="1.5140306122448979"/>
    <n v="989"/>
    <n v="1187"/>
    <n v="89"/>
    <x v="2"/>
    <x v="1"/>
    <x v="76"/>
    <x v="0"/>
  </r>
  <r>
    <x v="1238"/>
    <x v="0"/>
    <n v="4"/>
    <x v="206"/>
    <s v="25-03-2016"/>
    <x v="1"/>
    <x v="17"/>
    <x v="17"/>
    <x v="3"/>
    <n v="2"/>
    <x v="17"/>
    <s v="OH"/>
    <s v="27-03-2016"/>
    <n v="268"/>
    <n v="268"/>
    <n v="100"/>
    <n v="23.048507462686569"/>
    <n v="6177"/>
    <n v="13.83955223880597"/>
    <n v="-2468"/>
    <n v="3709"/>
    <n v="99"/>
    <x v="1"/>
    <x v="5"/>
    <x v="76"/>
    <x v="0"/>
  </r>
  <r>
    <x v="1239"/>
    <x v="1"/>
    <n v="8"/>
    <x v="92"/>
    <s v="27-07-2016"/>
    <x v="3"/>
    <x v="3"/>
    <x v="3"/>
    <x v="2"/>
    <n v="2"/>
    <x v="3"/>
    <s v="IL"/>
    <s v="29-07-2016"/>
    <n v="362"/>
    <n v="328"/>
    <n v="90.607734806629836"/>
    <n v="19.455801104972377"/>
    <n v="7043"/>
    <n v="21.254143646408838"/>
    <n v="651"/>
    <n v="7694"/>
    <n v="53"/>
    <x v="1"/>
    <x v="6"/>
    <x v="76"/>
    <x v="0"/>
  </r>
  <r>
    <x v="1240"/>
    <x v="1"/>
    <n v="7"/>
    <x v="10"/>
    <s v="10-08-2016"/>
    <x v="5"/>
    <x v="10"/>
    <x v="10"/>
    <x v="1"/>
    <n v="2"/>
    <x v="10"/>
    <s v="IL"/>
    <s v="12-08-2016"/>
    <n v="308"/>
    <n v="308"/>
    <n v="100"/>
    <n v="21.7012987012987"/>
    <n v="6684"/>
    <n v="22.61038961038961"/>
    <n v="280"/>
    <n v="6964"/>
    <n v="57"/>
    <x v="1"/>
    <x v="9"/>
    <x v="76"/>
    <x v="0"/>
  </r>
  <r>
    <x v="1241"/>
    <x v="1"/>
    <n v="8"/>
    <x v="301"/>
    <s v="12-02-2016"/>
    <x v="2"/>
    <x v="22"/>
    <x v="22"/>
    <x v="0"/>
    <n v="2"/>
    <x v="22"/>
    <s v="IL"/>
    <s v="12-02-2016"/>
    <n v="897"/>
    <n v="691"/>
    <n v="77.034559643255292"/>
    <n v="4.6532887402452623"/>
    <n v="4174"/>
    <n v="4.8115942028985508"/>
    <n v="142"/>
    <n v="4316"/>
    <n v="50"/>
    <x v="1"/>
    <x v="0"/>
    <x v="85"/>
    <x v="1"/>
  </r>
  <r>
    <x v="1242"/>
    <x v="1"/>
    <n v="8"/>
    <x v="152"/>
    <s v="15-07-2016"/>
    <x v="3"/>
    <x v="4"/>
    <x v="4"/>
    <x v="2"/>
    <n v="2"/>
    <x v="4"/>
    <s v="MI"/>
    <s v="17-07-2016"/>
    <n v="1017"/>
    <n v="221"/>
    <n v="21.730580137659782"/>
    <n v="8.4188790560471976"/>
    <n v="8562"/>
    <n v="8.7266470009832844"/>
    <n v="313"/>
    <n v="8875"/>
    <n v="85"/>
    <x v="2"/>
    <x v="6"/>
    <x v="76"/>
    <x v="0"/>
  </r>
  <r>
    <x v="1243"/>
    <x v="1"/>
    <n v="8"/>
    <x v="71"/>
    <s v="03-01-2016"/>
    <x v="4"/>
    <x v="18"/>
    <x v="18"/>
    <x v="1"/>
    <n v="2"/>
    <x v="18"/>
    <s v="IN"/>
    <s v="05-01-2016"/>
    <n v="1180"/>
    <n v="439"/>
    <n v="37.203389830508478"/>
    <n v="1.6355932203389831"/>
    <n v="1930"/>
    <n v="2.347457627118644"/>
    <n v="840"/>
    <n v="2770"/>
    <n v="64"/>
    <x v="1"/>
    <x v="4"/>
    <x v="76"/>
    <x v="0"/>
  </r>
  <r>
    <x v="1244"/>
    <x v="0"/>
    <n v="8"/>
    <x v="121"/>
    <s v="19-06-2016"/>
    <x v="6"/>
    <x v="15"/>
    <x v="15"/>
    <x v="4"/>
    <n v="2"/>
    <x v="15"/>
    <s v="IL"/>
    <s v="19-06-2016"/>
    <n v="629"/>
    <n v="286"/>
    <n v="45.468998410174883"/>
    <n v="1.8680445151033387"/>
    <n v="1175"/>
    <n v="2.0381558028616853"/>
    <n v="107"/>
    <n v="1282"/>
    <n v="96"/>
    <x v="1"/>
    <x v="4"/>
    <x v="85"/>
    <x v="1"/>
  </r>
  <r>
    <x v="1245"/>
    <x v="1"/>
    <n v="4"/>
    <x v="310"/>
    <s v="14-02-2016"/>
    <x v="2"/>
    <x v="5"/>
    <x v="5"/>
    <x v="3"/>
    <n v="2"/>
    <x v="5"/>
    <s v="IA"/>
    <s v="16-02-2016"/>
    <n v="475"/>
    <n v="306"/>
    <n v="64.421052631578945"/>
    <n v="13.808421052631578"/>
    <n v="6559"/>
    <n v="9.48"/>
    <n v="-2056"/>
    <n v="4503"/>
    <n v="57"/>
    <x v="1"/>
    <x v="2"/>
    <x v="76"/>
    <x v="0"/>
  </r>
  <r>
    <x v="1246"/>
    <x v="0"/>
    <n v="5"/>
    <x v="263"/>
    <s v="10-05-2016"/>
    <x v="7"/>
    <x v="13"/>
    <x v="13"/>
    <x v="1"/>
    <n v="2"/>
    <x v="13"/>
    <s v="OH"/>
    <s v="12-05-2016"/>
    <n v="383"/>
    <n v="383"/>
    <n v="100"/>
    <n v="14.971279373368146"/>
    <n v="5734"/>
    <n v="16.678851174934724"/>
    <n v="654"/>
    <n v="6388"/>
    <n v="74"/>
    <x v="1"/>
    <x v="5"/>
    <x v="76"/>
    <x v="0"/>
  </r>
  <r>
    <x v="1247"/>
    <x v="1"/>
    <n v="4"/>
    <x v="122"/>
    <s v="21-05-2016"/>
    <x v="7"/>
    <x v="12"/>
    <x v="12"/>
    <x v="3"/>
    <n v="2"/>
    <x v="12"/>
    <s v="MI"/>
    <s v="23-05-2016"/>
    <n v="1026"/>
    <n v="568"/>
    <n v="55.360623781676409"/>
    <n v="4.5964912280701755"/>
    <n v="4716"/>
    <n v="2.9249512670565303"/>
    <n v="-1715"/>
    <n v="3001"/>
    <n v="87"/>
    <x v="1"/>
    <x v="4"/>
    <x v="76"/>
    <x v="0"/>
  </r>
  <r>
    <x v="1248"/>
    <x v="1"/>
    <n v="5"/>
    <x v="94"/>
    <s v="22-08-2016"/>
    <x v="5"/>
    <x v="17"/>
    <x v="17"/>
    <x v="3"/>
    <n v="2"/>
    <x v="17"/>
    <s v="OH"/>
    <s v="22-08-2016"/>
    <n v="1111"/>
    <n v="570"/>
    <n v="51.305130513051303"/>
    <n v="0.44014401440144013"/>
    <n v="489"/>
    <n v="0.98019801980198018"/>
    <n v="600"/>
    <n v="1089"/>
    <n v="56"/>
    <x v="1"/>
    <x v="8"/>
    <x v="85"/>
    <x v="1"/>
  </r>
  <r>
    <x v="1249"/>
    <x v="0"/>
    <n v="6"/>
    <x v="153"/>
    <s v="30-06-2016"/>
    <x v="6"/>
    <x v="9"/>
    <x v="9"/>
    <x v="3"/>
    <n v="2"/>
    <x v="9"/>
    <s v="IN"/>
    <s v="02-07-2016"/>
    <n v="1130"/>
    <n v="543"/>
    <n v="48.053097345132741"/>
    <n v="6.5283185840707967"/>
    <n v="7377"/>
    <n v="6.6893805309734518"/>
    <n v="182"/>
    <n v="7559"/>
    <n v="55"/>
    <x v="2"/>
    <x v="5"/>
    <x v="76"/>
    <x v="0"/>
  </r>
  <r>
    <x v="1250"/>
    <x v="0"/>
    <n v="8"/>
    <x v="221"/>
    <s v="23-01-2016"/>
    <x v="4"/>
    <x v="23"/>
    <x v="23"/>
    <x v="1"/>
    <n v="2"/>
    <x v="23"/>
    <s v="WI"/>
    <s v="25-01-2016"/>
    <n v="571"/>
    <n v="361"/>
    <n v="63.22241681260946"/>
    <n v="9.2294220665499118"/>
    <n v="5270"/>
    <n v="9.6970227670753069"/>
    <n v="267"/>
    <n v="5537"/>
    <n v="87"/>
    <x v="1"/>
    <x v="7"/>
    <x v="76"/>
    <x v="0"/>
  </r>
  <r>
    <x v="1251"/>
    <x v="1"/>
    <n v="4"/>
    <x v="108"/>
    <s v="05-02-2016"/>
    <x v="2"/>
    <x v="0"/>
    <x v="0"/>
    <x v="0"/>
    <n v="2"/>
    <x v="0"/>
    <s v="MI"/>
    <s v="07-02-2016"/>
    <n v="330"/>
    <n v="330"/>
    <n v="100"/>
    <n v="11.354545454545455"/>
    <n v="3747"/>
    <n v="4.1969696969696972"/>
    <n v="-2362"/>
    <n v="1385"/>
    <n v="68"/>
    <x v="1"/>
    <x v="3"/>
    <x v="76"/>
    <x v="0"/>
  </r>
  <r>
    <x v="1252"/>
    <x v="1"/>
    <n v="5"/>
    <x v="123"/>
    <s v="04-07-2016"/>
    <x v="3"/>
    <x v="18"/>
    <x v="18"/>
    <x v="1"/>
    <n v="2"/>
    <x v="18"/>
    <s v="IN"/>
    <s v="05-07-2016"/>
    <n v="913"/>
    <n v="733"/>
    <n v="80.284775465498356"/>
    <n v="0.96823658269441404"/>
    <n v="884"/>
    <n v="1.4446878422782037"/>
    <n v="435"/>
    <n v="1319"/>
    <n v="83"/>
    <x v="1"/>
    <x v="6"/>
    <x v="84"/>
    <x v="0"/>
  </r>
  <r>
    <x v="1253"/>
    <x v="1"/>
    <n v="4"/>
    <x v="154"/>
    <s v="17-04-2016"/>
    <x v="0"/>
    <x v="11"/>
    <x v="11"/>
    <x v="2"/>
    <n v="2"/>
    <x v="11"/>
    <s v="MI"/>
    <s v="19-04-2016"/>
    <n v="968"/>
    <n v="374"/>
    <n v="38.636363636363633"/>
    <n v="8.223140495867769"/>
    <n v="7960"/>
    <n v="5.6869834710743801"/>
    <n v="-2455"/>
    <n v="5505"/>
    <n v="79"/>
    <x v="1"/>
    <x v="9"/>
    <x v="76"/>
    <x v="0"/>
  </r>
  <r>
    <x v="1254"/>
    <x v="1"/>
    <n v="6"/>
    <x v="277"/>
    <s v="19-04-2016"/>
    <x v="0"/>
    <x v="13"/>
    <x v="13"/>
    <x v="1"/>
    <n v="2"/>
    <x v="13"/>
    <s v="OH"/>
    <s v="20-04-2016"/>
    <n v="446"/>
    <n v="446"/>
    <n v="100"/>
    <n v="14.20627802690583"/>
    <n v="6336"/>
    <n v="16.170403587443946"/>
    <n v="876"/>
    <n v="7212"/>
    <n v="66"/>
    <x v="1"/>
    <x v="5"/>
    <x v="84"/>
    <x v="0"/>
  </r>
  <r>
    <x v="1255"/>
    <x v="0"/>
    <n v="6"/>
    <x v="95"/>
    <s v="19-06-2016"/>
    <x v="6"/>
    <x v="14"/>
    <x v="14"/>
    <x v="1"/>
    <n v="2"/>
    <x v="14"/>
    <s v="IL"/>
    <s v="21-06-2016"/>
    <n v="371"/>
    <n v="371"/>
    <n v="100"/>
    <n v="3.2830188679245285"/>
    <n v="1218"/>
    <n v="4.954177897574124"/>
    <n v="620"/>
    <n v="1838"/>
    <n v="97"/>
    <x v="1"/>
    <x v="1"/>
    <x v="76"/>
    <x v="0"/>
  </r>
  <r>
    <x v="1256"/>
    <x v="1"/>
    <n v="6"/>
    <x v="245"/>
    <s v="10-01-2016"/>
    <x v="4"/>
    <x v="23"/>
    <x v="23"/>
    <x v="1"/>
    <n v="2"/>
    <x v="23"/>
    <s v="WI"/>
    <s v="11-01-2016"/>
    <n v="980"/>
    <n v="303"/>
    <n v="30.918367346938773"/>
    <n v="2.4795918367346941"/>
    <n v="2430"/>
    <n v="2.8755102040816327"/>
    <n v="388"/>
    <n v="2818"/>
    <n v="94"/>
    <x v="1"/>
    <x v="6"/>
    <x v="84"/>
    <x v="0"/>
  </r>
  <r>
    <x v="1257"/>
    <x v="1"/>
    <n v="4"/>
    <x v="12"/>
    <s v="09-02-2016"/>
    <x v="2"/>
    <x v="6"/>
    <x v="6"/>
    <x v="4"/>
    <n v="2"/>
    <x v="6"/>
    <s v="IN"/>
    <s v="11-02-2016"/>
    <n v="740"/>
    <n v="452"/>
    <n v="61.081081081081081"/>
    <n v="5.4770270270270274"/>
    <n v="4053"/>
    <n v="2.0432432432432432"/>
    <n v="-2541"/>
    <n v="1512"/>
    <n v="65"/>
    <x v="1"/>
    <x v="2"/>
    <x v="76"/>
    <x v="0"/>
  </r>
  <r>
    <x v="1258"/>
    <x v="0"/>
    <n v="8"/>
    <x v="125"/>
    <s v="02-05-2016"/>
    <x v="7"/>
    <x v="22"/>
    <x v="22"/>
    <x v="0"/>
    <n v="2"/>
    <x v="22"/>
    <s v="IL"/>
    <s v="03-05-2016"/>
    <n v="934"/>
    <n v="548"/>
    <n v="58.672376873661669"/>
    <n v="1.9154175588865097"/>
    <n v="1789"/>
    <n v="2.5663811563169165"/>
    <n v="608"/>
    <n v="2397"/>
    <n v="93"/>
    <x v="1"/>
    <x v="4"/>
    <x v="84"/>
    <x v="0"/>
  </r>
  <r>
    <x v="1259"/>
    <x v="1"/>
    <n v="5"/>
    <x v="325"/>
    <s v="28-02-2016"/>
    <x v="2"/>
    <x v="18"/>
    <x v="18"/>
    <x v="1"/>
    <n v="2"/>
    <x v="18"/>
    <s v="IN"/>
    <s v="29-02-2016"/>
    <n v="649"/>
    <n v="366"/>
    <n v="56.394453004622491"/>
    <n v="4.0909090909090908"/>
    <n v="2655"/>
    <n v="4.4283513097072422"/>
    <n v="219"/>
    <n v="2874"/>
    <n v="73"/>
    <x v="1"/>
    <x v="7"/>
    <x v="84"/>
    <x v="0"/>
  </r>
  <r>
    <x v="1260"/>
    <x v="0"/>
    <n v="5"/>
    <x v="271"/>
    <s v="03-07-2016"/>
    <x v="3"/>
    <x v="8"/>
    <x v="8"/>
    <x v="3"/>
    <n v="2"/>
    <x v="8"/>
    <s v="OH"/>
    <s v="05-07-2016"/>
    <n v="623"/>
    <n v="382"/>
    <n v="61.316211878009632"/>
    <n v="3.4494382022471912"/>
    <n v="2149"/>
    <n v="4.2471910112359552"/>
    <n v="497"/>
    <n v="2646"/>
    <n v="56"/>
    <x v="2"/>
    <x v="1"/>
    <x v="76"/>
    <x v="0"/>
  </r>
  <r>
    <x v="1261"/>
    <x v="1"/>
    <n v="6"/>
    <x v="184"/>
    <s v="15-02-2016"/>
    <x v="2"/>
    <x v="17"/>
    <x v="17"/>
    <x v="3"/>
    <n v="2"/>
    <x v="17"/>
    <s v="OH"/>
    <s v="16-02-2016"/>
    <n v="827"/>
    <n v="513"/>
    <n v="62.031438935912945"/>
    <n v="6.9141475211608219"/>
    <n v="5718"/>
    <n v="7.0882708585247887"/>
    <n v="144"/>
    <n v="5862"/>
    <n v="88"/>
    <x v="1"/>
    <x v="3"/>
    <x v="84"/>
    <x v="0"/>
  </r>
  <r>
    <x v="1262"/>
    <x v="0"/>
    <n v="6"/>
    <x v="14"/>
    <s v="25-02-2016"/>
    <x v="2"/>
    <x v="3"/>
    <x v="3"/>
    <x v="2"/>
    <n v="2"/>
    <x v="3"/>
    <s v="IL"/>
    <s v="27-02-2016"/>
    <n v="833"/>
    <n v="603"/>
    <n v="72.388955582232896"/>
    <n v="0.40096038415366148"/>
    <n v="334"/>
    <n v="1.1164465786314526"/>
    <n v="596"/>
    <n v="930"/>
    <n v="50"/>
    <x v="1"/>
    <x v="0"/>
    <x v="76"/>
    <x v="0"/>
  </r>
  <r>
    <x v="1263"/>
    <x v="1"/>
    <n v="5"/>
    <x v="148"/>
    <s v="08-07-2016"/>
    <x v="3"/>
    <x v="22"/>
    <x v="22"/>
    <x v="0"/>
    <n v="2"/>
    <x v="22"/>
    <s v="IL"/>
    <s v="10-07-2016"/>
    <n v="513"/>
    <n v="513"/>
    <n v="100"/>
    <n v="2.4132553606237819"/>
    <n v="1238"/>
    <n v="2.9083820662768032"/>
    <n v="254"/>
    <n v="1492"/>
    <n v="81"/>
    <x v="1"/>
    <x v="3"/>
    <x v="76"/>
    <x v="0"/>
  </r>
  <r>
    <x v="1264"/>
    <x v="0"/>
    <n v="8"/>
    <x v="156"/>
    <s v="03-03-2016"/>
    <x v="1"/>
    <x v="11"/>
    <x v="11"/>
    <x v="2"/>
    <n v="2"/>
    <x v="11"/>
    <s v="MI"/>
    <s v="05-03-2016"/>
    <n v="1162"/>
    <n v="637"/>
    <n v="54.819277108433738"/>
    <n v="8.2616179001721177E-2"/>
    <n v="96"/>
    <n v="0.53872633390705682"/>
    <n v="530"/>
    <n v="626"/>
    <n v="69"/>
    <x v="2"/>
    <x v="3"/>
    <x v="76"/>
    <x v="0"/>
  </r>
  <r>
    <x v="1265"/>
    <x v="0"/>
    <n v="5"/>
    <x v="225"/>
    <s v="14-02-2016"/>
    <x v="2"/>
    <x v="15"/>
    <x v="15"/>
    <x v="4"/>
    <n v="2"/>
    <x v="15"/>
    <s v="IL"/>
    <s v="16-02-2016"/>
    <n v="1159"/>
    <n v="507"/>
    <n v="43.744607420189816"/>
    <n v="5.7989646246764455"/>
    <n v="6721"/>
    <n v="6.392579810181191"/>
    <n v="688"/>
    <n v="7409"/>
    <n v="59"/>
    <x v="1"/>
    <x v="7"/>
    <x v="76"/>
    <x v="0"/>
  </r>
  <r>
    <x v="1266"/>
    <x v="1"/>
    <n v="7"/>
    <x v="293"/>
    <s v="07-03-2016"/>
    <x v="1"/>
    <x v="17"/>
    <x v="17"/>
    <x v="3"/>
    <n v="2"/>
    <x v="17"/>
    <s v="OH"/>
    <s v="09-03-2016"/>
    <n v="1179"/>
    <n v="658"/>
    <n v="55.810008481764207"/>
    <n v="1.563189143341815"/>
    <n v="1843"/>
    <n v="1.8956743002544529"/>
    <n v="392"/>
    <n v="2235"/>
    <n v="50"/>
    <x v="1"/>
    <x v="2"/>
    <x v="76"/>
    <x v="0"/>
  </r>
  <r>
    <x v="1267"/>
    <x v="1"/>
    <n v="5"/>
    <x v="98"/>
    <s v="06-05-2016"/>
    <x v="7"/>
    <x v="22"/>
    <x v="22"/>
    <x v="0"/>
    <n v="2"/>
    <x v="22"/>
    <s v="IL"/>
    <s v="07-05-2016"/>
    <n v="953"/>
    <n v="507"/>
    <n v="53.200419727177341"/>
    <n v="1.4407135362014691"/>
    <n v="1373"/>
    <n v="1.5834207764952781"/>
    <n v="136"/>
    <n v="1509"/>
    <n v="67"/>
    <x v="1"/>
    <x v="0"/>
    <x v="84"/>
    <x v="0"/>
  </r>
  <r>
    <x v="1268"/>
    <x v="0"/>
    <n v="4"/>
    <x v="297"/>
    <s v="08-02-2016"/>
    <x v="2"/>
    <x v="18"/>
    <x v="18"/>
    <x v="1"/>
    <n v="2"/>
    <x v="18"/>
    <s v="IN"/>
    <s v="10-02-2016"/>
    <n v="1175"/>
    <n v="724"/>
    <n v="61.617021276595743"/>
    <n v="6.869787234042553"/>
    <n v="8072"/>
    <n v="5.0221276595744682"/>
    <n v="-2171"/>
    <n v="5901"/>
    <n v="95"/>
    <x v="1"/>
    <x v="7"/>
    <x v="76"/>
    <x v="0"/>
  </r>
  <r>
    <x v="1269"/>
    <x v="1"/>
    <n v="6"/>
    <x v="79"/>
    <s v="04-04-2016"/>
    <x v="0"/>
    <x v="1"/>
    <x v="1"/>
    <x v="1"/>
    <n v="2"/>
    <x v="1"/>
    <s v="WI"/>
    <s v="06-04-2016"/>
    <n v="591"/>
    <n v="291"/>
    <n v="49.238578680203041"/>
    <n v="0.38578680203045684"/>
    <n v="228"/>
    <n v="1.2588832487309645"/>
    <n v="516"/>
    <n v="744"/>
    <n v="61"/>
    <x v="1"/>
    <x v="3"/>
    <x v="76"/>
    <x v="0"/>
  </r>
  <r>
    <x v="1270"/>
    <x v="0"/>
    <n v="8"/>
    <x v="226"/>
    <s v="09-03-2016"/>
    <x v="1"/>
    <x v="8"/>
    <x v="8"/>
    <x v="3"/>
    <n v="2"/>
    <x v="8"/>
    <s v="OH"/>
    <s v="11-03-2016"/>
    <n v="429"/>
    <n v="325"/>
    <n v="75.757575757575751"/>
    <n v="4.3729603729603728"/>
    <n v="1876"/>
    <n v="5.2657342657342658"/>
    <n v="383"/>
    <n v="2259"/>
    <n v="86"/>
    <x v="1"/>
    <x v="2"/>
    <x v="76"/>
    <x v="0"/>
  </r>
  <r>
    <x v="1271"/>
    <x v="0"/>
    <n v="6"/>
    <x v="214"/>
    <s v="27-05-2016"/>
    <x v="7"/>
    <x v="13"/>
    <x v="13"/>
    <x v="1"/>
    <n v="2"/>
    <x v="13"/>
    <s v="OH"/>
    <s v="29-05-2016"/>
    <n v="721"/>
    <n v="721"/>
    <n v="100"/>
    <n v="11.876560332871012"/>
    <n v="8563"/>
    <n v="12.368932038834952"/>
    <n v="355"/>
    <n v="8918"/>
    <n v="50"/>
    <x v="1"/>
    <x v="2"/>
    <x v="76"/>
    <x v="0"/>
  </r>
  <r>
    <x v="1272"/>
    <x v="0"/>
    <n v="5"/>
    <x v="239"/>
    <s v="13-01-2016"/>
    <x v="4"/>
    <x v="20"/>
    <x v="20"/>
    <x v="1"/>
    <n v="2"/>
    <x v="20"/>
    <s v="IL"/>
    <s v="15-01-2016"/>
    <n v="670"/>
    <n v="487"/>
    <n v="72.68656716417911"/>
    <n v="9.4597014925373131"/>
    <n v="6338"/>
    <n v="10.879104477611941"/>
    <n v="951"/>
    <n v="7289"/>
    <n v="58"/>
    <x v="1"/>
    <x v="7"/>
    <x v="76"/>
    <x v="0"/>
  </r>
  <r>
    <x v="1273"/>
    <x v="0"/>
    <n v="4"/>
    <x v="318"/>
    <s v="16-06-2016"/>
    <x v="6"/>
    <x v="17"/>
    <x v="17"/>
    <x v="3"/>
    <n v="2"/>
    <x v="17"/>
    <s v="OH"/>
    <s v="16-06-2016"/>
    <n v="301"/>
    <n v="301"/>
    <n v="100"/>
    <n v="22"/>
    <n v="6622"/>
    <n v="15.315614617940199"/>
    <n v="-2012"/>
    <n v="4610"/>
    <n v="67"/>
    <x v="1"/>
    <x v="8"/>
    <x v="85"/>
    <x v="1"/>
  </r>
  <r>
    <x v="1274"/>
    <x v="1"/>
    <n v="8"/>
    <x v="180"/>
    <s v="29-06-2016"/>
    <x v="6"/>
    <x v="0"/>
    <x v="0"/>
    <x v="0"/>
    <n v="2"/>
    <x v="0"/>
    <s v="MI"/>
    <s v="01-07-2016"/>
    <n v="985"/>
    <n v="626"/>
    <n v="63.553299492385783"/>
    <n v="7.3634517766497458"/>
    <n v="7253"/>
    <n v="7.7370558375634522"/>
    <n v="368"/>
    <n v="7621"/>
    <n v="51"/>
    <x v="1"/>
    <x v="2"/>
    <x v="76"/>
    <x v="0"/>
  </r>
  <r>
    <x v="1275"/>
    <x v="0"/>
    <n v="4"/>
    <x v="114"/>
    <s v="29-02-2016"/>
    <x v="2"/>
    <x v="18"/>
    <x v="18"/>
    <x v="1"/>
    <n v="2"/>
    <x v="18"/>
    <s v="IN"/>
    <s v="01-03-2016"/>
    <n v="947"/>
    <n v="744"/>
    <n v="78.563885955649411"/>
    <n v="5.7444561774023235"/>
    <n v="5440"/>
    <n v="3.5459345300950371"/>
    <n v="-2082"/>
    <n v="3358"/>
    <n v="81"/>
    <x v="1"/>
    <x v="0"/>
    <x v="84"/>
    <x v="0"/>
  </r>
  <r>
    <x v="1276"/>
    <x v="0"/>
    <n v="6"/>
    <x v="215"/>
    <s v="31-07-2016"/>
    <x v="3"/>
    <x v="15"/>
    <x v="15"/>
    <x v="4"/>
    <n v="2"/>
    <x v="15"/>
    <s v="IL"/>
    <s v="02-08-2016"/>
    <n v="946"/>
    <n v="623"/>
    <n v="65.856236786469353"/>
    <n v="4.0221987315010574"/>
    <n v="3805"/>
    <n v="4.3033826638477803"/>
    <n v="266"/>
    <n v="4071"/>
    <n v="74"/>
    <x v="1"/>
    <x v="5"/>
    <x v="76"/>
    <x v="0"/>
  </r>
  <r>
    <x v="1277"/>
    <x v="1"/>
    <n v="5"/>
    <x v="189"/>
    <s v="24-02-2016"/>
    <x v="2"/>
    <x v="5"/>
    <x v="5"/>
    <x v="3"/>
    <n v="2"/>
    <x v="5"/>
    <s v="IA"/>
    <s v="26-02-2016"/>
    <n v="425"/>
    <n v="425"/>
    <n v="100"/>
    <n v="19.856470588235293"/>
    <n v="8439"/>
    <n v="20.738823529411764"/>
    <n v="375"/>
    <n v="8814"/>
    <n v="89"/>
    <x v="1"/>
    <x v="7"/>
    <x v="76"/>
    <x v="0"/>
  </r>
  <r>
    <x v="1278"/>
    <x v="0"/>
    <n v="5"/>
    <x v="100"/>
    <s v="03-08-2016"/>
    <x v="5"/>
    <x v="13"/>
    <x v="13"/>
    <x v="1"/>
    <n v="2"/>
    <x v="13"/>
    <s v="OH"/>
    <s v="04-08-2016"/>
    <n v="470"/>
    <n v="470"/>
    <n v="100"/>
    <n v="15.606382978723405"/>
    <n v="7335"/>
    <n v="16.389361702127658"/>
    <n v="368"/>
    <n v="7703"/>
    <n v="87"/>
    <x v="1"/>
    <x v="7"/>
    <x v="84"/>
    <x v="0"/>
  </r>
  <r>
    <x v="1279"/>
    <x v="0"/>
    <n v="7"/>
    <x v="115"/>
    <s v="25-03-2016"/>
    <x v="1"/>
    <x v="10"/>
    <x v="10"/>
    <x v="1"/>
    <n v="2"/>
    <x v="10"/>
    <s v="IL"/>
    <s v="27-03-2016"/>
    <n v="210"/>
    <n v="210"/>
    <n v="100"/>
    <n v="34.714285714285715"/>
    <n v="7290"/>
    <n v="36.204761904761902"/>
    <n v="313"/>
    <n v="7603"/>
    <n v="95"/>
    <x v="2"/>
    <x v="9"/>
    <x v="76"/>
    <x v="0"/>
  </r>
  <r>
    <x v="1280"/>
    <x v="1"/>
    <n v="7"/>
    <x v="281"/>
    <s v="09-06-2016"/>
    <x v="6"/>
    <x v="23"/>
    <x v="23"/>
    <x v="1"/>
    <n v="2"/>
    <x v="23"/>
    <s v="WI"/>
    <s v="10-06-2016"/>
    <n v="1160"/>
    <n v="650"/>
    <n v="56.034482758620683"/>
    <n v="2.0120689655172415"/>
    <n v="2334"/>
    <n v="2.6439655172413792"/>
    <n v="733"/>
    <n v="3067"/>
    <n v="76"/>
    <x v="1"/>
    <x v="5"/>
    <x v="84"/>
    <x v="0"/>
  </r>
  <r>
    <x v="1281"/>
    <x v="1"/>
    <n v="7"/>
    <x v="282"/>
    <s v="05-07-2016"/>
    <x v="3"/>
    <x v="0"/>
    <x v="0"/>
    <x v="0"/>
    <n v="2"/>
    <x v="0"/>
    <s v="MI"/>
    <s v="07-07-2016"/>
    <n v="1013"/>
    <n v="396"/>
    <n v="39.091806515301087"/>
    <n v="3.2685093780848962"/>
    <n v="3311"/>
    <n v="3.6850937808489634"/>
    <n v="422"/>
    <n v="3733"/>
    <n v="67"/>
    <x v="1"/>
    <x v="4"/>
    <x v="76"/>
    <x v="0"/>
  </r>
  <r>
    <x v="1282"/>
    <x v="1"/>
    <n v="6"/>
    <x v="170"/>
    <s v="30-01-2016"/>
    <x v="4"/>
    <x v="15"/>
    <x v="15"/>
    <x v="4"/>
    <n v="2"/>
    <x v="15"/>
    <s v="IL"/>
    <s v="31-01-2016"/>
    <n v="1048"/>
    <n v="244"/>
    <n v="23.282442748091604"/>
    <n v="3.3912213740458017"/>
    <n v="3554"/>
    <n v="4.3196564885496187"/>
    <n v="973"/>
    <n v="4527"/>
    <n v="71"/>
    <x v="1"/>
    <x v="5"/>
    <x v="84"/>
    <x v="0"/>
  </r>
  <r>
    <x v="1283"/>
    <x v="1"/>
    <n v="6"/>
    <x v="149"/>
    <s v="29-06-2016"/>
    <x v="6"/>
    <x v="2"/>
    <x v="2"/>
    <x v="1"/>
    <n v="2"/>
    <x v="2"/>
    <s v="IL"/>
    <s v="01-07-2016"/>
    <n v="866"/>
    <n v="563"/>
    <n v="65.011547344110852"/>
    <n v="4.4399538106235568"/>
    <n v="3845"/>
    <n v="4.8152424942263279"/>
    <n v="325"/>
    <n v="4170"/>
    <n v="98"/>
    <x v="1"/>
    <x v="0"/>
    <x v="76"/>
    <x v="0"/>
  </r>
  <r>
    <x v="1284"/>
    <x v="1"/>
    <n v="8"/>
    <x v="3"/>
    <s v="02-06-2016"/>
    <x v="6"/>
    <x v="0"/>
    <x v="0"/>
    <x v="0"/>
    <n v="2"/>
    <x v="0"/>
    <s v="MI"/>
    <s v="04-06-2016"/>
    <n v="337"/>
    <n v="337"/>
    <n v="100"/>
    <n v="19.427299703264094"/>
    <n v="6547"/>
    <n v="21.857566765578635"/>
    <n v="819"/>
    <n v="7366"/>
    <n v="64"/>
    <x v="1"/>
    <x v="5"/>
    <x v="76"/>
    <x v="0"/>
  </r>
  <r>
    <x v="1285"/>
    <x v="0"/>
    <n v="6"/>
    <x v="181"/>
    <s v="04-03-2016"/>
    <x v="1"/>
    <x v="18"/>
    <x v="18"/>
    <x v="1"/>
    <n v="2"/>
    <x v="18"/>
    <s v="IN"/>
    <s v="05-03-2016"/>
    <n v="380"/>
    <n v="380"/>
    <n v="100"/>
    <n v="5.0263157894736841"/>
    <n v="1910"/>
    <n v="5.439473684210526"/>
    <n v="157"/>
    <n v="2067"/>
    <n v="97"/>
    <x v="1"/>
    <x v="7"/>
    <x v="84"/>
    <x v="0"/>
  </r>
  <r>
    <x v="1286"/>
    <x v="1"/>
    <n v="8"/>
    <x v="4"/>
    <s v="23-03-2016"/>
    <x v="1"/>
    <x v="8"/>
    <x v="8"/>
    <x v="3"/>
    <n v="2"/>
    <x v="8"/>
    <s v="OH"/>
    <s v="25-03-2016"/>
    <n v="392"/>
    <n v="392"/>
    <n v="100"/>
    <n v="10.892857142857142"/>
    <n v="4270"/>
    <n v="11.581632653061224"/>
    <n v="270"/>
    <n v="4540"/>
    <n v="99"/>
    <x v="2"/>
    <x v="9"/>
    <x v="76"/>
    <x v="0"/>
  </r>
  <r>
    <x v="1287"/>
    <x v="1"/>
    <n v="8"/>
    <x v="103"/>
    <s v="03-03-2016"/>
    <x v="1"/>
    <x v="5"/>
    <x v="5"/>
    <x v="3"/>
    <n v="2"/>
    <x v="5"/>
    <s v="IA"/>
    <s v="05-03-2016"/>
    <n v="390"/>
    <n v="390"/>
    <n v="100"/>
    <n v="11.77948717948718"/>
    <n v="4594"/>
    <n v="12.707692307692307"/>
    <n v="362"/>
    <n v="4956"/>
    <n v="54"/>
    <x v="1"/>
    <x v="0"/>
    <x v="76"/>
    <x v="0"/>
  </r>
  <r>
    <x v="1288"/>
    <x v="0"/>
    <n v="5"/>
    <x v="150"/>
    <s v="11-05-2016"/>
    <x v="7"/>
    <x v="3"/>
    <x v="3"/>
    <x v="2"/>
    <n v="2"/>
    <x v="3"/>
    <s v="IL"/>
    <s v="13-05-2016"/>
    <n v="295"/>
    <n v="295"/>
    <n v="100"/>
    <n v="2.1898305084745764"/>
    <n v="646"/>
    <n v="4.3694915254237285"/>
    <n v="643"/>
    <n v="1289"/>
    <n v="83"/>
    <x v="1"/>
    <x v="4"/>
    <x v="76"/>
    <x v="0"/>
  </r>
  <r>
    <x v="1289"/>
    <x v="1"/>
    <n v="6"/>
    <x v="182"/>
    <s v="05-03-2016"/>
    <x v="1"/>
    <x v="9"/>
    <x v="9"/>
    <x v="3"/>
    <n v="2"/>
    <x v="9"/>
    <s v="IN"/>
    <s v="07-03-2016"/>
    <n v="1143"/>
    <n v="563"/>
    <n v="49.256342957130364"/>
    <n v="6.8958880139982499"/>
    <n v="7882"/>
    <n v="7.2327209098862646"/>
    <n v="385"/>
    <n v="8267"/>
    <n v="61"/>
    <x v="1"/>
    <x v="9"/>
    <x v="76"/>
    <x v="0"/>
  </r>
  <r>
    <x v="1290"/>
    <x v="0"/>
    <n v="6"/>
    <x v="104"/>
    <s v="14-08-2016"/>
    <x v="5"/>
    <x v="6"/>
    <x v="6"/>
    <x v="4"/>
    <n v="2"/>
    <x v="6"/>
    <s v="IN"/>
    <s v="16-08-2016"/>
    <n v="1005"/>
    <n v="529"/>
    <n v="52.636815920398007"/>
    <n v="6.9492537313432834"/>
    <n v="6984"/>
    <n v="7.3233830845771148"/>
    <n v="376"/>
    <n v="7360"/>
    <n v="81"/>
    <x v="1"/>
    <x v="9"/>
    <x v="76"/>
    <x v="0"/>
  </r>
  <r>
    <x v="1291"/>
    <x v="1"/>
    <n v="4"/>
    <x v="299"/>
    <s v="17-05-2016"/>
    <x v="7"/>
    <x v="15"/>
    <x v="15"/>
    <x v="4"/>
    <n v="2"/>
    <x v="15"/>
    <s v="IL"/>
    <s v="19-05-2016"/>
    <n v="851"/>
    <n v="733"/>
    <n v="86.133960047003526"/>
    <n v="3.2984723854289073"/>
    <n v="2807"/>
    <n v="0.63102232667450053"/>
    <n v="-2270"/>
    <n v="537"/>
    <n v="82"/>
    <x v="1"/>
    <x v="8"/>
    <x v="76"/>
    <x v="0"/>
  </r>
  <r>
    <x v="1292"/>
    <x v="0"/>
    <n v="7"/>
    <x v="304"/>
    <s v="10-03-2016"/>
    <x v="1"/>
    <x v="13"/>
    <x v="13"/>
    <x v="1"/>
    <n v="2"/>
    <x v="13"/>
    <s v="OH"/>
    <s v="10-03-2016"/>
    <n v="1197"/>
    <n v="234"/>
    <n v="19.548872180451127"/>
    <n v="5.0284043441938175"/>
    <n v="6019"/>
    <n v="5.1712614870509608"/>
    <n v="171"/>
    <n v="6190"/>
    <n v="58"/>
    <x v="1"/>
    <x v="9"/>
    <x v="85"/>
    <x v="1"/>
  </r>
  <r>
    <x v="1293"/>
    <x v="1"/>
    <n v="7"/>
    <x v="278"/>
    <s v="22-06-2016"/>
    <x v="6"/>
    <x v="22"/>
    <x v="22"/>
    <x v="0"/>
    <n v="2"/>
    <x v="22"/>
    <s v="IL"/>
    <s v="22-06-2016"/>
    <n v="785"/>
    <n v="712"/>
    <n v="90.70063694267516"/>
    <n v="9.9961783439490439"/>
    <n v="7847"/>
    <n v="10.686624203821657"/>
    <n v="542"/>
    <n v="8389"/>
    <n v="61"/>
    <x v="1"/>
    <x v="2"/>
    <x v="85"/>
    <x v="1"/>
  </r>
  <r>
    <x v="1294"/>
    <x v="0"/>
    <n v="8"/>
    <x v="85"/>
    <s v="10-08-2016"/>
    <x v="5"/>
    <x v="4"/>
    <x v="4"/>
    <x v="2"/>
    <n v="2"/>
    <x v="4"/>
    <s v="MI"/>
    <s v="12-08-2016"/>
    <n v="410"/>
    <n v="410"/>
    <n v="100"/>
    <n v="18.131707317073172"/>
    <n v="7434"/>
    <n v="18.746341463414634"/>
    <n v="252"/>
    <n v="7686"/>
    <n v="55"/>
    <x v="2"/>
    <x v="5"/>
    <x v="76"/>
    <x v="0"/>
  </r>
  <r>
    <x v="1295"/>
    <x v="1"/>
    <n v="8"/>
    <x v="231"/>
    <s v="07-06-2016"/>
    <x v="6"/>
    <x v="21"/>
    <x v="21"/>
    <x v="2"/>
    <n v="2"/>
    <x v="21"/>
    <s v="IL"/>
    <s v="09-06-2016"/>
    <n v="955"/>
    <n v="234"/>
    <n v="24.502617801047119"/>
    <n v="1.1612565445026177"/>
    <n v="1109"/>
    <n v="2.0345549738219897"/>
    <n v="834"/>
    <n v="1943"/>
    <n v="76"/>
    <x v="1"/>
    <x v="4"/>
    <x v="76"/>
    <x v="0"/>
  </r>
  <r>
    <x v="1296"/>
    <x v="0"/>
    <n v="8"/>
    <x v="233"/>
    <s v="29-08-2016"/>
    <x v="5"/>
    <x v="1"/>
    <x v="1"/>
    <x v="1"/>
    <n v="2"/>
    <x v="1"/>
    <s v="WI"/>
    <s v="31-08-2016"/>
    <n v="762"/>
    <n v="660"/>
    <n v="86.614173228346459"/>
    <n v="9.3425196850393704"/>
    <n v="7119"/>
    <n v="9.9356955380577432"/>
    <n v="452"/>
    <n v="7571"/>
    <n v="99"/>
    <x v="1"/>
    <x v="2"/>
    <x v="76"/>
    <x v="0"/>
  </r>
  <r>
    <x v="1297"/>
    <x v="1"/>
    <n v="8"/>
    <x v="253"/>
    <s v="31-01-2016"/>
    <x v="4"/>
    <x v="15"/>
    <x v="15"/>
    <x v="4"/>
    <n v="2"/>
    <x v="15"/>
    <s v="IL"/>
    <s v="01-02-2016"/>
    <n v="1070"/>
    <n v="738"/>
    <n v="68.971962616822438"/>
    <n v="6.7663551401869162"/>
    <n v="7240"/>
    <n v="7.0971962616822433"/>
    <n v="354"/>
    <n v="7594"/>
    <n v="86"/>
    <x v="1"/>
    <x v="4"/>
    <x v="84"/>
    <x v="0"/>
  </r>
  <r>
    <x v="1298"/>
    <x v="1"/>
    <n v="5"/>
    <x v="303"/>
    <s v="13-03-2016"/>
    <x v="1"/>
    <x v="9"/>
    <x v="9"/>
    <x v="3"/>
    <n v="2"/>
    <x v="9"/>
    <s v="IN"/>
    <s v="15-03-2016"/>
    <n v="524"/>
    <n v="524"/>
    <n v="100"/>
    <n v="13.064885496183207"/>
    <n v="6846"/>
    <n v="14.431297709923664"/>
    <n v="716"/>
    <n v="7562"/>
    <n v="74"/>
    <x v="2"/>
    <x v="9"/>
    <x v="76"/>
    <x v="0"/>
  </r>
  <r>
    <x v="1299"/>
    <x v="1"/>
    <n v="8"/>
    <x v="235"/>
    <s v="22-04-2016"/>
    <x v="0"/>
    <x v="0"/>
    <x v="0"/>
    <x v="0"/>
    <n v="2"/>
    <x v="0"/>
    <s v="MI"/>
    <s v="24-04-2016"/>
    <n v="463"/>
    <n v="384"/>
    <n v="82.937365010799141"/>
    <n v="14.913606911447085"/>
    <n v="6905"/>
    <n v="15.844492440604752"/>
    <n v="431"/>
    <n v="7336"/>
    <n v="95"/>
    <x v="1"/>
    <x v="8"/>
    <x v="76"/>
    <x v="0"/>
  </r>
  <r>
    <x v="1300"/>
    <x v="0"/>
    <n v="5"/>
    <x v="24"/>
    <s v="28-02-2016"/>
    <x v="2"/>
    <x v="18"/>
    <x v="18"/>
    <x v="1"/>
    <n v="2"/>
    <x v="18"/>
    <s v="IN"/>
    <s v="29-02-2016"/>
    <n v="1038"/>
    <n v="452"/>
    <n v="43.545279383429673"/>
    <n v="2.4624277456647401"/>
    <n v="2556"/>
    <n v="2.7533718689788054"/>
    <n v="302"/>
    <n v="2858"/>
    <n v="73"/>
    <x v="1"/>
    <x v="1"/>
    <x v="84"/>
    <x v="0"/>
  </r>
  <r>
    <x v="1301"/>
    <x v="1"/>
    <n v="6"/>
    <x v="5"/>
    <s v="19-04-2016"/>
    <x v="0"/>
    <x v="16"/>
    <x v="16"/>
    <x v="4"/>
    <n v="2"/>
    <x v="16"/>
    <s v="MI"/>
    <s v="21-04-2016"/>
    <n v="929"/>
    <n v="518"/>
    <n v="55.758880516684606"/>
    <n v="0.98170075349838537"/>
    <n v="912"/>
    <n v="1.4251883745963401"/>
    <n v="412"/>
    <n v="1324"/>
    <n v="79"/>
    <x v="1"/>
    <x v="9"/>
    <x v="76"/>
    <x v="0"/>
  </r>
  <r>
    <x v="1302"/>
    <x v="0"/>
    <n v="4"/>
    <x v="279"/>
    <s v="10-01-2016"/>
    <x v="4"/>
    <x v="8"/>
    <x v="8"/>
    <x v="3"/>
    <n v="2"/>
    <x v="8"/>
    <s v="OH"/>
    <s v="12-01-2016"/>
    <n v="1196"/>
    <n v="410"/>
    <n v="34.280936454849495"/>
    <n v="6.8043478260869561"/>
    <n v="8138"/>
    <n v="5.4648829431438131"/>
    <n v="-1602"/>
    <n v="6536"/>
    <n v="89"/>
    <x v="1"/>
    <x v="2"/>
    <x v="76"/>
    <x v="0"/>
  </r>
  <r>
    <x v="1303"/>
    <x v="0"/>
    <n v="6"/>
    <x v="132"/>
    <s v="19-01-2016"/>
    <x v="4"/>
    <x v="5"/>
    <x v="5"/>
    <x v="3"/>
    <n v="2"/>
    <x v="5"/>
    <s v="IA"/>
    <s v="21-01-2016"/>
    <n v="1035"/>
    <n v="220"/>
    <n v="21.256038647342994"/>
    <n v="0.37874396135265703"/>
    <n v="392"/>
    <n v="0.7169082125603865"/>
    <n v="350"/>
    <n v="742"/>
    <n v="86"/>
    <x v="1"/>
    <x v="1"/>
    <x v="76"/>
    <x v="0"/>
  </r>
  <r>
    <x v="1304"/>
    <x v="1"/>
    <n v="5"/>
    <x v="89"/>
    <s v="06-08-2016"/>
    <x v="5"/>
    <x v="10"/>
    <x v="10"/>
    <x v="1"/>
    <n v="2"/>
    <x v="10"/>
    <s v="IL"/>
    <s v="08-08-2016"/>
    <n v="431"/>
    <n v="431"/>
    <n v="100"/>
    <n v="18.496519721577727"/>
    <n v="7972"/>
    <n v="19.570765661252899"/>
    <n v="463"/>
    <n v="8435"/>
    <n v="54"/>
    <x v="2"/>
    <x v="3"/>
    <x v="76"/>
    <x v="0"/>
  </r>
  <r>
    <x v="1305"/>
    <x v="0"/>
    <n v="4"/>
    <x v="7"/>
    <s v="29-08-2016"/>
    <x v="5"/>
    <x v="14"/>
    <x v="14"/>
    <x v="1"/>
    <n v="2"/>
    <x v="14"/>
    <s v="IL"/>
    <s v="31-08-2016"/>
    <n v="390"/>
    <n v="390"/>
    <n v="100"/>
    <n v="6.5948717948717945"/>
    <n v="2572"/>
    <n v="2.2820512820512819"/>
    <n v="-1682"/>
    <n v="890"/>
    <n v="84"/>
    <x v="1"/>
    <x v="8"/>
    <x v="76"/>
    <x v="0"/>
  </r>
  <r>
    <x v="1306"/>
    <x v="1"/>
    <n v="5"/>
    <x v="248"/>
    <s v="04-07-2016"/>
    <x v="3"/>
    <x v="11"/>
    <x v="11"/>
    <x v="2"/>
    <n v="2"/>
    <x v="11"/>
    <s v="MI"/>
    <s v="06-07-2016"/>
    <n v="762"/>
    <n v="740"/>
    <n v="97.112860892388454"/>
    <n v="10.448818897637794"/>
    <n v="7962"/>
    <n v="11.017060367454068"/>
    <n v="433"/>
    <n v="8395"/>
    <n v="89"/>
    <x v="1"/>
    <x v="3"/>
    <x v="76"/>
    <x v="0"/>
  </r>
  <r>
    <x v="1307"/>
    <x v="1"/>
    <n v="5"/>
    <x v="134"/>
    <s v="16-06-2016"/>
    <x v="6"/>
    <x v="22"/>
    <x v="22"/>
    <x v="0"/>
    <n v="2"/>
    <x v="22"/>
    <s v="IL"/>
    <s v="17-06-2016"/>
    <n v="413"/>
    <n v="413"/>
    <n v="100"/>
    <n v="13.583535108958838"/>
    <n v="5610"/>
    <n v="15.162227602905569"/>
    <n v="652"/>
    <n v="6262"/>
    <n v="79"/>
    <x v="1"/>
    <x v="3"/>
    <x v="84"/>
    <x v="0"/>
  </r>
  <r>
    <x v="1308"/>
    <x v="1"/>
    <n v="6"/>
    <x v="151"/>
    <s v="15-02-2016"/>
    <x v="2"/>
    <x v="2"/>
    <x v="2"/>
    <x v="1"/>
    <n v="2"/>
    <x v="2"/>
    <s v="IL"/>
    <s v="17-02-2016"/>
    <n v="1087"/>
    <n v="579"/>
    <n v="53.265869365225392"/>
    <n v="2.4921803127874886"/>
    <n v="2709"/>
    <n v="2.9668813247470101"/>
    <n v="516"/>
    <n v="3225"/>
    <n v="87"/>
    <x v="1"/>
    <x v="8"/>
    <x v="76"/>
    <x v="0"/>
  </r>
  <r>
    <x v="1309"/>
    <x v="1"/>
    <n v="5"/>
    <x v="28"/>
    <s v="31-05-2016"/>
    <x v="7"/>
    <x v="21"/>
    <x v="21"/>
    <x v="2"/>
    <n v="2"/>
    <x v="21"/>
    <s v="IL"/>
    <s v="02-06-2016"/>
    <n v="1073"/>
    <n v="781"/>
    <n v="72.786579683131407"/>
    <n v="6.417520969245107"/>
    <n v="6886"/>
    <n v="7.1752096924510713"/>
    <n v="813"/>
    <n v="7699"/>
    <n v="72"/>
    <x v="1"/>
    <x v="0"/>
    <x v="76"/>
    <x v="0"/>
  </r>
  <r>
    <x v="1310"/>
    <x v="0"/>
    <n v="6"/>
    <x v="301"/>
    <s v="31-03-2016"/>
    <x v="1"/>
    <x v="13"/>
    <x v="13"/>
    <x v="1"/>
    <n v="2"/>
    <x v="13"/>
    <s v="OH"/>
    <s v="02-04-2016"/>
    <n v="586"/>
    <n v="413"/>
    <n v="70.477815699658706"/>
    <n v="7.274744027303754"/>
    <n v="4263"/>
    <n v="7.8515358361774741"/>
    <n v="338"/>
    <n v="4601"/>
    <n v="100"/>
    <x v="1"/>
    <x v="0"/>
    <x v="76"/>
    <x v="0"/>
  </r>
  <r>
    <x v="1311"/>
    <x v="1"/>
    <n v="5"/>
    <x v="287"/>
    <s v="28-07-2016"/>
    <x v="3"/>
    <x v="3"/>
    <x v="3"/>
    <x v="2"/>
    <n v="2"/>
    <x v="3"/>
    <s v="IL"/>
    <s v="30-07-2016"/>
    <n v="1139"/>
    <n v="248"/>
    <n v="21.773485513608428"/>
    <n v="0.78138718173836696"/>
    <n v="890"/>
    <n v="1.1553994732221247"/>
    <n v="426"/>
    <n v="1316"/>
    <n v="100"/>
    <x v="1"/>
    <x v="1"/>
    <x v="76"/>
    <x v="0"/>
  </r>
  <r>
    <x v="1312"/>
    <x v="1"/>
    <n v="7"/>
    <x v="121"/>
    <s v="08-02-2016"/>
    <x v="2"/>
    <x v="23"/>
    <x v="23"/>
    <x v="1"/>
    <n v="2"/>
    <x v="23"/>
    <s v="WI"/>
    <s v="09-02-2016"/>
    <n v="746"/>
    <n v="377"/>
    <n v="50.536193029490619"/>
    <n v="1.4745308310991957E-2"/>
    <n v="11"/>
    <n v="0.9463806970509383"/>
    <n v="695"/>
    <n v="706"/>
    <n v="50"/>
    <x v="1"/>
    <x v="9"/>
    <x v="84"/>
    <x v="0"/>
  </r>
  <r>
    <x v="1313"/>
    <x v="0"/>
    <n v="6"/>
    <x v="173"/>
    <s v="11-01-2016"/>
    <x v="4"/>
    <x v="6"/>
    <x v="6"/>
    <x v="4"/>
    <n v="2"/>
    <x v="6"/>
    <s v="IN"/>
    <s v="13-01-2016"/>
    <n v="1068"/>
    <n v="270"/>
    <n v="25.280898876404496"/>
    <n v="6.2443820224719104"/>
    <n v="6669"/>
    <n v="6.7359550561797752"/>
    <n v="525"/>
    <n v="7194"/>
    <n v="85"/>
    <x v="1"/>
    <x v="6"/>
    <x v="76"/>
    <x v="0"/>
  </r>
  <r>
    <x v="1314"/>
    <x v="1"/>
    <n v="8"/>
    <x v="221"/>
    <s v="07-05-2016"/>
    <x v="7"/>
    <x v="17"/>
    <x v="17"/>
    <x v="3"/>
    <n v="2"/>
    <x v="17"/>
    <s v="OH"/>
    <s v="09-05-2016"/>
    <n v="475"/>
    <n v="475"/>
    <n v="100"/>
    <n v="6.9284210526315793"/>
    <n v="3291"/>
    <n v="7.3494736842105262"/>
    <n v="200"/>
    <n v="3491"/>
    <n v="65"/>
    <x v="1"/>
    <x v="2"/>
    <x v="76"/>
    <x v="0"/>
  </r>
  <r>
    <x v="1315"/>
    <x v="1"/>
    <n v="7"/>
    <x v="123"/>
    <s v="01-04-2016"/>
    <x v="0"/>
    <x v="22"/>
    <x v="22"/>
    <x v="0"/>
    <n v="2"/>
    <x v="22"/>
    <s v="IL"/>
    <s v="02-04-2016"/>
    <n v="436"/>
    <n v="354"/>
    <n v="81.192660550458712"/>
    <n v="6.3211009174311927"/>
    <n v="2756"/>
    <n v="7.8050458715596331"/>
    <n v="647"/>
    <n v="3403"/>
    <n v="71"/>
    <x v="1"/>
    <x v="9"/>
    <x v="84"/>
    <x v="0"/>
  </r>
  <r>
    <x v="1316"/>
    <x v="1"/>
    <n v="6"/>
    <x v="175"/>
    <s v="03-01-2016"/>
    <x v="4"/>
    <x v="4"/>
    <x v="4"/>
    <x v="2"/>
    <n v="2"/>
    <x v="4"/>
    <s v="MI"/>
    <s v="05-01-2016"/>
    <n v="800"/>
    <n v="228"/>
    <n v="28.499999999999996"/>
    <n v="5.5025000000000004"/>
    <n v="4402"/>
    <n v="6.1937499999999996"/>
    <n v="553"/>
    <n v="4955"/>
    <n v="61"/>
    <x v="2"/>
    <x v="0"/>
    <x v="76"/>
    <x v="0"/>
  </r>
  <r>
    <x v="1317"/>
    <x v="1"/>
    <n v="8"/>
    <x v="138"/>
    <s v="09-02-2016"/>
    <x v="2"/>
    <x v="1"/>
    <x v="1"/>
    <x v="1"/>
    <n v="2"/>
    <x v="1"/>
    <s v="WI"/>
    <s v="11-02-2016"/>
    <n v="1010"/>
    <n v="756"/>
    <n v="74.851485148514854"/>
    <n v="4.4891089108910895"/>
    <n v="4534"/>
    <n v="5.3613861386138613"/>
    <n v="881"/>
    <n v="5415"/>
    <n v="60"/>
    <x v="1"/>
    <x v="2"/>
    <x v="76"/>
    <x v="0"/>
  </r>
  <r>
    <x v="1318"/>
    <x v="1"/>
    <n v="5"/>
    <x v="245"/>
    <s v="02-07-2016"/>
    <x v="3"/>
    <x v="17"/>
    <x v="17"/>
    <x v="3"/>
    <n v="2"/>
    <x v="17"/>
    <s v="OH"/>
    <s v="02-07-2016"/>
    <n v="243"/>
    <n v="243"/>
    <n v="100"/>
    <n v="0.60082304526748975"/>
    <n v="146"/>
    <n v="2.9176954732510287"/>
    <n v="563"/>
    <n v="709"/>
    <n v="96"/>
    <x v="1"/>
    <x v="8"/>
    <x v="85"/>
    <x v="1"/>
  </r>
  <r>
    <x v="1319"/>
    <x v="0"/>
    <n v="8"/>
    <x v="260"/>
    <s v="29-01-2016"/>
    <x v="4"/>
    <x v="8"/>
    <x v="8"/>
    <x v="3"/>
    <n v="2"/>
    <x v="8"/>
    <s v="OH"/>
    <s v="31-01-2016"/>
    <n v="658"/>
    <n v="658"/>
    <n v="100"/>
    <n v="7.9741641337386016"/>
    <n v="5247"/>
    <n v="8.2218844984802431"/>
    <n v="163"/>
    <n v="5410"/>
    <n v="72"/>
    <x v="1"/>
    <x v="4"/>
    <x v="76"/>
    <x v="0"/>
  </r>
  <r>
    <x v="1320"/>
    <x v="1"/>
    <n v="8"/>
    <x v="30"/>
    <s v="15-08-2016"/>
    <x v="5"/>
    <x v="5"/>
    <x v="5"/>
    <x v="3"/>
    <n v="2"/>
    <x v="5"/>
    <s v="IA"/>
    <s v="17-08-2016"/>
    <n v="1072"/>
    <n v="489"/>
    <n v="45.615671641791046"/>
    <n v="3.5093283582089554"/>
    <n v="3762"/>
    <n v="3.783582089552239"/>
    <n v="294"/>
    <n v="4056"/>
    <n v="68"/>
    <x v="1"/>
    <x v="3"/>
    <x v="76"/>
    <x v="0"/>
  </r>
  <r>
    <x v="1321"/>
    <x v="1"/>
    <n v="4"/>
    <x v="31"/>
    <s v="02-08-2016"/>
    <x v="5"/>
    <x v="23"/>
    <x v="23"/>
    <x v="1"/>
    <n v="2"/>
    <x v="23"/>
    <s v="WI"/>
    <s v="03-08-2016"/>
    <n v="538"/>
    <n v="538"/>
    <n v="100"/>
    <n v="10.66542750929368"/>
    <n v="5738"/>
    <n v="6.5817843866171"/>
    <n v="-2197"/>
    <n v="3541"/>
    <n v="84"/>
    <x v="1"/>
    <x v="6"/>
    <x v="84"/>
    <x v="0"/>
  </r>
  <r>
    <x v="1322"/>
    <x v="0"/>
    <n v="7"/>
    <x v="32"/>
    <s v="07-03-2016"/>
    <x v="1"/>
    <x v="0"/>
    <x v="0"/>
    <x v="0"/>
    <n v="2"/>
    <x v="0"/>
    <s v="MI"/>
    <s v="09-03-2016"/>
    <n v="568"/>
    <n v="509"/>
    <n v="89.612676056338032"/>
    <n v="3.538732394366197"/>
    <n v="2010"/>
    <n v="5.142605633802817"/>
    <n v="911"/>
    <n v="2921"/>
    <n v="63"/>
    <x v="1"/>
    <x v="8"/>
    <x v="76"/>
    <x v="0"/>
  </r>
  <r>
    <x v="1323"/>
    <x v="1"/>
    <n v="8"/>
    <x v="177"/>
    <s v="30-03-2016"/>
    <x v="1"/>
    <x v="1"/>
    <x v="1"/>
    <x v="1"/>
    <n v="2"/>
    <x v="1"/>
    <s v="WI"/>
    <s v="01-04-2016"/>
    <n v="1022"/>
    <n v="447"/>
    <n v="43.737769080234834"/>
    <n v="1.6291585127201567"/>
    <n v="1665"/>
    <n v="2.216242661448141"/>
    <n v="600"/>
    <n v="2265"/>
    <n v="95"/>
    <x v="1"/>
    <x v="8"/>
    <x v="76"/>
    <x v="0"/>
  </r>
  <r>
    <x v="1324"/>
    <x v="0"/>
    <n v="6"/>
    <x v="112"/>
    <s v="29-01-2016"/>
    <x v="4"/>
    <x v="0"/>
    <x v="0"/>
    <x v="0"/>
    <n v="2"/>
    <x v="0"/>
    <s v="MI"/>
    <s v="31-01-2016"/>
    <n v="1196"/>
    <n v="586"/>
    <n v="48.996655518394647"/>
    <n v="3.801839464882943"/>
    <n v="4547"/>
    <n v="4.0083612040133776"/>
    <n v="247"/>
    <n v="4794"/>
    <n v="85"/>
    <x v="1"/>
    <x v="2"/>
    <x v="76"/>
    <x v="0"/>
  </r>
  <r>
    <x v="1325"/>
    <x v="1"/>
    <n v="5"/>
    <x v="127"/>
    <s v="26-08-2016"/>
    <x v="5"/>
    <x v="4"/>
    <x v="4"/>
    <x v="2"/>
    <n v="2"/>
    <x v="4"/>
    <s v="MI"/>
    <s v="28-08-2016"/>
    <n v="885"/>
    <n v="527"/>
    <n v="59.548022598870055"/>
    <n v="8.8723163841807917"/>
    <n v="7852"/>
    <n v="9.5774011299435031"/>
    <n v="624"/>
    <n v="8476"/>
    <n v="74"/>
    <x v="1"/>
    <x v="5"/>
    <x v="76"/>
    <x v="0"/>
  </r>
  <r>
    <x v="1326"/>
    <x v="1"/>
    <n v="2"/>
    <x v="178"/>
    <s v="02-07-2016"/>
    <x v="3"/>
    <x v="18"/>
    <x v="18"/>
    <x v="1"/>
    <n v="2"/>
    <x v="18"/>
    <s v="IN"/>
    <s v="03-07-2016"/>
    <n v="823"/>
    <n v="501"/>
    <n v="60.874848116646419"/>
    <n v="8.5662211421628189"/>
    <n v="7050"/>
    <n v="9.1275820170109352"/>
    <n v="462"/>
    <n v="7512"/>
    <n v="90"/>
    <x v="1"/>
    <x v="0"/>
    <x v="84"/>
    <x v="0"/>
  </r>
  <r>
    <x v="1327"/>
    <x v="0"/>
    <n v="6"/>
    <x v="166"/>
    <s v="05-03-2016"/>
    <x v="1"/>
    <x v="8"/>
    <x v="8"/>
    <x v="3"/>
    <n v="2"/>
    <x v="8"/>
    <s v="OH"/>
    <s v="07-03-2016"/>
    <n v="274"/>
    <n v="274"/>
    <n v="100"/>
    <n v="27.945255474452555"/>
    <n v="7657"/>
    <n v="31.427007299270073"/>
    <n v="954"/>
    <n v="8611"/>
    <n v="98"/>
    <x v="2"/>
    <x v="6"/>
    <x v="76"/>
    <x v="0"/>
  </r>
  <r>
    <x v="1328"/>
    <x v="1"/>
    <n v="4"/>
    <x v="36"/>
    <s v="18-03-2016"/>
    <x v="1"/>
    <x v="20"/>
    <x v="20"/>
    <x v="1"/>
    <n v="2"/>
    <x v="20"/>
    <s v="IL"/>
    <s v="20-03-2016"/>
    <n v="1041"/>
    <n v="202"/>
    <n v="19.404418828049952"/>
    <n v="7.5235350624399615"/>
    <n v="7832"/>
    <n v="5.3554274735830933"/>
    <n v="-2257"/>
    <n v="5575"/>
    <n v="94"/>
    <x v="1"/>
    <x v="9"/>
    <x v="76"/>
    <x v="0"/>
  </r>
  <r>
    <x v="1329"/>
    <x v="0"/>
    <n v="3"/>
    <x v="199"/>
    <s v="15-07-2016"/>
    <x v="3"/>
    <x v="3"/>
    <x v="3"/>
    <x v="2"/>
    <n v="2"/>
    <x v="3"/>
    <s v="IL"/>
    <s v="17-07-2016"/>
    <n v="796"/>
    <n v="286"/>
    <n v="35.929648241206031"/>
    <n v="3.5389447236180906"/>
    <n v="2817"/>
    <n v="4.0879396984924625"/>
    <n v="437"/>
    <n v="3254"/>
    <n v="54"/>
    <x v="1"/>
    <x v="3"/>
    <x v="76"/>
    <x v="0"/>
  </r>
  <r>
    <x v="1330"/>
    <x v="1"/>
    <n v="5"/>
    <x v="79"/>
    <s v="14-03-2016"/>
    <x v="1"/>
    <x v="2"/>
    <x v="2"/>
    <x v="1"/>
    <n v="2"/>
    <x v="2"/>
    <s v="IL"/>
    <s v="16-03-2016"/>
    <n v="288"/>
    <n v="288"/>
    <n v="100"/>
    <n v="0.1736111111111111"/>
    <n v="50"/>
    <n v="0.75694444444444442"/>
    <n v="168"/>
    <n v="218"/>
    <n v="88"/>
    <x v="1"/>
    <x v="9"/>
    <x v="76"/>
    <x v="0"/>
  </r>
  <r>
    <x v="1331"/>
    <x v="0"/>
    <n v="5"/>
    <x v="187"/>
    <s v="01-04-2016"/>
    <x v="0"/>
    <x v="19"/>
    <x v="19"/>
    <x v="0"/>
    <n v="2"/>
    <x v="19"/>
    <s v="WI"/>
    <s v="03-04-2016"/>
    <n v="1166"/>
    <n v="321"/>
    <n v="27.530017152658665"/>
    <n v="3.9245283018867925"/>
    <n v="4576"/>
    <n v="4.0754716981132075"/>
    <n v="176"/>
    <n v="4752"/>
    <n v="82"/>
    <x v="1"/>
    <x v="4"/>
    <x v="76"/>
    <x v="0"/>
  </r>
  <r>
    <x v="1332"/>
    <x v="1"/>
    <n v="3"/>
    <x v="302"/>
    <s v="28-02-2016"/>
    <x v="2"/>
    <x v="23"/>
    <x v="23"/>
    <x v="1"/>
    <n v="2"/>
    <x v="23"/>
    <s v="WI"/>
    <s v="28-02-2016"/>
    <n v="214"/>
    <n v="214"/>
    <n v="100"/>
    <n v="17.135514018691588"/>
    <n v="3667"/>
    <n v="17.906542056074766"/>
    <n v="165"/>
    <n v="3832"/>
    <n v="64"/>
    <x v="1"/>
    <x v="7"/>
    <x v="85"/>
    <x v="1"/>
  </r>
  <r>
    <x v="1333"/>
    <x v="1"/>
    <n v="1"/>
    <x v="113"/>
    <s v="25-08-2016"/>
    <x v="5"/>
    <x v="6"/>
    <x v="6"/>
    <x v="4"/>
    <n v="2"/>
    <x v="6"/>
    <s v="IN"/>
    <s v="27-08-2016"/>
    <n v="696"/>
    <n v="671"/>
    <n v="96.408045977011497"/>
    <n v="3.6594827586206895"/>
    <n v="2547"/>
    <n v="11.441091954022989"/>
    <n v="5416"/>
    <n v="7963"/>
    <n v="71"/>
    <x v="1"/>
    <x v="4"/>
    <x v="76"/>
    <x v="0"/>
  </r>
  <r>
    <x v="1334"/>
    <x v="1"/>
    <n v="2"/>
    <x v="37"/>
    <s v="22-07-2016"/>
    <x v="3"/>
    <x v="15"/>
    <x v="15"/>
    <x v="4"/>
    <n v="2"/>
    <x v="15"/>
    <s v="IL"/>
    <s v="23-07-2016"/>
    <n v="881"/>
    <n v="760"/>
    <n v="86.265607264472195"/>
    <n v="0.77185017026106695"/>
    <n v="680"/>
    <n v="0.99205448354143022"/>
    <n v="194"/>
    <n v="874"/>
    <n v="86"/>
    <x v="1"/>
    <x v="6"/>
    <x v="84"/>
    <x v="0"/>
  </r>
  <r>
    <x v="1335"/>
    <x v="0"/>
    <n v="2"/>
    <x v="19"/>
    <s v="11-02-2016"/>
    <x v="2"/>
    <x v="12"/>
    <x v="12"/>
    <x v="3"/>
    <n v="2"/>
    <x v="12"/>
    <s v="MI"/>
    <s v="13-02-2016"/>
    <n v="887"/>
    <n v="410"/>
    <n v="46.223224351747469"/>
    <n v="5.3337091319052989"/>
    <n v="4731"/>
    <n v="5.5997745208568208"/>
    <n v="236"/>
    <n v="4967"/>
    <n v="55"/>
    <x v="1"/>
    <x v="2"/>
    <x v="76"/>
    <x v="0"/>
  </r>
  <r>
    <x v="1336"/>
    <x v="1"/>
    <n v="6"/>
    <x v="281"/>
    <s v="18-02-2016"/>
    <x v="2"/>
    <x v="17"/>
    <x v="17"/>
    <x v="3"/>
    <n v="2"/>
    <x v="17"/>
    <s v="OH"/>
    <s v="19-02-2016"/>
    <n v="772"/>
    <n v="217"/>
    <n v="28.108808290155441"/>
    <n v="9.5207253886010363"/>
    <n v="7350"/>
    <n v="10.810880829015543"/>
    <n v="996"/>
    <n v="8346"/>
    <n v="79"/>
    <x v="1"/>
    <x v="6"/>
    <x v="84"/>
    <x v="0"/>
  </r>
  <r>
    <x v="1337"/>
    <x v="0"/>
    <n v="3"/>
    <x v="20"/>
    <s v="02-05-2016"/>
    <x v="7"/>
    <x v="9"/>
    <x v="9"/>
    <x v="3"/>
    <n v="2"/>
    <x v="9"/>
    <s v="IN"/>
    <s v="04-05-2016"/>
    <n v="1001"/>
    <n v="402"/>
    <n v="40.159840159840158"/>
    <n v="2.8881118881118879"/>
    <n v="2891"/>
    <n v="3.7362637362637363"/>
    <n v="849"/>
    <n v="3740"/>
    <n v="59"/>
    <x v="2"/>
    <x v="3"/>
    <x v="76"/>
    <x v="0"/>
  </r>
  <r>
    <x v="1338"/>
    <x v="2"/>
    <n v="3"/>
    <x v="101"/>
    <s v="24-06-2016"/>
    <x v="6"/>
    <x v="19"/>
    <x v="19"/>
    <x v="0"/>
    <n v="2"/>
    <x v="19"/>
    <s v="WI"/>
    <s v="26-06-2016"/>
    <n v="1145"/>
    <n v="400"/>
    <n v="34.934497816593883"/>
    <n v="5.8454148471615719"/>
    <n v="6693"/>
    <n v="5.9685589519650657"/>
    <n v="141"/>
    <n v="6834"/>
    <n v="80"/>
    <x v="1"/>
    <x v="9"/>
    <x v="76"/>
    <x v="0"/>
  </r>
  <r>
    <x v="1339"/>
    <x v="2"/>
    <n v="5"/>
    <x v="39"/>
    <s v="27-02-2016"/>
    <x v="2"/>
    <x v="0"/>
    <x v="0"/>
    <x v="0"/>
    <n v="2"/>
    <x v="0"/>
    <s v="MI"/>
    <s v="29-02-2016"/>
    <n v="755"/>
    <n v="693"/>
    <n v="91.788079470198682"/>
    <n v="8.4662251655629142"/>
    <n v="6392"/>
    <n v="9.4304635761589406"/>
    <n v="728"/>
    <n v="7120"/>
    <n v="93"/>
    <x v="1"/>
    <x v="6"/>
    <x v="76"/>
    <x v="0"/>
  </r>
  <r>
    <x v="1340"/>
    <x v="2"/>
    <n v="2"/>
    <x v="202"/>
    <s v="15-05-2016"/>
    <x v="7"/>
    <x v="18"/>
    <x v="18"/>
    <x v="1"/>
    <n v="2"/>
    <x v="18"/>
    <s v="IN"/>
    <s v="16-05-2016"/>
    <n v="980"/>
    <n v="736"/>
    <n v="75.102040816326536"/>
    <n v="5.0775510204081629"/>
    <n v="4976"/>
    <n v="5.5571428571428569"/>
    <n v="470"/>
    <n v="5446"/>
    <n v="96"/>
    <x v="1"/>
    <x v="2"/>
    <x v="84"/>
    <x v="0"/>
  </r>
  <r>
    <x v="1341"/>
    <x v="0"/>
    <n v="4"/>
    <x v="229"/>
    <s v="29-05-2016"/>
    <x v="7"/>
    <x v="6"/>
    <x v="6"/>
    <x v="4"/>
    <n v="2"/>
    <x v="6"/>
    <s v="IN"/>
    <s v="31-05-2016"/>
    <n v="771"/>
    <n v="475"/>
    <n v="61.608300907911804"/>
    <n v="6.2529182879377432"/>
    <n v="4821"/>
    <n v="3.588845654993515"/>
    <n v="-2054"/>
    <n v="2767"/>
    <n v="67"/>
    <x v="1"/>
    <x v="4"/>
    <x v="76"/>
    <x v="0"/>
  </r>
  <r>
    <x v="1342"/>
    <x v="0"/>
    <n v="3"/>
    <x v="283"/>
    <s v="26-05-2016"/>
    <x v="7"/>
    <x v="5"/>
    <x v="5"/>
    <x v="3"/>
    <n v="2"/>
    <x v="5"/>
    <s v="IA"/>
    <s v="28-05-2016"/>
    <n v="279"/>
    <n v="279"/>
    <n v="100"/>
    <n v="9.6093189964157713"/>
    <n v="2681"/>
    <n v="11.899641577060931"/>
    <n v="639"/>
    <n v="3320"/>
    <n v="73"/>
    <x v="1"/>
    <x v="5"/>
    <x v="76"/>
    <x v="0"/>
  </r>
  <r>
    <x v="1343"/>
    <x v="2"/>
    <n v="2"/>
    <x v="22"/>
    <s v="28-04-2016"/>
    <x v="0"/>
    <x v="10"/>
    <x v="10"/>
    <x v="1"/>
    <n v="2"/>
    <x v="10"/>
    <s v="IL"/>
    <s v="30-04-2016"/>
    <n v="685"/>
    <n v="524"/>
    <n v="76.496350364963504"/>
    <n v="10.437956204379562"/>
    <n v="7150"/>
    <n v="11.378102189781021"/>
    <n v="644"/>
    <n v="7794"/>
    <n v="60"/>
    <x v="2"/>
    <x v="9"/>
    <x v="76"/>
    <x v="0"/>
  </r>
  <r>
    <x v="1344"/>
    <x v="2"/>
    <n v="2"/>
    <x v="43"/>
    <s v="23-05-2016"/>
    <x v="7"/>
    <x v="23"/>
    <x v="23"/>
    <x v="1"/>
    <n v="2"/>
    <x v="23"/>
    <s v="WI"/>
    <s v="24-05-2016"/>
    <n v="993"/>
    <n v="449"/>
    <n v="45.216515609264853"/>
    <n v="7.0654582074521652"/>
    <n v="7016"/>
    <n v="7.6676737160120849"/>
    <n v="598"/>
    <n v="7614"/>
    <n v="52"/>
    <x v="1"/>
    <x v="8"/>
    <x v="84"/>
    <x v="0"/>
  </r>
  <r>
    <x v="1345"/>
    <x v="2"/>
    <n v="5"/>
    <x v="44"/>
    <s v="12-06-2016"/>
    <x v="6"/>
    <x v="0"/>
    <x v="0"/>
    <x v="0"/>
    <n v="2"/>
    <x v="0"/>
    <s v="MI"/>
    <s v="14-06-2016"/>
    <n v="912"/>
    <n v="785"/>
    <n v="86.074561403508781"/>
    <n v="7.9923245614035086"/>
    <n v="7289"/>
    <n v="8.9758771929824555"/>
    <n v="897"/>
    <n v="8186"/>
    <n v="94"/>
    <x v="1"/>
    <x v="0"/>
    <x v="76"/>
    <x v="0"/>
  </r>
  <r>
    <x v="1346"/>
    <x v="0"/>
    <n v="2"/>
    <x v="182"/>
    <s v="22-08-2016"/>
    <x v="5"/>
    <x v="12"/>
    <x v="12"/>
    <x v="3"/>
    <n v="2"/>
    <x v="12"/>
    <s v="MI"/>
    <s v="24-08-2016"/>
    <n v="275"/>
    <n v="275"/>
    <n v="100"/>
    <n v="8.3636363636363634E-2"/>
    <n v="23"/>
    <n v="3.44"/>
    <n v="923"/>
    <n v="946"/>
    <n v="50"/>
    <x v="2"/>
    <x v="5"/>
    <x v="76"/>
    <x v="0"/>
  </r>
  <r>
    <x v="1347"/>
    <x v="0"/>
    <n v="3"/>
    <x v="285"/>
    <s v="26-06-2016"/>
    <x v="6"/>
    <x v="4"/>
    <x v="4"/>
    <x v="2"/>
    <n v="2"/>
    <x v="4"/>
    <s v="MI"/>
    <s v="28-06-2016"/>
    <n v="331"/>
    <n v="331"/>
    <n v="100"/>
    <n v="21.957703927492446"/>
    <n v="7268"/>
    <n v="23.021148036253777"/>
    <n v="352"/>
    <n v="7620"/>
    <n v="52"/>
    <x v="1"/>
    <x v="0"/>
    <x v="76"/>
    <x v="0"/>
  </r>
  <r>
    <x v="1348"/>
    <x v="0"/>
    <n v="2"/>
    <x v="159"/>
    <s v="02-03-2016"/>
    <x v="1"/>
    <x v="3"/>
    <x v="3"/>
    <x v="2"/>
    <n v="2"/>
    <x v="3"/>
    <s v="IL"/>
    <s v="04-03-2016"/>
    <n v="524"/>
    <n v="524"/>
    <n v="100"/>
    <n v="10.864503816793894"/>
    <n v="5693"/>
    <n v="11.370229007633588"/>
    <n v="265"/>
    <n v="5958"/>
    <n v="99"/>
    <x v="1"/>
    <x v="4"/>
    <x v="76"/>
    <x v="0"/>
  </r>
  <r>
    <x v="1349"/>
    <x v="0"/>
    <n v="3"/>
    <x v="85"/>
    <s v="01-01-2016"/>
    <x v="4"/>
    <x v="10"/>
    <x v="10"/>
    <x v="1"/>
    <n v="2"/>
    <x v="10"/>
    <s v="IL"/>
    <s v="03-01-2016"/>
    <n v="710"/>
    <n v="710"/>
    <n v="100"/>
    <n v="1.580281690140845"/>
    <n v="1122"/>
    <n v="2.5788732394366196"/>
    <n v="709"/>
    <n v="1831"/>
    <n v="78"/>
    <x v="1"/>
    <x v="4"/>
    <x v="76"/>
    <x v="0"/>
  </r>
  <r>
    <x v="1350"/>
    <x v="0"/>
    <n v="4"/>
    <x v="233"/>
    <s v="30-03-2016"/>
    <x v="1"/>
    <x v="2"/>
    <x v="2"/>
    <x v="1"/>
    <n v="2"/>
    <x v="2"/>
    <s v="IL"/>
    <s v="01-04-2016"/>
    <n v="1090"/>
    <n v="370"/>
    <n v="33.944954128440372"/>
    <n v="5.4871559633027527"/>
    <n v="5981"/>
    <n v="3.8165137614678901"/>
    <n v="-1821"/>
    <n v="4160"/>
    <n v="73"/>
    <x v="1"/>
    <x v="4"/>
    <x v="76"/>
    <x v="0"/>
  </r>
  <r>
    <x v="1351"/>
    <x v="0"/>
    <n v="1"/>
    <x v="192"/>
    <s v="22-06-2016"/>
    <x v="6"/>
    <x v="19"/>
    <x v="19"/>
    <x v="0"/>
    <n v="2"/>
    <x v="19"/>
    <s v="WI"/>
    <s v="24-06-2016"/>
    <n v="295"/>
    <n v="295"/>
    <n v="100"/>
    <n v="5.3966101694915256"/>
    <n v="1592"/>
    <n v="22.955932203389832"/>
    <n v="5180"/>
    <n v="6772"/>
    <n v="89"/>
    <x v="1"/>
    <x v="8"/>
    <x v="76"/>
    <x v="0"/>
  </r>
  <r>
    <x v="1352"/>
    <x v="0"/>
    <n v="3"/>
    <x v="144"/>
    <s v="08-08-2016"/>
    <x v="5"/>
    <x v="13"/>
    <x v="13"/>
    <x v="1"/>
    <n v="2"/>
    <x v="13"/>
    <s v="OH"/>
    <s v="08-08-2016"/>
    <n v="716"/>
    <n v="235"/>
    <n v="32.821229050279328"/>
    <n v="8.2527932960893846"/>
    <n v="5909"/>
    <n v="8.4148044692737436"/>
    <n v="116"/>
    <n v="6025"/>
    <n v="66"/>
    <x v="1"/>
    <x v="3"/>
    <x v="85"/>
    <x v="1"/>
  </r>
  <r>
    <x v="1353"/>
    <x v="2"/>
    <n v="5"/>
    <x v="235"/>
    <s v="21-02-2016"/>
    <x v="2"/>
    <x v="3"/>
    <x v="3"/>
    <x v="2"/>
    <n v="2"/>
    <x v="3"/>
    <s v="IL"/>
    <s v="23-02-2016"/>
    <n v="583"/>
    <n v="214"/>
    <n v="36.706689536878216"/>
    <n v="3.3173241852487134"/>
    <n v="1934"/>
    <n v="4.9433962264150946"/>
    <n v="948"/>
    <n v="2882"/>
    <n v="83"/>
    <x v="1"/>
    <x v="8"/>
    <x v="76"/>
    <x v="0"/>
  </r>
  <r>
    <x v="1354"/>
    <x v="2"/>
    <n v="1"/>
    <x v="24"/>
    <s v="24-06-2016"/>
    <x v="6"/>
    <x v="22"/>
    <x v="22"/>
    <x v="0"/>
    <n v="2"/>
    <x v="22"/>
    <s v="IL"/>
    <s v="25-06-2016"/>
    <n v="1108"/>
    <n v="792"/>
    <n v="71.480144404332137"/>
    <n v="6.2274368231046928"/>
    <n v="6900"/>
    <n v="10.447653429602887"/>
    <n v="4676"/>
    <n v="11576"/>
    <n v="96"/>
    <x v="1"/>
    <x v="7"/>
    <x v="84"/>
    <x v="0"/>
  </r>
  <r>
    <x v="1355"/>
    <x v="0"/>
    <n v="3"/>
    <x v="132"/>
    <s v="20-05-2016"/>
    <x v="7"/>
    <x v="21"/>
    <x v="21"/>
    <x v="2"/>
    <n v="2"/>
    <x v="21"/>
    <s v="IL"/>
    <s v="22-05-2016"/>
    <n v="1003"/>
    <n v="668"/>
    <n v="66.600199401794612"/>
    <n v="0.10667996011964108"/>
    <n v="107"/>
    <n v="0.34396809571286141"/>
    <n v="238"/>
    <n v="345"/>
    <n v="75"/>
    <x v="1"/>
    <x v="6"/>
    <x v="76"/>
    <x v="0"/>
  </r>
  <r>
    <x v="1356"/>
    <x v="2"/>
    <n v="4"/>
    <x v="247"/>
    <s v="10-01-2016"/>
    <x v="4"/>
    <x v="18"/>
    <x v="18"/>
    <x v="1"/>
    <n v="2"/>
    <x v="18"/>
    <s v="IN"/>
    <s v="12-01-2016"/>
    <n v="463"/>
    <n v="202"/>
    <n v="43.628509719222464"/>
    <n v="5.1015118790496761"/>
    <n v="2362"/>
    <n v="1.0323974082073435"/>
    <n v="-1884"/>
    <n v="478"/>
    <n v="76"/>
    <x v="1"/>
    <x v="1"/>
    <x v="76"/>
    <x v="0"/>
  </r>
  <r>
    <x v="1357"/>
    <x v="0"/>
    <n v="1"/>
    <x v="6"/>
    <s v="05-03-2016"/>
    <x v="1"/>
    <x v="1"/>
    <x v="1"/>
    <x v="1"/>
    <n v="2"/>
    <x v="1"/>
    <s v="WI"/>
    <s v="07-03-2016"/>
    <n v="936"/>
    <n v="427"/>
    <n v="45.619658119658119"/>
    <n v="1.4914529914529915"/>
    <n v="1396"/>
    <n v="6.1987179487179489"/>
    <n v="4406"/>
    <n v="5802"/>
    <n v="99"/>
    <x v="1"/>
    <x v="9"/>
    <x v="76"/>
    <x v="0"/>
  </r>
  <r>
    <x v="1358"/>
    <x v="2"/>
    <n v="1"/>
    <x v="236"/>
    <s v="11-08-2016"/>
    <x v="5"/>
    <x v="16"/>
    <x v="16"/>
    <x v="4"/>
    <n v="2"/>
    <x v="16"/>
    <s v="MI"/>
    <s v="13-08-2016"/>
    <n v="445"/>
    <n v="291"/>
    <n v="65.393258426966298"/>
    <n v="1.7078651685393258"/>
    <n v="760"/>
    <n v="13.008988764044943"/>
    <n v="5029"/>
    <n v="5789"/>
    <n v="100"/>
    <x v="1"/>
    <x v="5"/>
    <x v="76"/>
    <x v="0"/>
  </r>
  <r>
    <x v="1359"/>
    <x v="0"/>
    <n v="6"/>
    <x v="26"/>
    <s v="17-05-2016"/>
    <x v="7"/>
    <x v="12"/>
    <x v="12"/>
    <x v="3"/>
    <n v="2"/>
    <x v="12"/>
    <s v="MI"/>
    <s v="19-05-2016"/>
    <n v="781"/>
    <n v="535"/>
    <n v="68.501920614596671"/>
    <n v="1.0601792573623559"/>
    <n v="828"/>
    <n v="2.0832266325224071"/>
    <n v="799"/>
    <n v="1627"/>
    <n v="77"/>
    <x v="1"/>
    <x v="0"/>
    <x v="76"/>
    <x v="0"/>
  </r>
  <r>
    <x v="1360"/>
    <x v="0"/>
    <n v="2"/>
    <x v="24"/>
    <s v="10-06-2016"/>
    <x v="6"/>
    <x v="7"/>
    <x v="7"/>
    <x v="5"/>
    <n v="2"/>
    <x v="7"/>
    <s v="WI"/>
    <s v="12-06-2016"/>
    <n v="1184"/>
    <n v="373"/>
    <n v="31.503378378378379"/>
    <n v="6.0177364864864868"/>
    <n v="7125"/>
    <n v="6.6081081081081079"/>
    <n v="699"/>
    <n v="7824"/>
    <n v="93"/>
    <x v="1"/>
    <x v="6"/>
    <x v="76"/>
    <x v="0"/>
  </r>
  <r>
    <x v="1361"/>
    <x v="2"/>
    <n v="1"/>
    <x v="27"/>
    <s v="29-07-2016"/>
    <x v="3"/>
    <x v="19"/>
    <x v="19"/>
    <x v="0"/>
    <n v="2"/>
    <x v="19"/>
    <s v="WI"/>
    <s v="31-07-2016"/>
    <n v="888"/>
    <n v="263"/>
    <n v="29.617117117117115"/>
    <n v="5.1418918918918921"/>
    <n v="4566"/>
    <n v="10.431306306306306"/>
    <n v="4697"/>
    <n v="9263"/>
    <n v="58"/>
    <x v="1"/>
    <x v="9"/>
    <x v="76"/>
    <x v="0"/>
  </r>
  <r>
    <x v="1362"/>
    <x v="2"/>
    <n v="2"/>
    <x v="262"/>
    <s v="11-02-2016"/>
    <x v="2"/>
    <x v="1"/>
    <x v="1"/>
    <x v="1"/>
    <n v="2"/>
    <x v="1"/>
    <s v="WI"/>
    <s v="13-02-2016"/>
    <n v="903"/>
    <n v="214"/>
    <n v="23.698781838316719"/>
    <n v="8.0066445182724255"/>
    <n v="7230"/>
    <n v="8.2436323366555921"/>
    <n v="214"/>
    <n v="7444"/>
    <n v="56"/>
    <x v="1"/>
    <x v="5"/>
    <x v="76"/>
    <x v="0"/>
  </r>
  <r>
    <x v="1363"/>
    <x v="2"/>
    <n v="5"/>
    <x v="183"/>
    <s v="26-01-2016"/>
    <x v="4"/>
    <x v="11"/>
    <x v="11"/>
    <x v="2"/>
    <n v="2"/>
    <x v="11"/>
    <s v="MI"/>
    <s v="28-01-2016"/>
    <n v="1197"/>
    <n v="628"/>
    <n v="52.464494569757726"/>
    <n v="4.7067669172932334"/>
    <n v="5634"/>
    <n v="5.4093567251461989"/>
    <n v="841"/>
    <n v="6475"/>
    <n v="70"/>
    <x v="1"/>
    <x v="7"/>
    <x v="76"/>
    <x v="0"/>
  </r>
  <r>
    <x v="1364"/>
    <x v="0"/>
    <n v="3"/>
    <x v="300"/>
    <s v="08-01-2016"/>
    <x v="4"/>
    <x v="15"/>
    <x v="15"/>
    <x v="4"/>
    <n v="2"/>
    <x v="15"/>
    <s v="IL"/>
    <s v="10-01-2016"/>
    <n v="822"/>
    <n v="669"/>
    <n v="81.386861313868607"/>
    <n v="7.4635036496350367"/>
    <n v="6135"/>
    <n v="8.1131386861313874"/>
    <n v="534"/>
    <n v="6669"/>
    <n v="71"/>
    <x v="1"/>
    <x v="4"/>
    <x v="76"/>
    <x v="0"/>
  </r>
  <r>
    <x v="1365"/>
    <x v="0"/>
    <n v="5"/>
    <x v="286"/>
    <s v="16-06-2016"/>
    <x v="6"/>
    <x v="8"/>
    <x v="8"/>
    <x v="3"/>
    <n v="2"/>
    <x v="8"/>
    <s v="OH"/>
    <s v="18-06-2016"/>
    <n v="924"/>
    <n v="287"/>
    <n v="31.060606060606062"/>
    <n v="6.6504329004329001"/>
    <n v="6145"/>
    <n v="7.0411255411255409"/>
    <n v="361"/>
    <n v="6506"/>
    <n v="93"/>
    <x v="1"/>
    <x v="9"/>
    <x v="76"/>
    <x v="0"/>
  </r>
  <r>
    <x v="1366"/>
    <x v="0"/>
    <n v="5"/>
    <x v="107"/>
    <s v="18-08-2016"/>
    <x v="5"/>
    <x v="22"/>
    <x v="22"/>
    <x v="0"/>
    <n v="2"/>
    <x v="22"/>
    <s v="IL"/>
    <s v="20-08-2016"/>
    <n v="296"/>
    <n v="296"/>
    <n v="100"/>
    <n v="1.5844594594594594"/>
    <n v="469"/>
    <n v="3.7736486486486487"/>
    <n v="648"/>
    <n v="1117"/>
    <n v="73"/>
    <x v="1"/>
    <x v="0"/>
    <x v="76"/>
    <x v="0"/>
  </r>
  <r>
    <x v="1367"/>
    <x v="0"/>
    <n v="6"/>
    <x v="206"/>
    <s v="06-01-2016"/>
    <x v="4"/>
    <x v="23"/>
    <x v="23"/>
    <x v="1"/>
    <n v="2"/>
    <x v="23"/>
    <s v="WI"/>
    <s v="07-01-2016"/>
    <n v="721"/>
    <n v="262"/>
    <n v="36.338418862690709"/>
    <n v="10.126213592233009"/>
    <n v="7301"/>
    <n v="10.783633841886269"/>
    <n v="474"/>
    <n v="7775"/>
    <n v="67"/>
    <x v="1"/>
    <x v="7"/>
    <x v="84"/>
    <x v="0"/>
  </r>
  <r>
    <x v="1368"/>
    <x v="0"/>
    <n v="1"/>
    <x v="92"/>
    <s v="05-02-2016"/>
    <x v="2"/>
    <x v="0"/>
    <x v="0"/>
    <x v="0"/>
    <n v="2"/>
    <x v="0"/>
    <s v="MI"/>
    <s v="07-02-2016"/>
    <n v="1018"/>
    <n v="349"/>
    <n v="34.282907662082515"/>
    <n v="3.7583497053045187"/>
    <n v="3826"/>
    <n v="7.3526522593320234"/>
    <n v="3659"/>
    <n v="7485"/>
    <n v="73"/>
    <x v="1"/>
    <x v="9"/>
    <x v="76"/>
    <x v="0"/>
  </r>
  <r>
    <x v="1369"/>
    <x v="0"/>
    <n v="3"/>
    <x v="93"/>
    <s v="18-03-2016"/>
    <x v="1"/>
    <x v="21"/>
    <x v="21"/>
    <x v="2"/>
    <n v="2"/>
    <x v="21"/>
    <s v="IL"/>
    <s v="20-03-2016"/>
    <n v="1109"/>
    <n v="260"/>
    <n v="23.444544634806132"/>
    <n v="4.8972046889089267"/>
    <n v="5431"/>
    <n v="5.562669071235347"/>
    <n v="738"/>
    <n v="6169"/>
    <n v="58"/>
    <x v="1"/>
    <x v="2"/>
    <x v="76"/>
    <x v="0"/>
  </r>
  <r>
    <x v="1370"/>
    <x v="2"/>
    <n v="2"/>
    <x v="257"/>
    <s v="23-07-2016"/>
    <x v="3"/>
    <x v="1"/>
    <x v="1"/>
    <x v="1"/>
    <n v="2"/>
    <x v="1"/>
    <s v="WI"/>
    <s v="25-07-2016"/>
    <n v="1158"/>
    <n v="331"/>
    <n v="28.583765112262522"/>
    <n v="2.5854922279792745"/>
    <n v="2994"/>
    <n v="3.1511226252158893"/>
    <n v="655"/>
    <n v="3649"/>
    <n v="74"/>
    <x v="1"/>
    <x v="1"/>
    <x v="76"/>
    <x v="0"/>
  </r>
  <r>
    <x v="1371"/>
    <x v="0"/>
    <n v="2"/>
    <x v="147"/>
    <s v="27-01-2016"/>
    <x v="4"/>
    <x v="11"/>
    <x v="11"/>
    <x v="2"/>
    <n v="2"/>
    <x v="11"/>
    <s v="MI"/>
    <s v="29-01-2016"/>
    <n v="521"/>
    <n v="415"/>
    <n v="79.654510556621887"/>
    <n v="10.395393474088293"/>
    <n v="5416"/>
    <n v="11.700575815738963"/>
    <n v="680"/>
    <n v="6096"/>
    <n v="68"/>
    <x v="1"/>
    <x v="5"/>
    <x v="76"/>
    <x v="0"/>
  </r>
  <r>
    <x v="1372"/>
    <x v="0"/>
    <n v="6"/>
    <x v="194"/>
    <s v="17-05-2016"/>
    <x v="7"/>
    <x v="6"/>
    <x v="6"/>
    <x v="4"/>
    <n v="2"/>
    <x v="6"/>
    <s v="IN"/>
    <s v="19-05-2016"/>
    <n v="621"/>
    <n v="367"/>
    <n v="59.098228663446051"/>
    <n v="10.851851851851851"/>
    <n v="6739"/>
    <n v="11.644122383252817"/>
    <n v="492"/>
    <n v="7231"/>
    <n v="53"/>
    <x v="1"/>
    <x v="7"/>
    <x v="76"/>
    <x v="0"/>
  </r>
  <r>
    <x v="1373"/>
    <x v="0"/>
    <n v="5"/>
    <x v="196"/>
    <s v="07-08-2016"/>
    <x v="5"/>
    <x v="12"/>
    <x v="12"/>
    <x v="3"/>
    <n v="2"/>
    <x v="12"/>
    <s v="MI"/>
    <s v="09-08-2016"/>
    <n v="598"/>
    <n v="219"/>
    <n v="36.622073578595312"/>
    <n v="4.976588628762542"/>
    <n v="2976"/>
    <n v="6.6438127090301"/>
    <n v="997"/>
    <n v="3973"/>
    <n v="64"/>
    <x v="2"/>
    <x v="8"/>
    <x v="76"/>
    <x v="0"/>
  </r>
  <r>
    <x v="1374"/>
    <x v="0"/>
    <n v="1"/>
    <x v="121"/>
    <s v="04-01-2016"/>
    <x v="4"/>
    <x v="17"/>
    <x v="17"/>
    <x v="3"/>
    <n v="2"/>
    <x v="17"/>
    <s v="OH"/>
    <s v="06-01-2016"/>
    <n v="1026"/>
    <n v="650"/>
    <n v="63.35282651072125"/>
    <n v="7.7231968810916181"/>
    <n v="7924"/>
    <n v="12.030214424951268"/>
    <n v="4419"/>
    <n v="12343"/>
    <n v="74"/>
    <x v="1"/>
    <x v="9"/>
    <x v="76"/>
    <x v="0"/>
  </r>
  <r>
    <x v="1375"/>
    <x v="0"/>
    <n v="5"/>
    <x v="11"/>
    <s v="24-07-2016"/>
    <x v="3"/>
    <x v="3"/>
    <x v="3"/>
    <x v="2"/>
    <n v="2"/>
    <x v="3"/>
    <s v="IL"/>
    <s v="26-07-2016"/>
    <n v="876"/>
    <n v="433"/>
    <n v="49.429223744292237"/>
    <n v="0.14155251141552511"/>
    <n v="124"/>
    <n v="0.454337899543379"/>
    <n v="274"/>
    <n v="398"/>
    <n v="90"/>
    <x v="1"/>
    <x v="6"/>
    <x v="76"/>
    <x v="0"/>
  </r>
  <r>
    <x v="1376"/>
    <x v="2"/>
    <n v="5"/>
    <x v="263"/>
    <s v="25-05-2016"/>
    <x v="7"/>
    <x v="22"/>
    <x v="22"/>
    <x v="0"/>
    <n v="2"/>
    <x v="22"/>
    <s v="IL"/>
    <s v="26-05-2016"/>
    <n v="920"/>
    <n v="543"/>
    <n v="59.021739130434781"/>
    <n v="0.30543478260869567"/>
    <n v="281"/>
    <n v="0.86956521739130432"/>
    <n v="519"/>
    <n v="800"/>
    <n v="93"/>
    <x v="1"/>
    <x v="7"/>
    <x v="84"/>
    <x v="0"/>
  </r>
  <r>
    <x v="1377"/>
    <x v="0"/>
    <n v="4"/>
    <x v="122"/>
    <s v="09-02-2016"/>
    <x v="2"/>
    <x v="9"/>
    <x v="9"/>
    <x v="3"/>
    <n v="2"/>
    <x v="9"/>
    <s v="IN"/>
    <s v="11-02-2016"/>
    <n v="1045"/>
    <n v="297"/>
    <n v="28.421052631578945"/>
    <n v="6.8440191387559812"/>
    <n v="7152"/>
    <n v="5.1866028708133971"/>
    <n v="-1732"/>
    <n v="5420"/>
    <n v="89"/>
    <x v="1"/>
    <x v="9"/>
    <x v="76"/>
    <x v="0"/>
  </r>
  <r>
    <x v="1378"/>
    <x v="0"/>
    <n v="5"/>
    <x v="94"/>
    <s v="07-02-2016"/>
    <x v="2"/>
    <x v="23"/>
    <x v="23"/>
    <x v="1"/>
    <n v="2"/>
    <x v="23"/>
    <s v="WI"/>
    <s v="09-02-2016"/>
    <n v="588"/>
    <n v="588"/>
    <n v="100"/>
    <n v="10.493197278911564"/>
    <n v="6170"/>
    <n v="11.637755102040817"/>
    <n v="673"/>
    <n v="6843"/>
    <n v="78"/>
    <x v="1"/>
    <x v="1"/>
    <x v="76"/>
    <x v="0"/>
  </r>
  <r>
    <x v="1379"/>
    <x v="2"/>
    <n v="3"/>
    <x v="288"/>
    <s v="25-07-2016"/>
    <x v="3"/>
    <x v="18"/>
    <x v="18"/>
    <x v="1"/>
    <n v="2"/>
    <x v="18"/>
    <s v="IN"/>
    <s v="26-07-2016"/>
    <n v="644"/>
    <n v="557"/>
    <n v="86.490683229813669"/>
    <n v="0.85248447204968947"/>
    <n v="549"/>
    <n v="1.0838509316770186"/>
    <n v="149"/>
    <n v="698"/>
    <n v="64"/>
    <x v="1"/>
    <x v="9"/>
    <x v="84"/>
    <x v="0"/>
  </r>
  <r>
    <x v="1380"/>
    <x v="0"/>
    <n v="1"/>
    <x v="123"/>
    <s v="01-02-2016"/>
    <x v="2"/>
    <x v="13"/>
    <x v="13"/>
    <x v="1"/>
    <n v="2"/>
    <x v="13"/>
    <s v="OH"/>
    <s v="03-02-2016"/>
    <n v="228"/>
    <n v="228"/>
    <n v="100"/>
    <n v="33.078947368421055"/>
    <n v="7542"/>
    <n v="50.657894736842103"/>
    <n v="4008"/>
    <n v="11550"/>
    <n v="92"/>
    <x v="1"/>
    <x v="7"/>
    <x v="76"/>
    <x v="0"/>
  </r>
  <r>
    <x v="1381"/>
    <x v="2"/>
    <n v="3"/>
    <x v="207"/>
    <s v="29-06-2016"/>
    <x v="6"/>
    <x v="17"/>
    <x v="17"/>
    <x v="3"/>
    <n v="2"/>
    <x v="17"/>
    <s v="OH"/>
    <s v="30-06-2016"/>
    <n v="772"/>
    <n v="647"/>
    <n v="83.808290155440417"/>
    <n v="3.2461139896373057"/>
    <n v="2506"/>
    <n v="3.562176165803109"/>
    <n v="244"/>
    <n v="2750"/>
    <n v="69"/>
    <x v="1"/>
    <x v="6"/>
    <x v="84"/>
    <x v="0"/>
  </r>
  <r>
    <x v="1382"/>
    <x v="2"/>
    <n v="1"/>
    <x v="55"/>
    <s v="07-04-2016"/>
    <x v="0"/>
    <x v="3"/>
    <x v="3"/>
    <x v="2"/>
    <n v="2"/>
    <x v="3"/>
    <s v="IL"/>
    <s v="09-04-2016"/>
    <n v="1156"/>
    <n v="320"/>
    <n v="27.681660899653981"/>
    <n v="5.1185121107266438"/>
    <n v="5917"/>
    <n v="8.2707612456747412"/>
    <n v="3644"/>
    <n v="9561"/>
    <n v="97"/>
    <x v="1"/>
    <x v="2"/>
    <x v="76"/>
    <x v="0"/>
  </r>
  <r>
    <x v="1383"/>
    <x v="0"/>
    <n v="4"/>
    <x v="264"/>
    <s v="25-05-2016"/>
    <x v="7"/>
    <x v="9"/>
    <x v="9"/>
    <x v="3"/>
    <n v="2"/>
    <x v="9"/>
    <s v="IN"/>
    <s v="27-05-2016"/>
    <n v="640"/>
    <n v="640"/>
    <n v="100"/>
    <n v="10.2125"/>
    <n v="6536"/>
    <n v="7.0921874999999996"/>
    <n v="-1997"/>
    <n v="4539"/>
    <n v="63"/>
    <x v="1"/>
    <x v="4"/>
    <x v="76"/>
    <x v="0"/>
  </r>
  <r>
    <x v="1384"/>
    <x v="2"/>
    <n v="5"/>
    <x v="109"/>
    <s v="19-04-2016"/>
    <x v="0"/>
    <x v="16"/>
    <x v="16"/>
    <x v="4"/>
    <n v="2"/>
    <x v="16"/>
    <s v="MI"/>
    <s v="21-04-2016"/>
    <n v="744"/>
    <n v="637"/>
    <n v="85.618279569892479"/>
    <n v="0.88844086021505375"/>
    <n v="661"/>
    <n v="1.696236559139785"/>
    <n v="601"/>
    <n v="1262"/>
    <n v="88"/>
    <x v="1"/>
    <x v="0"/>
    <x v="76"/>
    <x v="0"/>
  </r>
  <r>
    <x v="1385"/>
    <x v="0"/>
    <n v="6"/>
    <x v="140"/>
    <s v="23-06-2016"/>
    <x v="6"/>
    <x v="22"/>
    <x v="22"/>
    <x v="0"/>
    <n v="2"/>
    <x v="22"/>
    <s v="IL"/>
    <s v="24-06-2016"/>
    <n v="1070"/>
    <n v="535"/>
    <n v="50"/>
    <n v="2.8700934579439252"/>
    <n v="3071"/>
    <n v="3.6373831775700936"/>
    <n v="821"/>
    <n v="3892"/>
    <n v="83"/>
    <x v="1"/>
    <x v="3"/>
    <x v="84"/>
    <x v="0"/>
  </r>
  <r>
    <x v="1386"/>
    <x v="0"/>
    <n v="2"/>
    <x v="260"/>
    <s v="23-08-2016"/>
    <x v="5"/>
    <x v="4"/>
    <x v="4"/>
    <x v="2"/>
    <n v="2"/>
    <x v="4"/>
    <s v="MI"/>
    <s v="25-08-2016"/>
    <n v="287"/>
    <n v="287"/>
    <n v="100"/>
    <n v="2.1080139372822297"/>
    <n v="605"/>
    <n v="3.2369337979094075"/>
    <n v="324"/>
    <n v="929"/>
    <n v="94"/>
    <x v="2"/>
    <x v="7"/>
    <x v="76"/>
    <x v="0"/>
  </r>
  <r>
    <x v="1387"/>
    <x v="0"/>
    <n v="1"/>
    <x v="197"/>
    <s v="26-02-2016"/>
    <x v="2"/>
    <x v="9"/>
    <x v="9"/>
    <x v="3"/>
    <n v="2"/>
    <x v="9"/>
    <s v="IN"/>
    <s v="28-02-2016"/>
    <n v="441"/>
    <n v="353"/>
    <n v="80.045351473922892"/>
    <n v="12.877551020408163"/>
    <n v="5679"/>
    <n v="23.222222222222221"/>
    <n v="4562"/>
    <n v="10241"/>
    <n v="52"/>
    <x v="2"/>
    <x v="1"/>
    <x v="76"/>
    <x v="0"/>
  </r>
  <r>
    <x v="1388"/>
    <x v="2"/>
    <n v="2"/>
    <x v="184"/>
    <s v="05-02-2016"/>
    <x v="2"/>
    <x v="23"/>
    <x v="23"/>
    <x v="1"/>
    <n v="2"/>
    <x v="23"/>
    <s v="WI"/>
    <s v="07-02-2016"/>
    <n v="772"/>
    <n v="660"/>
    <n v="85.492227979274617"/>
    <n v="5.6165803108808294"/>
    <n v="4336"/>
    <n v="6.4572538860103625"/>
    <n v="649"/>
    <n v="4985"/>
    <n v="94"/>
    <x v="1"/>
    <x v="6"/>
    <x v="76"/>
    <x v="0"/>
  </r>
  <r>
    <x v="1389"/>
    <x v="0"/>
    <n v="5"/>
    <x v="14"/>
    <s v="25-03-2016"/>
    <x v="1"/>
    <x v="0"/>
    <x v="0"/>
    <x v="0"/>
    <n v="2"/>
    <x v="0"/>
    <s v="MI"/>
    <s v="27-03-2016"/>
    <n v="415"/>
    <n v="349"/>
    <n v="84.096385542168676"/>
    <n v="18.746987951807228"/>
    <n v="7780"/>
    <n v="20.848192771084339"/>
    <n v="872"/>
    <n v="8652"/>
    <n v="76"/>
    <x v="1"/>
    <x v="2"/>
    <x v="76"/>
    <x v="0"/>
  </r>
  <r>
    <x v="1390"/>
    <x v="0"/>
    <n v="5"/>
    <x v="126"/>
    <s v="27-08-2016"/>
    <x v="5"/>
    <x v="6"/>
    <x v="6"/>
    <x v="4"/>
    <n v="2"/>
    <x v="6"/>
    <s v="IN"/>
    <s v="29-08-2016"/>
    <n v="425"/>
    <n v="425"/>
    <n v="100"/>
    <n v="6.0023529411764702"/>
    <n v="2551"/>
    <n v="7.5811764705882352"/>
    <n v="671"/>
    <n v="3222"/>
    <n v="59"/>
    <x v="1"/>
    <x v="1"/>
    <x v="76"/>
    <x v="0"/>
  </r>
  <r>
    <x v="1391"/>
    <x v="2"/>
    <n v="2"/>
    <x v="198"/>
    <s v="19-06-2016"/>
    <x v="6"/>
    <x v="13"/>
    <x v="13"/>
    <x v="1"/>
    <n v="2"/>
    <x v="13"/>
    <s v="OH"/>
    <s v="20-06-2016"/>
    <n v="515"/>
    <n v="245"/>
    <n v="47.572815533980581"/>
    <n v="4.269902912621359"/>
    <n v="2199"/>
    <n v="5.8990291262135921"/>
    <n v="839"/>
    <n v="3038"/>
    <n v="75"/>
    <x v="1"/>
    <x v="5"/>
    <x v="84"/>
    <x v="0"/>
  </r>
  <r>
    <x v="1392"/>
    <x v="0"/>
    <n v="2"/>
    <x v="35"/>
    <s v="29-01-2016"/>
    <x v="4"/>
    <x v="14"/>
    <x v="14"/>
    <x v="1"/>
    <n v="2"/>
    <x v="14"/>
    <s v="IL"/>
    <s v="31-01-2016"/>
    <n v="1181"/>
    <n v="789"/>
    <n v="66.807790008467407"/>
    <n v="5.6604572396274344"/>
    <n v="6685"/>
    <n v="6.3005927180355634"/>
    <n v="756"/>
    <n v="7441"/>
    <n v="94"/>
    <x v="1"/>
    <x v="3"/>
    <x v="76"/>
    <x v="0"/>
  </r>
  <r>
    <x v="1393"/>
    <x v="2"/>
    <n v="5"/>
    <x v="166"/>
    <s v="08-02-2016"/>
    <x v="2"/>
    <x v="4"/>
    <x v="4"/>
    <x v="2"/>
    <n v="2"/>
    <x v="4"/>
    <s v="MI"/>
    <s v="10-02-2016"/>
    <n v="999"/>
    <n v="321"/>
    <n v="32.132132132132128"/>
    <n v="2.6306306306306309"/>
    <n v="2628"/>
    <n v="2.9739739739739739"/>
    <n v="343"/>
    <n v="2971"/>
    <n v="83"/>
    <x v="1"/>
    <x v="7"/>
    <x v="76"/>
    <x v="0"/>
  </r>
  <r>
    <x v="1394"/>
    <x v="2"/>
    <n v="1"/>
    <x v="36"/>
    <s v="20-01-2016"/>
    <x v="4"/>
    <x v="1"/>
    <x v="1"/>
    <x v="1"/>
    <n v="2"/>
    <x v="1"/>
    <s v="WI"/>
    <s v="22-01-2016"/>
    <n v="774"/>
    <n v="217"/>
    <n v="28.036175710594314"/>
    <n v="5.5155038759689923"/>
    <n v="4269"/>
    <n v="11.543927648578812"/>
    <n v="4666"/>
    <n v="8935"/>
    <n v="85"/>
    <x v="1"/>
    <x v="9"/>
    <x v="76"/>
    <x v="0"/>
  </r>
  <r>
    <x v="1395"/>
    <x v="0"/>
    <n v="3"/>
    <x v="305"/>
    <s v="23-08-2016"/>
    <x v="5"/>
    <x v="11"/>
    <x v="11"/>
    <x v="2"/>
    <n v="2"/>
    <x v="11"/>
    <s v="MI"/>
    <s v="25-08-2016"/>
    <n v="983"/>
    <n v="614"/>
    <n v="62.461851475076301"/>
    <n v="5.4699898270600205"/>
    <n v="5377"/>
    <n v="6.34587995930824"/>
    <n v="861"/>
    <n v="6238"/>
    <n v="72"/>
    <x v="1"/>
    <x v="3"/>
    <x v="76"/>
    <x v="0"/>
  </r>
  <r>
    <x v="1396"/>
    <x v="0"/>
    <n v="5"/>
    <x v="179"/>
    <s v="30-06-2016"/>
    <x v="6"/>
    <x v="12"/>
    <x v="12"/>
    <x v="3"/>
    <n v="2"/>
    <x v="12"/>
    <s v="MI"/>
    <s v="02-07-2016"/>
    <n v="357"/>
    <n v="253"/>
    <n v="70.868347338935578"/>
    <n v="7.0308123249299719"/>
    <n v="2510"/>
    <n v="9.7478991596638647"/>
    <n v="970"/>
    <n v="3480"/>
    <n v="80"/>
    <x v="2"/>
    <x v="7"/>
    <x v="76"/>
    <x v="0"/>
  </r>
  <r>
    <x v="1397"/>
    <x v="0"/>
    <n v="2"/>
    <x v="187"/>
    <s v="06-05-2016"/>
    <x v="7"/>
    <x v="7"/>
    <x v="7"/>
    <x v="5"/>
    <n v="2"/>
    <x v="7"/>
    <s v="WI"/>
    <s v="08-05-2016"/>
    <n v="908"/>
    <n v="767"/>
    <n v="84.471365638766514"/>
    <n v="0.56387665198237891"/>
    <n v="512"/>
    <n v="1.4096916299559472"/>
    <n v="768"/>
    <n v="1280"/>
    <n v="82"/>
    <x v="1"/>
    <x v="6"/>
    <x v="76"/>
    <x v="0"/>
  </r>
  <r>
    <x v="1398"/>
    <x v="0"/>
    <n v="1"/>
    <x v="302"/>
    <s v="14-08-2016"/>
    <x v="5"/>
    <x v="17"/>
    <x v="17"/>
    <x v="3"/>
    <n v="2"/>
    <x v="17"/>
    <s v="OH"/>
    <s v="16-08-2016"/>
    <n v="265"/>
    <n v="265"/>
    <n v="100"/>
    <n v="25"/>
    <n v="6625"/>
    <n v="42.301886792452834"/>
    <n v="4585"/>
    <n v="11210"/>
    <n v="89"/>
    <x v="1"/>
    <x v="7"/>
    <x v="76"/>
    <x v="0"/>
  </r>
  <r>
    <x v="1399"/>
    <x v="0"/>
    <n v="4"/>
    <x v="214"/>
    <s v="01-01-2016"/>
    <x v="4"/>
    <x v="22"/>
    <x v="22"/>
    <x v="0"/>
    <n v="2"/>
    <x v="22"/>
    <s v="IL"/>
    <s v="02-01-2016"/>
    <n v="1119"/>
    <n v="788"/>
    <n v="70.420017873100988"/>
    <n v="2.2412868632707776"/>
    <n v="2508"/>
    <n v="0.17962466487935658"/>
    <n v="-2307"/>
    <n v="201"/>
    <n v="72"/>
    <x v="1"/>
    <x v="2"/>
    <x v="84"/>
    <x v="0"/>
  </r>
  <r>
    <x v="1400"/>
    <x v="2"/>
    <n v="2"/>
    <x v="143"/>
    <s v="09-05-2016"/>
    <x v="7"/>
    <x v="21"/>
    <x v="21"/>
    <x v="2"/>
    <n v="2"/>
    <x v="21"/>
    <s v="IL"/>
    <s v="11-05-2016"/>
    <n v="489"/>
    <n v="489"/>
    <n v="100"/>
    <n v="1.9550102249488752"/>
    <n v="956"/>
    <n v="2.5950920245398774"/>
    <n v="313"/>
    <n v="1269"/>
    <n v="59"/>
    <x v="1"/>
    <x v="8"/>
    <x v="76"/>
    <x v="0"/>
  </r>
  <r>
    <x v="1401"/>
    <x v="2"/>
    <n v="4"/>
    <x v="200"/>
    <s v="02-08-2016"/>
    <x v="5"/>
    <x v="18"/>
    <x v="18"/>
    <x v="1"/>
    <n v="2"/>
    <x v="18"/>
    <s v="IN"/>
    <s v="03-08-2016"/>
    <n v="250"/>
    <n v="250"/>
    <n v="100"/>
    <n v="18.204000000000001"/>
    <n v="4551"/>
    <n v="9.5879999999999992"/>
    <n v="-2154"/>
    <n v="2397"/>
    <n v="62"/>
    <x v="1"/>
    <x v="6"/>
    <x v="84"/>
    <x v="0"/>
  </r>
  <r>
    <x v="1402"/>
    <x v="2"/>
    <n v="1"/>
    <x v="188"/>
    <s v="23-02-2016"/>
    <x v="2"/>
    <x v="8"/>
    <x v="8"/>
    <x v="3"/>
    <n v="2"/>
    <x v="8"/>
    <s v="OH"/>
    <s v="25-02-2016"/>
    <n v="236"/>
    <n v="236"/>
    <n v="100"/>
    <n v="15.474576271186441"/>
    <n v="3652"/>
    <n v="37.262711864406782"/>
    <n v="5142"/>
    <n v="8794"/>
    <n v="94"/>
    <x v="2"/>
    <x v="1"/>
    <x v="76"/>
    <x v="0"/>
  </r>
  <r>
    <x v="1403"/>
    <x v="0"/>
    <n v="4"/>
    <x v="280"/>
    <s v="23-02-2016"/>
    <x v="2"/>
    <x v="5"/>
    <x v="5"/>
    <x v="3"/>
    <n v="2"/>
    <x v="5"/>
    <s v="IA"/>
    <s v="25-02-2016"/>
    <n v="1048"/>
    <n v="708"/>
    <n v="67.55725190839695"/>
    <n v="8.3979007633587788"/>
    <n v="8801"/>
    <n v="5.7547709923664119"/>
    <n v="-2770"/>
    <n v="6031"/>
    <n v="87"/>
    <x v="1"/>
    <x v="6"/>
    <x v="76"/>
    <x v="0"/>
  </r>
  <r>
    <x v="1404"/>
    <x v="2"/>
    <n v="5"/>
    <x v="62"/>
    <s v="16-07-2016"/>
    <x v="3"/>
    <x v="20"/>
    <x v="20"/>
    <x v="1"/>
    <n v="2"/>
    <x v="20"/>
    <s v="IL"/>
    <s v="18-07-2016"/>
    <n v="1038"/>
    <n v="791"/>
    <n v="76.204238921001931"/>
    <n v="3.8400770712909442"/>
    <n v="3986"/>
    <n v="4.6059730250481694"/>
    <n v="795"/>
    <n v="4781"/>
    <n v="89"/>
    <x v="1"/>
    <x v="6"/>
    <x v="76"/>
    <x v="0"/>
  </r>
  <r>
    <x v="1405"/>
    <x v="0"/>
    <n v="3"/>
    <x v="0"/>
    <s v="19-05-2016"/>
    <x v="7"/>
    <x v="3"/>
    <x v="3"/>
    <x v="2"/>
    <n v="2"/>
    <x v="3"/>
    <s v="IL"/>
    <s v="21-05-2016"/>
    <n v="470"/>
    <n v="470"/>
    <n v="100"/>
    <n v="18.638297872340427"/>
    <n v="8760"/>
    <n v="19.038297872340426"/>
    <n v="188"/>
    <n v="8948"/>
    <n v="93"/>
    <x v="1"/>
    <x v="0"/>
    <x v="76"/>
    <x v="0"/>
  </r>
  <r>
    <x v="1406"/>
    <x v="0"/>
    <n v="2"/>
    <x v="1"/>
    <s v="14-08-2016"/>
    <x v="5"/>
    <x v="2"/>
    <x v="2"/>
    <x v="1"/>
    <n v="2"/>
    <x v="2"/>
    <s v="IL"/>
    <s v="16-08-2016"/>
    <n v="1060"/>
    <n v="550"/>
    <n v="51.886792452830186"/>
    <n v="1.8716981132075472"/>
    <n v="1984"/>
    <n v="2.0877358490566036"/>
    <n v="229"/>
    <n v="2213"/>
    <n v="96"/>
    <x v="1"/>
    <x v="9"/>
    <x v="76"/>
    <x v="0"/>
  </r>
  <r>
    <x v="1407"/>
    <x v="0"/>
    <n v="2"/>
    <x v="37"/>
    <s v="28-02-2016"/>
    <x v="2"/>
    <x v="23"/>
    <x v="23"/>
    <x v="1"/>
    <n v="2"/>
    <x v="23"/>
    <s v="WI"/>
    <s v="29-02-2016"/>
    <n v="216"/>
    <n v="216"/>
    <n v="100"/>
    <n v="8.3194444444444446"/>
    <n v="1797"/>
    <n v="10.675925925925926"/>
    <n v="509"/>
    <n v="2306"/>
    <n v="71"/>
    <x v="1"/>
    <x v="4"/>
    <x v="84"/>
    <x v="0"/>
  </r>
  <r>
    <x v="1408"/>
    <x v="0"/>
    <n v="2"/>
    <x v="282"/>
    <s v="01-04-2016"/>
    <x v="0"/>
    <x v="16"/>
    <x v="16"/>
    <x v="4"/>
    <n v="2"/>
    <x v="16"/>
    <s v="MI"/>
    <s v="03-04-2016"/>
    <n v="812"/>
    <n v="402"/>
    <n v="49.50738916256158"/>
    <n v="7.0788177339901477"/>
    <n v="5748"/>
    <n v="7.8399014778325125"/>
    <n v="618"/>
    <n v="6366"/>
    <n v="70"/>
    <x v="1"/>
    <x v="7"/>
    <x v="76"/>
    <x v="0"/>
  </r>
  <r>
    <x v="1409"/>
    <x v="0"/>
    <n v="6"/>
    <x v="20"/>
    <s v="02-04-2016"/>
    <x v="0"/>
    <x v="12"/>
    <x v="12"/>
    <x v="3"/>
    <n v="2"/>
    <x v="12"/>
    <s v="MI"/>
    <s v="04-04-2016"/>
    <n v="342"/>
    <n v="342"/>
    <n v="100"/>
    <n v="8.1374269005847957"/>
    <n v="2783"/>
    <n v="10.87719298245614"/>
    <n v="937"/>
    <n v="3720"/>
    <n v="100"/>
    <x v="1"/>
    <x v="2"/>
    <x v="76"/>
    <x v="0"/>
  </r>
  <r>
    <x v="1410"/>
    <x v="2"/>
    <n v="1"/>
    <x v="21"/>
    <s v="02-05-2016"/>
    <x v="7"/>
    <x v="4"/>
    <x v="4"/>
    <x v="2"/>
    <n v="2"/>
    <x v="4"/>
    <s v="MI"/>
    <s v="04-05-2016"/>
    <n v="412"/>
    <n v="357"/>
    <n v="86.650485436893206"/>
    <n v="7.3009708737864081"/>
    <n v="3008"/>
    <n v="17.402912621359224"/>
    <n v="4162"/>
    <n v="7170"/>
    <n v="58"/>
    <x v="2"/>
    <x v="4"/>
    <x v="76"/>
    <x v="0"/>
  </r>
  <r>
    <x v="1411"/>
    <x v="0"/>
    <n v="4"/>
    <x v="251"/>
    <s v="30-05-2016"/>
    <x v="7"/>
    <x v="18"/>
    <x v="18"/>
    <x v="1"/>
    <n v="2"/>
    <x v="18"/>
    <s v="IN"/>
    <s v="01-06-2016"/>
    <n v="618"/>
    <n v="618"/>
    <n v="100"/>
    <n v="9.6666666666666661"/>
    <n v="5974"/>
    <n v="7.2572815533980579"/>
    <n v="-1489"/>
    <n v="4485"/>
    <n v="57"/>
    <x v="1"/>
    <x v="9"/>
    <x v="76"/>
    <x v="0"/>
  </r>
  <r>
    <x v="1412"/>
    <x v="0"/>
    <n v="1"/>
    <x v="181"/>
    <s v="24-03-2016"/>
    <x v="1"/>
    <x v="13"/>
    <x v="13"/>
    <x v="1"/>
    <n v="2"/>
    <x v="13"/>
    <s v="OH"/>
    <s v="26-03-2016"/>
    <n v="1004"/>
    <n v="598"/>
    <n v="59.561752988047814"/>
    <n v="1.0886454183266931"/>
    <n v="1093"/>
    <n v="5.2739043824701195"/>
    <n v="4202"/>
    <n v="5295"/>
    <n v="80"/>
    <x v="1"/>
    <x v="9"/>
    <x v="76"/>
    <x v="0"/>
  </r>
  <r>
    <x v="1413"/>
    <x v="2"/>
    <n v="3"/>
    <x v="129"/>
    <s v="12-07-2016"/>
    <x v="3"/>
    <x v="19"/>
    <x v="19"/>
    <x v="0"/>
    <n v="2"/>
    <x v="19"/>
    <s v="WI"/>
    <s v="14-07-2016"/>
    <n v="1035"/>
    <n v="331"/>
    <n v="31.980676328502415"/>
    <n v="7.7294685990338162E-3"/>
    <n v="8"/>
    <n v="0.58743961352657004"/>
    <n v="600"/>
    <n v="608"/>
    <n v="63"/>
    <x v="1"/>
    <x v="9"/>
    <x v="76"/>
    <x v="0"/>
  </r>
  <r>
    <x v="1414"/>
    <x v="2"/>
    <n v="5"/>
    <x v="267"/>
    <s v="26-01-2016"/>
    <x v="4"/>
    <x v="18"/>
    <x v="18"/>
    <x v="1"/>
    <n v="2"/>
    <x v="18"/>
    <s v="IN"/>
    <s v="27-01-2016"/>
    <n v="410"/>
    <n v="410"/>
    <n v="100"/>
    <n v="8.614634146341464"/>
    <n v="3532"/>
    <n v="10.9"/>
    <n v="937"/>
    <n v="4469"/>
    <n v="83"/>
    <x v="1"/>
    <x v="7"/>
    <x v="84"/>
    <x v="0"/>
  </r>
  <r>
    <x v="1415"/>
    <x v="0"/>
    <n v="2"/>
    <x v="216"/>
    <s v="10-04-2016"/>
    <x v="0"/>
    <x v="1"/>
    <x v="1"/>
    <x v="1"/>
    <n v="2"/>
    <x v="1"/>
    <s v="WI"/>
    <s v="12-04-2016"/>
    <n v="1035"/>
    <n v="384"/>
    <n v="37.10144927536232"/>
    <n v="2.5342995169082125"/>
    <n v="2623"/>
    <n v="3.2985507246376811"/>
    <n v="791"/>
    <n v="3414"/>
    <n v="100"/>
    <x v="1"/>
    <x v="2"/>
    <x v="76"/>
    <x v="0"/>
  </r>
  <r>
    <x v="1416"/>
    <x v="2"/>
    <n v="4"/>
    <x v="130"/>
    <s v="30-04-2016"/>
    <x v="0"/>
    <x v="6"/>
    <x v="6"/>
    <x v="4"/>
    <n v="2"/>
    <x v="6"/>
    <s v="IN"/>
    <s v="02-05-2016"/>
    <n v="561"/>
    <n v="561"/>
    <n v="100"/>
    <n v="11.342245989304812"/>
    <n v="6363"/>
    <n v="7.832442067736185"/>
    <n v="-1969"/>
    <n v="4394"/>
    <n v="82"/>
    <x v="1"/>
    <x v="6"/>
    <x v="76"/>
    <x v="0"/>
  </r>
  <r>
    <x v="1417"/>
    <x v="2"/>
    <n v="5"/>
    <x v="117"/>
    <s v="25-06-2016"/>
    <x v="6"/>
    <x v="15"/>
    <x v="15"/>
    <x v="4"/>
    <n v="2"/>
    <x v="15"/>
    <s v="IL"/>
    <s v="27-06-2016"/>
    <n v="1155"/>
    <n v="376"/>
    <n v="32.55411255411255"/>
    <n v="4.9350649350649354"/>
    <n v="5700"/>
    <n v="5.5238095238095237"/>
    <n v="680"/>
    <n v="6380"/>
    <n v="97"/>
    <x v="1"/>
    <x v="9"/>
    <x v="76"/>
    <x v="0"/>
  </r>
  <r>
    <x v="1418"/>
    <x v="0"/>
    <n v="1"/>
    <x v="45"/>
    <s v="10-07-2016"/>
    <x v="3"/>
    <x v="16"/>
    <x v="16"/>
    <x v="4"/>
    <n v="2"/>
    <x v="16"/>
    <s v="MI"/>
    <s v="12-07-2016"/>
    <n v="541"/>
    <n v="541"/>
    <n v="100"/>
    <n v="0.34011090573012936"/>
    <n v="184"/>
    <n v="7.8724584103512019"/>
    <n v="4075"/>
    <n v="4259"/>
    <n v="99"/>
    <x v="1"/>
    <x v="1"/>
    <x v="76"/>
    <x v="0"/>
  </r>
  <r>
    <x v="1419"/>
    <x v="0"/>
    <n v="5"/>
    <x v="285"/>
    <s v="10-06-2016"/>
    <x v="6"/>
    <x v="10"/>
    <x v="10"/>
    <x v="1"/>
    <n v="2"/>
    <x v="10"/>
    <s v="IL"/>
    <s v="12-06-2016"/>
    <n v="1075"/>
    <n v="610"/>
    <n v="56.744186046511622"/>
    <n v="5.9265116279069767"/>
    <n v="6371"/>
    <n v="6.4251162790697673"/>
    <n v="536"/>
    <n v="6907"/>
    <n v="57"/>
    <x v="2"/>
    <x v="4"/>
    <x v="76"/>
    <x v="0"/>
  </r>
  <r>
    <x v="1420"/>
    <x v="2"/>
    <n v="6"/>
    <x v="48"/>
    <s v="02-01-2016"/>
    <x v="4"/>
    <x v="14"/>
    <x v="14"/>
    <x v="1"/>
    <n v="2"/>
    <x v="14"/>
    <s v="IL"/>
    <s v="04-01-2016"/>
    <n v="402"/>
    <n v="268"/>
    <n v="66.666666666666657"/>
    <n v="3.5298507462686568"/>
    <n v="1419"/>
    <n v="4.3482587064676617"/>
    <n v="329"/>
    <n v="1748"/>
    <n v="56"/>
    <x v="1"/>
    <x v="5"/>
    <x v="76"/>
    <x v="0"/>
  </r>
  <r>
    <x v="1421"/>
    <x v="0"/>
    <n v="3"/>
    <x v="172"/>
    <s v="20-02-2016"/>
    <x v="2"/>
    <x v="21"/>
    <x v="21"/>
    <x v="2"/>
    <n v="2"/>
    <x v="21"/>
    <s v="IL"/>
    <s v="22-02-2016"/>
    <n v="411"/>
    <n v="411"/>
    <n v="100"/>
    <n v="3.5012165450121655"/>
    <n v="1439"/>
    <n v="3.7639902676399029"/>
    <n v="108"/>
    <n v="1547"/>
    <n v="71"/>
    <x v="1"/>
    <x v="4"/>
    <x v="76"/>
    <x v="0"/>
  </r>
  <r>
    <x v="1422"/>
    <x v="2"/>
    <n v="4"/>
    <x v="278"/>
    <s v="21-03-2016"/>
    <x v="1"/>
    <x v="18"/>
    <x v="18"/>
    <x v="1"/>
    <n v="2"/>
    <x v="18"/>
    <s v="IN"/>
    <s v="23-03-2016"/>
    <n v="247"/>
    <n v="247"/>
    <n v="100"/>
    <n v="18.348178137651821"/>
    <n v="4532"/>
    <n v="11.396761133603238"/>
    <n v="-1717"/>
    <n v="2815"/>
    <n v="65"/>
    <x v="1"/>
    <x v="5"/>
    <x v="76"/>
    <x v="0"/>
  </r>
  <r>
    <x v="1423"/>
    <x v="0"/>
    <n v="3"/>
    <x v="192"/>
    <s v="18-07-2016"/>
    <x v="3"/>
    <x v="7"/>
    <x v="7"/>
    <x v="5"/>
    <n v="2"/>
    <x v="7"/>
    <s v="WI"/>
    <s v="20-07-2016"/>
    <n v="330"/>
    <n v="330"/>
    <n v="100"/>
    <n v="16.47878787878788"/>
    <n v="5438"/>
    <n v="18.539393939393939"/>
    <n v="680"/>
    <n v="6118"/>
    <n v="65"/>
    <x v="1"/>
    <x v="4"/>
    <x v="76"/>
    <x v="0"/>
  </r>
  <r>
    <x v="1424"/>
    <x v="0"/>
    <n v="4"/>
    <x v="294"/>
    <s v="20-07-2016"/>
    <x v="3"/>
    <x v="3"/>
    <x v="3"/>
    <x v="2"/>
    <n v="2"/>
    <x v="3"/>
    <s v="IL"/>
    <s v="22-07-2016"/>
    <n v="1157"/>
    <n v="749"/>
    <n v="64.736387208297316"/>
    <n v="6.331028522039758"/>
    <n v="7325"/>
    <n v="4.3923941227312016"/>
    <n v="-2243"/>
    <n v="5082"/>
    <n v="99"/>
    <x v="1"/>
    <x v="0"/>
    <x v="76"/>
    <x v="0"/>
  </r>
  <r>
    <x v="1425"/>
    <x v="2"/>
    <n v="2"/>
    <x v="67"/>
    <s v="02-02-2016"/>
    <x v="2"/>
    <x v="22"/>
    <x v="22"/>
    <x v="0"/>
    <n v="2"/>
    <x v="22"/>
    <s v="IL"/>
    <s v="03-02-2016"/>
    <n v="503"/>
    <n v="503"/>
    <n v="100"/>
    <n v="13.878727634194831"/>
    <n v="6981"/>
    <n v="14.880715705765407"/>
    <n v="504"/>
    <n v="7485"/>
    <n v="94"/>
    <x v="1"/>
    <x v="8"/>
    <x v="84"/>
    <x v="0"/>
  </r>
  <r>
    <x v="1426"/>
    <x v="0"/>
    <n v="5"/>
    <x v="295"/>
    <s v="19-08-2016"/>
    <x v="5"/>
    <x v="20"/>
    <x v="20"/>
    <x v="1"/>
    <n v="2"/>
    <x v="20"/>
    <s v="IL"/>
    <s v="21-08-2016"/>
    <n v="516"/>
    <n v="516"/>
    <n v="100"/>
    <n v="11.674418604651162"/>
    <n v="6024"/>
    <n v="12.887596899224807"/>
    <n v="626"/>
    <n v="6650"/>
    <n v="98"/>
    <x v="1"/>
    <x v="5"/>
    <x v="76"/>
    <x v="0"/>
  </r>
  <r>
    <x v="1427"/>
    <x v="2"/>
    <n v="6"/>
    <x v="132"/>
    <s v="03-06-2016"/>
    <x v="6"/>
    <x v="14"/>
    <x v="14"/>
    <x v="1"/>
    <n v="2"/>
    <x v="14"/>
    <s v="IL"/>
    <s v="05-06-2016"/>
    <n v="569"/>
    <n v="268"/>
    <n v="47.100175746924428"/>
    <n v="7.1775043936731109"/>
    <n v="4084"/>
    <n v="8.1862917398945516"/>
    <n v="574"/>
    <n v="4658"/>
    <n v="79"/>
    <x v="1"/>
    <x v="3"/>
    <x v="76"/>
    <x v="0"/>
  </r>
  <r>
    <x v="1428"/>
    <x v="2"/>
    <n v="1"/>
    <x v="6"/>
    <s v="14-04-2016"/>
    <x v="0"/>
    <x v="2"/>
    <x v="2"/>
    <x v="1"/>
    <n v="2"/>
    <x v="2"/>
    <s v="IL"/>
    <s v="16-04-2016"/>
    <n v="592"/>
    <n v="592"/>
    <n v="100"/>
    <n v="14.369932432432432"/>
    <n v="8507"/>
    <n v="21.631756756756758"/>
    <n v="4299"/>
    <n v="12806"/>
    <n v="56"/>
    <x v="1"/>
    <x v="0"/>
    <x v="76"/>
    <x v="0"/>
  </r>
  <r>
    <x v="1429"/>
    <x v="0"/>
    <n v="3"/>
    <x v="219"/>
    <s v="18-07-2016"/>
    <x v="3"/>
    <x v="9"/>
    <x v="9"/>
    <x v="3"/>
    <n v="2"/>
    <x v="9"/>
    <s v="IN"/>
    <s v="20-07-2016"/>
    <n v="551"/>
    <n v="551"/>
    <n v="100"/>
    <n v="13.854809437386569"/>
    <n v="7634"/>
    <n v="15.366606170598912"/>
    <n v="833"/>
    <n v="8467"/>
    <n v="89"/>
    <x v="1"/>
    <x v="2"/>
    <x v="76"/>
    <x v="0"/>
  </r>
  <r>
    <x v="1430"/>
    <x v="0"/>
    <n v="5"/>
    <x v="145"/>
    <s v="07-03-2016"/>
    <x v="1"/>
    <x v="23"/>
    <x v="23"/>
    <x v="1"/>
    <n v="2"/>
    <x v="23"/>
    <s v="WI"/>
    <s v="08-03-2016"/>
    <n v="277"/>
    <n v="277"/>
    <n v="100"/>
    <n v="6.9638989169675094"/>
    <n v="1929"/>
    <n v="9.5812274368231041"/>
    <n v="725"/>
    <n v="2654"/>
    <n v="76"/>
    <x v="1"/>
    <x v="8"/>
    <x v="84"/>
    <x v="0"/>
  </r>
  <r>
    <x v="1431"/>
    <x v="0"/>
    <n v="2"/>
    <x v="26"/>
    <s v="14-08-2016"/>
    <x v="5"/>
    <x v="11"/>
    <x v="11"/>
    <x v="2"/>
    <n v="2"/>
    <x v="11"/>
    <s v="MI"/>
    <s v="16-08-2016"/>
    <n v="350"/>
    <n v="350"/>
    <n v="100"/>
    <n v="20.411428571428573"/>
    <n v="7144"/>
    <n v="22.437142857142856"/>
    <n v="709"/>
    <n v="7853"/>
    <n v="73"/>
    <x v="2"/>
    <x v="8"/>
    <x v="76"/>
    <x v="0"/>
  </r>
  <r>
    <x v="1432"/>
    <x v="0"/>
    <n v="2"/>
    <x v="315"/>
    <s v="26-03-2016"/>
    <x v="1"/>
    <x v="13"/>
    <x v="13"/>
    <x v="1"/>
    <n v="2"/>
    <x v="13"/>
    <s v="OH"/>
    <s v="27-03-2016"/>
    <n v="229"/>
    <n v="229"/>
    <n v="100"/>
    <n v="10.93886462882096"/>
    <n v="2505"/>
    <n v="11.812227074235809"/>
    <n v="200"/>
    <n v="2705"/>
    <n v="89"/>
    <x v="1"/>
    <x v="8"/>
    <x v="84"/>
    <x v="0"/>
  </r>
  <r>
    <x v="1433"/>
    <x v="2"/>
    <n v="3"/>
    <x v="27"/>
    <s v="22-06-2016"/>
    <x v="6"/>
    <x v="7"/>
    <x v="7"/>
    <x v="5"/>
    <n v="2"/>
    <x v="7"/>
    <s v="WI"/>
    <s v="24-06-2016"/>
    <n v="436"/>
    <n v="436"/>
    <n v="100"/>
    <n v="16.013761467889907"/>
    <n v="6982"/>
    <n v="17.337155963302752"/>
    <n v="577"/>
    <n v="7559"/>
    <n v="74"/>
    <x v="1"/>
    <x v="7"/>
    <x v="76"/>
    <x v="0"/>
  </r>
  <r>
    <x v="1434"/>
    <x v="2"/>
    <n v="6"/>
    <x v="107"/>
    <s v="18-04-2016"/>
    <x v="0"/>
    <x v="13"/>
    <x v="13"/>
    <x v="1"/>
    <n v="2"/>
    <x v="13"/>
    <s v="OH"/>
    <s v="20-04-2016"/>
    <n v="1078"/>
    <n v="511"/>
    <n v="47.402597402597401"/>
    <n v="2.5426716141001857"/>
    <n v="2741"/>
    <n v="2.8692022263450836"/>
    <n v="352"/>
    <n v="3093"/>
    <n v="93"/>
    <x v="1"/>
    <x v="9"/>
    <x v="76"/>
    <x v="0"/>
  </r>
  <r>
    <x v="1435"/>
    <x v="0"/>
    <n v="4"/>
    <x v="241"/>
    <s v="20-02-2016"/>
    <x v="2"/>
    <x v="20"/>
    <x v="20"/>
    <x v="1"/>
    <n v="2"/>
    <x v="20"/>
    <s v="IL"/>
    <s v="22-02-2016"/>
    <n v="660"/>
    <n v="378"/>
    <n v="57.272727272727273"/>
    <n v="8.995454545454546"/>
    <n v="5937"/>
    <n v="5.875757575757576"/>
    <n v="-2059"/>
    <n v="3878"/>
    <n v="78"/>
    <x v="1"/>
    <x v="3"/>
    <x v="76"/>
    <x v="0"/>
  </r>
  <r>
    <x v="1436"/>
    <x v="2"/>
    <n v="3"/>
    <x v="205"/>
    <s v="04-06-2016"/>
    <x v="6"/>
    <x v="7"/>
    <x v="7"/>
    <x v="5"/>
    <n v="2"/>
    <x v="7"/>
    <s v="WI"/>
    <s v="06-06-2016"/>
    <n v="254"/>
    <n v="254"/>
    <n v="100"/>
    <n v="24.15748031496063"/>
    <n v="6136"/>
    <n v="25.110236220472441"/>
    <n v="242"/>
    <n v="6378"/>
    <n v="100"/>
    <x v="1"/>
    <x v="3"/>
    <x v="76"/>
    <x v="0"/>
  </r>
  <r>
    <x v="1437"/>
    <x v="2"/>
    <n v="1"/>
    <x v="29"/>
    <s v="02-07-2016"/>
    <x v="3"/>
    <x v="6"/>
    <x v="6"/>
    <x v="4"/>
    <n v="2"/>
    <x v="6"/>
    <s v="IN"/>
    <s v="04-07-2016"/>
    <n v="515"/>
    <n v="410"/>
    <n v="79.611650485436897"/>
    <n v="9.6970873786407772"/>
    <n v="4994"/>
    <n v="17.864077669902912"/>
    <n v="4206"/>
    <n v="9200"/>
    <n v="97"/>
    <x v="1"/>
    <x v="5"/>
    <x v="76"/>
    <x v="0"/>
  </r>
  <r>
    <x v="1438"/>
    <x v="0"/>
    <n v="3"/>
    <x v="264"/>
    <s v="13-08-2016"/>
    <x v="5"/>
    <x v="12"/>
    <x v="12"/>
    <x v="3"/>
    <n v="2"/>
    <x v="12"/>
    <s v="MI"/>
    <s v="15-08-2016"/>
    <n v="835"/>
    <n v="637"/>
    <n v="76.287425149700596"/>
    <n v="5.932934131736527"/>
    <n v="4954"/>
    <n v="6.5149700598802394"/>
    <n v="486"/>
    <n v="5440"/>
    <n v="73"/>
    <x v="2"/>
    <x v="9"/>
    <x v="76"/>
    <x v="0"/>
  </r>
  <r>
    <x v="1439"/>
    <x v="0"/>
    <n v="4"/>
    <x v="245"/>
    <s v="31-08-2016"/>
    <x v="5"/>
    <x v="23"/>
    <x v="23"/>
    <x v="1"/>
    <n v="2"/>
    <x v="23"/>
    <s v="WI"/>
    <s v="02-09-2016"/>
    <n v="303"/>
    <n v="303"/>
    <n v="100"/>
    <n v="5.9207920792079207"/>
    <n v="1794"/>
    <n v="0.45214521452145212"/>
    <n v="-1657"/>
    <n v="137"/>
    <n v="63"/>
    <x v="1"/>
    <x v="7"/>
    <x v="76"/>
    <x v="0"/>
  </r>
  <r>
    <x v="1440"/>
    <x v="0"/>
    <n v="3"/>
    <x v="259"/>
    <s v="15-05-2016"/>
    <x v="7"/>
    <x v="5"/>
    <x v="5"/>
    <x v="3"/>
    <n v="2"/>
    <x v="5"/>
    <s v="IA"/>
    <s v="17-05-2016"/>
    <n v="535"/>
    <n v="525"/>
    <n v="98.130841121495322"/>
    <n v="5.9420560747663549"/>
    <n v="3179"/>
    <n v="7.6074766355140184"/>
    <n v="891"/>
    <n v="4070"/>
    <n v="56"/>
    <x v="1"/>
    <x v="8"/>
    <x v="76"/>
    <x v="0"/>
  </r>
  <r>
    <x v="1441"/>
    <x v="2"/>
    <n v="1"/>
    <x v="140"/>
    <s v="01-06-2016"/>
    <x v="6"/>
    <x v="13"/>
    <x v="13"/>
    <x v="1"/>
    <n v="2"/>
    <x v="13"/>
    <s v="OH"/>
    <s v="03-06-2016"/>
    <n v="1038"/>
    <n v="313"/>
    <n v="30.154142581888248"/>
    <n v="6.7032755298651256"/>
    <n v="6958"/>
    <n v="11.105009633911369"/>
    <n v="4569"/>
    <n v="11527"/>
    <n v="66"/>
    <x v="1"/>
    <x v="1"/>
    <x v="76"/>
    <x v="0"/>
  </r>
  <r>
    <x v="1442"/>
    <x v="2"/>
    <n v="2"/>
    <x v="75"/>
    <s v="29-05-2016"/>
    <x v="7"/>
    <x v="20"/>
    <x v="20"/>
    <x v="1"/>
    <n v="2"/>
    <x v="20"/>
    <s v="IL"/>
    <s v="31-05-2016"/>
    <n v="814"/>
    <n v="505"/>
    <n v="62.039312039312044"/>
    <n v="9.5847665847665855"/>
    <n v="7802"/>
    <n v="10.328009828009828"/>
    <n v="605"/>
    <n v="8407"/>
    <n v="99"/>
    <x v="1"/>
    <x v="1"/>
    <x v="76"/>
    <x v="0"/>
  </r>
  <r>
    <x v="1443"/>
    <x v="2"/>
    <n v="3"/>
    <x v="320"/>
    <s v="15-01-2016"/>
    <x v="4"/>
    <x v="17"/>
    <x v="17"/>
    <x v="3"/>
    <n v="2"/>
    <x v="17"/>
    <s v="OH"/>
    <s v="16-01-2016"/>
    <n v="338"/>
    <n v="338"/>
    <n v="100"/>
    <n v="9.3550295857988157"/>
    <n v="3162"/>
    <n v="9.896449704142011"/>
    <n v="183"/>
    <n v="3345"/>
    <n v="76"/>
    <x v="1"/>
    <x v="1"/>
    <x v="84"/>
    <x v="0"/>
  </r>
  <r>
    <x v="1444"/>
    <x v="2"/>
    <n v="2"/>
    <x v="110"/>
    <s v="24-05-2016"/>
    <x v="7"/>
    <x v="3"/>
    <x v="3"/>
    <x v="2"/>
    <n v="2"/>
    <x v="3"/>
    <s v="IL"/>
    <s v="26-05-2016"/>
    <n v="472"/>
    <n v="349"/>
    <n v="73.940677966101703"/>
    <n v="14.533898305084746"/>
    <n v="6860"/>
    <n v="15.879237288135593"/>
    <n v="635"/>
    <n v="7495"/>
    <n v="82"/>
    <x v="1"/>
    <x v="2"/>
    <x v="76"/>
    <x v="0"/>
  </r>
  <r>
    <x v="1445"/>
    <x v="2"/>
    <n v="2"/>
    <x v="223"/>
    <s v="01-04-2016"/>
    <x v="0"/>
    <x v="9"/>
    <x v="9"/>
    <x v="3"/>
    <n v="2"/>
    <x v="9"/>
    <s v="IN"/>
    <s v="03-04-2016"/>
    <n v="259"/>
    <n v="231"/>
    <n v="89.189189189189193"/>
    <n v="19.347490347490346"/>
    <n v="5011"/>
    <n v="22.980694980694981"/>
    <n v="941"/>
    <n v="5952"/>
    <n v="93"/>
    <x v="1"/>
    <x v="4"/>
    <x v="76"/>
    <x v="0"/>
  </r>
  <r>
    <x v="1446"/>
    <x v="2"/>
    <n v="5"/>
    <x v="56"/>
    <s v="20-04-2016"/>
    <x v="0"/>
    <x v="23"/>
    <x v="23"/>
    <x v="1"/>
    <n v="2"/>
    <x v="23"/>
    <s v="WI"/>
    <s v="21-04-2016"/>
    <n v="336"/>
    <n v="305"/>
    <n v="90.773809523809518"/>
    <n v="23.68452380952381"/>
    <n v="7958"/>
    <n v="25.577380952380953"/>
    <n v="636"/>
    <n v="8594"/>
    <n v="66"/>
    <x v="1"/>
    <x v="1"/>
    <x v="84"/>
    <x v="0"/>
  </r>
  <r>
    <x v="1447"/>
    <x v="2"/>
    <n v="5"/>
    <x v="266"/>
    <s v="23-04-2016"/>
    <x v="0"/>
    <x v="6"/>
    <x v="6"/>
    <x v="4"/>
    <n v="2"/>
    <x v="6"/>
    <s v="IN"/>
    <s v="25-04-2016"/>
    <n v="279"/>
    <n v="231"/>
    <n v="82.795698924731184"/>
    <n v="2.075268817204301"/>
    <n v="579"/>
    <n v="3.5806451612903225"/>
    <n v="420"/>
    <n v="999"/>
    <n v="79"/>
    <x v="1"/>
    <x v="5"/>
    <x v="76"/>
    <x v="0"/>
  </r>
  <r>
    <x v="1448"/>
    <x v="0"/>
    <n v="6"/>
    <x v="32"/>
    <s v="31-05-2016"/>
    <x v="7"/>
    <x v="16"/>
    <x v="16"/>
    <x v="4"/>
    <n v="2"/>
    <x v="16"/>
    <s v="MI"/>
    <s v="02-06-2016"/>
    <n v="505"/>
    <n v="505"/>
    <n v="100"/>
    <n v="1.3782178217821781"/>
    <n v="696"/>
    <n v="1.8138613861386139"/>
    <n v="220"/>
    <n v="916"/>
    <n v="77"/>
    <x v="1"/>
    <x v="8"/>
    <x v="76"/>
    <x v="0"/>
  </r>
  <r>
    <x v="1449"/>
    <x v="0"/>
    <n v="3"/>
    <x v="197"/>
    <s v="23-03-2016"/>
    <x v="1"/>
    <x v="12"/>
    <x v="12"/>
    <x v="3"/>
    <n v="2"/>
    <x v="12"/>
    <s v="MI"/>
    <s v="25-03-2016"/>
    <n v="492"/>
    <n v="492"/>
    <n v="100"/>
    <n v="2.3252032520325203"/>
    <n v="1144"/>
    <n v="3.565040650406504"/>
    <n v="610"/>
    <n v="1754"/>
    <n v="73"/>
    <x v="1"/>
    <x v="2"/>
    <x v="76"/>
    <x v="0"/>
  </r>
  <r>
    <x v="1450"/>
    <x v="2"/>
    <n v="6"/>
    <x v="211"/>
    <s v="16-03-2016"/>
    <x v="1"/>
    <x v="4"/>
    <x v="4"/>
    <x v="2"/>
    <n v="2"/>
    <x v="4"/>
    <s v="MI"/>
    <s v="18-03-2016"/>
    <n v="943"/>
    <n v="594"/>
    <n v="62.990455991516434"/>
    <n v="1.7507953340402969"/>
    <n v="1651"/>
    <n v="1.9490986214209969"/>
    <n v="187"/>
    <n v="1838"/>
    <n v="82"/>
    <x v="2"/>
    <x v="0"/>
    <x v="76"/>
    <x v="0"/>
  </r>
  <r>
    <x v="1451"/>
    <x v="0"/>
    <n v="2"/>
    <x v="155"/>
    <s v="15-02-2016"/>
    <x v="2"/>
    <x v="1"/>
    <x v="1"/>
    <x v="1"/>
    <n v="2"/>
    <x v="1"/>
    <s v="WI"/>
    <s v="17-02-2016"/>
    <n v="1138"/>
    <n v="256"/>
    <n v="22.495606326889277"/>
    <n v="3.7381370826010545"/>
    <n v="4254"/>
    <n v="4.1309314586994725"/>
    <n v="447"/>
    <n v="4701"/>
    <n v="61"/>
    <x v="1"/>
    <x v="3"/>
    <x v="76"/>
    <x v="0"/>
  </r>
  <r>
    <x v="1452"/>
    <x v="2"/>
    <n v="5"/>
    <x v="225"/>
    <s v="02-02-2016"/>
    <x v="2"/>
    <x v="15"/>
    <x v="15"/>
    <x v="4"/>
    <n v="2"/>
    <x v="15"/>
    <s v="IL"/>
    <s v="03-02-2016"/>
    <n v="278"/>
    <n v="278"/>
    <n v="100"/>
    <n v="2.6942446043165469"/>
    <n v="749"/>
    <n v="4.3561151079136691"/>
    <n v="462"/>
    <n v="1211"/>
    <n v="54"/>
    <x v="1"/>
    <x v="0"/>
    <x v="84"/>
    <x v="0"/>
  </r>
  <r>
    <x v="1453"/>
    <x v="2"/>
    <n v="1"/>
    <x v="112"/>
    <s v="29-05-2016"/>
    <x v="7"/>
    <x v="16"/>
    <x v="16"/>
    <x v="4"/>
    <n v="2"/>
    <x v="16"/>
    <s v="MI"/>
    <s v="31-05-2016"/>
    <n v="248"/>
    <n v="248"/>
    <n v="100"/>
    <n v="0.16935483870967741"/>
    <n v="42"/>
    <n v="17.096774193548388"/>
    <n v="4198"/>
    <n v="4240"/>
    <n v="51"/>
    <x v="1"/>
    <x v="5"/>
    <x v="76"/>
    <x v="0"/>
  </r>
  <r>
    <x v="1454"/>
    <x v="0"/>
    <n v="4"/>
    <x v="127"/>
    <s v="06-07-2016"/>
    <x v="3"/>
    <x v="8"/>
    <x v="8"/>
    <x v="3"/>
    <n v="2"/>
    <x v="8"/>
    <s v="OH"/>
    <s v="08-07-2016"/>
    <n v="863"/>
    <n v="243"/>
    <n v="28.157589803012744"/>
    <n v="3.062572421784473"/>
    <n v="2643"/>
    <n v="0.89107763615295477"/>
    <n v="-1874"/>
    <n v="769"/>
    <n v="53"/>
    <x v="1"/>
    <x v="7"/>
    <x v="76"/>
    <x v="0"/>
  </r>
  <r>
    <x v="1455"/>
    <x v="2"/>
    <n v="2"/>
    <x v="178"/>
    <s v="28-04-2016"/>
    <x v="0"/>
    <x v="13"/>
    <x v="13"/>
    <x v="1"/>
    <n v="2"/>
    <x v="13"/>
    <s v="OH"/>
    <s v="30-04-2016"/>
    <n v="1031"/>
    <n v="541"/>
    <n v="52.473326867119297"/>
    <n v="6.2308438409311346"/>
    <n v="6424"/>
    <n v="6.8234723569350146"/>
    <n v="611"/>
    <n v="7035"/>
    <n v="84"/>
    <x v="1"/>
    <x v="5"/>
    <x v="76"/>
    <x v="0"/>
  </r>
  <r>
    <x v="1456"/>
    <x v="2"/>
    <n v="1"/>
    <x v="186"/>
    <s v="11-04-2016"/>
    <x v="0"/>
    <x v="20"/>
    <x v="20"/>
    <x v="1"/>
    <n v="2"/>
    <x v="20"/>
    <s v="IL"/>
    <s v="13-04-2016"/>
    <n v="271"/>
    <n v="271"/>
    <n v="100"/>
    <n v="6.9815498154981546"/>
    <n v="1892"/>
    <n v="22.726937269372694"/>
    <n v="4267"/>
    <n v="6159"/>
    <n v="69"/>
    <x v="1"/>
    <x v="4"/>
    <x v="76"/>
    <x v="0"/>
  </r>
  <r>
    <x v="1457"/>
    <x v="2"/>
    <n v="2"/>
    <x v="213"/>
    <s v="28-07-2016"/>
    <x v="3"/>
    <x v="12"/>
    <x v="12"/>
    <x v="3"/>
    <n v="2"/>
    <x v="12"/>
    <s v="MI"/>
    <s v="30-07-2016"/>
    <n v="480"/>
    <n v="335"/>
    <n v="69.791666666666657"/>
    <n v="4.4249999999999998"/>
    <n v="2124"/>
    <n v="5.4874999999999998"/>
    <n v="510"/>
    <n v="2634"/>
    <n v="61"/>
    <x v="1"/>
    <x v="9"/>
    <x v="76"/>
    <x v="0"/>
  </r>
  <r>
    <x v="1458"/>
    <x v="0"/>
    <n v="3"/>
    <x v="293"/>
    <s v="30-03-2016"/>
    <x v="1"/>
    <x v="17"/>
    <x v="17"/>
    <x v="3"/>
    <n v="2"/>
    <x v="17"/>
    <s v="OH"/>
    <s v="30-03-2016"/>
    <n v="741"/>
    <n v="366"/>
    <n v="49.392712550607285"/>
    <n v="7.2982456140350873"/>
    <n v="5408"/>
    <n v="8.3225371120107958"/>
    <n v="759"/>
    <n v="6167"/>
    <n v="71"/>
    <x v="1"/>
    <x v="1"/>
    <x v="85"/>
    <x v="1"/>
  </r>
  <r>
    <x v="1459"/>
    <x v="0"/>
    <n v="4"/>
    <x v="305"/>
    <s v="30-08-2016"/>
    <x v="5"/>
    <x v="9"/>
    <x v="9"/>
    <x v="3"/>
    <n v="2"/>
    <x v="9"/>
    <s v="IN"/>
    <s v="01-09-2016"/>
    <n v="684"/>
    <n v="590"/>
    <n v="86.257309941520461"/>
    <n v="10.776315789473685"/>
    <n v="7371"/>
    <n v="7.3538011695906436"/>
    <n v="-2341"/>
    <n v="5030"/>
    <n v="50"/>
    <x v="2"/>
    <x v="8"/>
    <x v="76"/>
    <x v="0"/>
  </r>
  <r>
    <x v="1460"/>
    <x v="0"/>
    <n v="6"/>
    <x v="179"/>
    <s v="14-08-2016"/>
    <x v="5"/>
    <x v="11"/>
    <x v="11"/>
    <x v="2"/>
    <n v="2"/>
    <x v="11"/>
    <s v="MI"/>
    <s v="16-08-2016"/>
    <n v="1086"/>
    <n v="206"/>
    <n v="18.96869244935543"/>
    <n v="5.8766114180478821"/>
    <n v="6382"/>
    <n v="6.0202578268876614"/>
    <n v="156"/>
    <n v="6538"/>
    <n v="53"/>
    <x v="1"/>
    <x v="5"/>
    <x v="76"/>
    <x v="0"/>
  </r>
  <r>
    <x v="1461"/>
    <x v="0"/>
    <n v="5"/>
    <x v="142"/>
    <s v="03-03-2016"/>
    <x v="1"/>
    <x v="10"/>
    <x v="10"/>
    <x v="1"/>
    <n v="2"/>
    <x v="10"/>
    <s v="IL"/>
    <s v="05-03-2016"/>
    <n v="233"/>
    <n v="203"/>
    <n v="87.124463519313295"/>
    <n v="24.137339055793991"/>
    <n v="5624"/>
    <n v="25.751072961373392"/>
    <n v="376"/>
    <n v="6000"/>
    <n v="95"/>
    <x v="2"/>
    <x v="0"/>
    <x v="76"/>
    <x v="0"/>
  </r>
  <r>
    <x v="1462"/>
    <x v="2"/>
    <n v="1"/>
    <x v="280"/>
    <s v="20-02-2016"/>
    <x v="2"/>
    <x v="21"/>
    <x v="21"/>
    <x v="2"/>
    <n v="2"/>
    <x v="21"/>
    <s v="IL"/>
    <s v="22-02-2016"/>
    <n v="702"/>
    <n v="222"/>
    <n v="31.623931623931622"/>
    <n v="2.0071225071225069"/>
    <n v="1409"/>
    <n v="8.3803418803418808"/>
    <n v="4474"/>
    <n v="5883"/>
    <n v="81"/>
    <x v="1"/>
    <x v="0"/>
    <x v="76"/>
    <x v="0"/>
  </r>
  <r>
    <x v="1463"/>
    <x v="2"/>
    <n v="3"/>
    <x v="114"/>
    <s v="21-04-2016"/>
    <x v="0"/>
    <x v="18"/>
    <x v="18"/>
    <x v="1"/>
    <n v="2"/>
    <x v="18"/>
    <s v="IN"/>
    <s v="25-04-2016"/>
    <n v="868"/>
    <n v="349"/>
    <n v="40.207373271889402"/>
    <n v="8.5368663594470053"/>
    <n v="7410"/>
    <n v="9.5138248847926263"/>
    <n v="848"/>
    <n v="8258"/>
    <n v="88"/>
    <x v="1"/>
    <x v="7"/>
    <x v="1"/>
    <x v="0"/>
  </r>
  <r>
    <x v="1464"/>
    <x v="0"/>
    <n v="2"/>
    <x v="82"/>
    <s v="25-05-2016"/>
    <x v="7"/>
    <x v="11"/>
    <x v="11"/>
    <x v="2"/>
    <n v="2"/>
    <x v="11"/>
    <s v="MI"/>
    <s v="27-05-2016"/>
    <n v="518"/>
    <n v="426"/>
    <n v="82.239382239382238"/>
    <n v="0.62548262548262545"/>
    <n v="324"/>
    <n v="2.5559845559845562"/>
    <n v="1000"/>
    <n v="1324"/>
    <n v="76"/>
    <x v="1"/>
    <x v="9"/>
    <x v="76"/>
    <x v="0"/>
  </r>
  <r>
    <x v="1465"/>
    <x v="2"/>
    <n v="2"/>
    <x v="228"/>
    <s v="24-03-2016"/>
    <x v="1"/>
    <x v="6"/>
    <x v="6"/>
    <x v="4"/>
    <n v="2"/>
    <x v="6"/>
    <s v="IN"/>
    <s v="26-03-2016"/>
    <n v="1127"/>
    <n v="659"/>
    <n v="58.473824312333633"/>
    <n v="4.1401952085181897"/>
    <n v="4666"/>
    <n v="4.4614019520851818"/>
    <n v="362"/>
    <n v="5028"/>
    <n v="70"/>
    <x v="1"/>
    <x v="2"/>
    <x v="76"/>
    <x v="0"/>
  </r>
  <r>
    <x v="1466"/>
    <x v="0"/>
    <n v="3"/>
    <x v="215"/>
    <s v="01-04-2016"/>
    <x v="0"/>
    <x v="15"/>
    <x v="15"/>
    <x v="4"/>
    <n v="2"/>
    <x v="15"/>
    <s v="IL"/>
    <s v="02-04-2016"/>
    <n v="939"/>
    <n v="446"/>
    <n v="47.497337593184241"/>
    <n v="6.7848775292864749"/>
    <n v="6371"/>
    <n v="7.6932907348242807"/>
    <n v="853"/>
    <n v="7224"/>
    <n v="93"/>
    <x v="1"/>
    <x v="7"/>
    <x v="84"/>
    <x v="0"/>
  </r>
  <r>
    <x v="1467"/>
    <x v="0"/>
    <n v="6"/>
    <x v="261"/>
    <s v="23-07-2016"/>
    <x v="3"/>
    <x v="12"/>
    <x v="12"/>
    <x v="3"/>
    <n v="2"/>
    <x v="12"/>
    <s v="MI"/>
    <s v="25-07-2016"/>
    <n v="1042"/>
    <n v="602"/>
    <n v="57.773512476007681"/>
    <n v="7.4069097888675621"/>
    <n v="7718"/>
    <n v="7.8157389635316701"/>
    <n v="426"/>
    <n v="8144"/>
    <n v="54"/>
    <x v="2"/>
    <x v="1"/>
    <x v="76"/>
    <x v="0"/>
  </r>
  <r>
    <x v="1468"/>
    <x v="2"/>
    <n v="4"/>
    <x v="298"/>
    <s v="08-01-2016"/>
    <x v="4"/>
    <x v="22"/>
    <x v="22"/>
    <x v="0"/>
    <n v="2"/>
    <x v="22"/>
    <s v="IL"/>
    <s v="08-01-2016"/>
    <n v="595"/>
    <n v="585"/>
    <n v="98.319327731092429"/>
    <n v="10.658823529411764"/>
    <n v="6342"/>
    <n v="7.2521008403361344"/>
    <n v="-2027"/>
    <n v="4315"/>
    <n v="83"/>
    <x v="1"/>
    <x v="0"/>
    <x v="85"/>
    <x v="1"/>
  </r>
  <r>
    <x v="1469"/>
    <x v="0"/>
    <n v="5"/>
    <x v="19"/>
    <s v="27-05-2016"/>
    <x v="7"/>
    <x v="9"/>
    <x v="9"/>
    <x v="3"/>
    <n v="2"/>
    <x v="9"/>
    <s v="IN"/>
    <s v="29-05-2016"/>
    <n v="436"/>
    <n v="436"/>
    <n v="100"/>
    <n v="11.509174311926605"/>
    <n v="5018"/>
    <n v="11.761467889908257"/>
    <n v="110"/>
    <n v="5128"/>
    <n v="89"/>
    <x v="1"/>
    <x v="9"/>
    <x v="76"/>
    <x v="0"/>
  </r>
  <r>
    <x v="1470"/>
    <x v="0"/>
    <n v="3"/>
    <x v="281"/>
    <s v="03-07-2016"/>
    <x v="3"/>
    <x v="23"/>
    <x v="23"/>
    <x v="1"/>
    <n v="2"/>
    <x v="23"/>
    <s v="WI"/>
    <s v="06-07-2016"/>
    <n v="1102"/>
    <n v="771"/>
    <n v="69.963702359346641"/>
    <n v="1.4500907441016333"/>
    <n v="1598"/>
    <n v="1.9337568058076224"/>
    <n v="533"/>
    <n v="2131"/>
    <n v="59"/>
    <x v="1"/>
    <x v="2"/>
    <x v="64"/>
    <x v="0"/>
  </r>
  <r>
    <x v="1471"/>
    <x v="2"/>
    <n v="1"/>
    <x v="282"/>
    <s v="01-06-2016"/>
    <x v="6"/>
    <x v="0"/>
    <x v="0"/>
    <x v="0"/>
    <n v="2"/>
    <x v="0"/>
    <s v="MI"/>
    <s v="03-06-2016"/>
    <n v="290"/>
    <n v="290"/>
    <n v="100"/>
    <n v="17.544827586206896"/>
    <n v="5088"/>
    <n v="33.175862068965515"/>
    <n v="4533"/>
    <n v="9621"/>
    <n v="87"/>
    <x v="1"/>
    <x v="5"/>
    <x v="76"/>
    <x v="0"/>
  </r>
  <r>
    <x v="1472"/>
    <x v="2"/>
    <n v="1"/>
    <x v="312"/>
    <s v="03-01-2016"/>
    <x v="4"/>
    <x v="18"/>
    <x v="18"/>
    <x v="1"/>
    <n v="2"/>
    <x v="18"/>
    <s v="IN"/>
    <s v="04-01-2016"/>
    <n v="719"/>
    <n v="263"/>
    <n v="36.578581363004169"/>
    <n v="5.9527121001390819"/>
    <n v="4280"/>
    <n v="12.503477051460361"/>
    <n v="4710"/>
    <n v="8990"/>
    <n v="94"/>
    <x v="1"/>
    <x v="9"/>
    <x v="84"/>
    <x v="0"/>
  </r>
  <r>
    <x v="1473"/>
    <x v="2"/>
    <n v="4"/>
    <x v="272"/>
    <s v="15-06-2016"/>
    <x v="6"/>
    <x v="20"/>
    <x v="20"/>
    <x v="1"/>
    <n v="2"/>
    <x v="20"/>
    <s v="IL"/>
    <s v="17-06-2016"/>
    <n v="560"/>
    <n v="345"/>
    <n v="61.607142857142861"/>
    <n v="3.8821428571428571"/>
    <n v="2174"/>
    <n v="1.1000000000000001"/>
    <n v="-1558"/>
    <n v="616"/>
    <n v="88"/>
    <x v="1"/>
    <x v="7"/>
    <x v="76"/>
    <x v="0"/>
  </r>
  <r>
    <x v="1474"/>
    <x v="0"/>
    <n v="1"/>
    <x v="316"/>
    <s v="15-01-2016"/>
    <x v="4"/>
    <x v="17"/>
    <x v="17"/>
    <x v="3"/>
    <n v="2"/>
    <x v="17"/>
    <s v="OH"/>
    <s v="16-01-2016"/>
    <n v="330"/>
    <n v="330"/>
    <n v="100"/>
    <n v="24.218181818181819"/>
    <n v="7992"/>
    <n v="37.860606060606059"/>
    <n v="4502"/>
    <n v="12494"/>
    <n v="68"/>
    <x v="1"/>
    <x v="8"/>
    <x v="84"/>
    <x v="0"/>
  </r>
  <r>
    <x v="1475"/>
    <x v="0"/>
    <n v="5"/>
    <x v="149"/>
    <s v="31-07-2016"/>
    <x v="3"/>
    <x v="2"/>
    <x v="2"/>
    <x v="1"/>
    <n v="2"/>
    <x v="2"/>
    <s v="IL"/>
    <s v="02-08-2016"/>
    <n v="336"/>
    <n v="254"/>
    <n v="75.595238095238088"/>
    <n v="16.13095238095238"/>
    <n v="5420"/>
    <n v="16.75595238095238"/>
    <n v="210"/>
    <n v="5630"/>
    <n v="71"/>
    <x v="1"/>
    <x v="9"/>
    <x v="76"/>
    <x v="0"/>
  </r>
  <r>
    <x v="1476"/>
    <x v="2"/>
    <n v="6"/>
    <x v="230"/>
    <s v="18-02-2016"/>
    <x v="2"/>
    <x v="19"/>
    <x v="19"/>
    <x v="0"/>
    <n v="2"/>
    <x v="19"/>
    <s v="WI"/>
    <s v="20-02-2016"/>
    <n v="737"/>
    <n v="253"/>
    <n v="34.328358208955223"/>
    <n v="10.994572591587517"/>
    <n v="8103"/>
    <n v="11.483039348710991"/>
    <n v="360"/>
    <n v="8463"/>
    <n v="83"/>
    <x v="1"/>
    <x v="4"/>
    <x v="76"/>
    <x v="0"/>
  </r>
  <r>
    <x v="1477"/>
    <x v="2"/>
    <n v="2"/>
    <x v="313"/>
    <s v="14-06-2016"/>
    <x v="6"/>
    <x v="23"/>
    <x v="23"/>
    <x v="1"/>
    <n v="2"/>
    <x v="23"/>
    <s v="WI"/>
    <s v="15-06-2016"/>
    <n v="219"/>
    <n v="219"/>
    <n v="100"/>
    <n v="0.74429223744292239"/>
    <n v="163"/>
    <n v="1.2100456621004567"/>
    <n v="102"/>
    <n v="265"/>
    <n v="94"/>
    <x v="1"/>
    <x v="0"/>
    <x v="84"/>
    <x v="0"/>
  </r>
  <r>
    <x v="1478"/>
    <x v="2"/>
    <n v="6"/>
    <x v="64"/>
    <s v="18-06-2016"/>
    <x v="6"/>
    <x v="6"/>
    <x v="6"/>
    <x v="4"/>
    <n v="2"/>
    <x v="6"/>
    <s v="IN"/>
    <s v="20-06-2016"/>
    <n v="719"/>
    <n v="547"/>
    <n v="76.077885952712094"/>
    <n v="7.6815020862308758"/>
    <n v="5523"/>
    <n v="8.9360222531293463"/>
    <n v="902"/>
    <n v="6425"/>
    <n v="67"/>
    <x v="1"/>
    <x v="3"/>
    <x v="76"/>
    <x v="0"/>
  </r>
  <r>
    <x v="1479"/>
    <x v="2"/>
    <n v="2"/>
    <x v="267"/>
    <s v="19-05-2016"/>
    <x v="7"/>
    <x v="22"/>
    <x v="22"/>
    <x v="0"/>
    <n v="2"/>
    <x v="22"/>
    <s v="IL"/>
    <s v="20-05-2016"/>
    <n v="489"/>
    <n v="489"/>
    <n v="100"/>
    <n v="16.016359918200408"/>
    <n v="7832"/>
    <n v="17.163599182004091"/>
    <n v="561"/>
    <n v="8393"/>
    <n v="78"/>
    <x v="1"/>
    <x v="7"/>
    <x v="84"/>
    <x v="0"/>
  </r>
  <r>
    <x v="1480"/>
    <x v="0"/>
    <n v="6"/>
    <x v="291"/>
    <s v="03-03-2016"/>
    <x v="1"/>
    <x v="4"/>
    <x v="4"/>
    <x v="2"/>
    <n v="2"/>
    <x v="4"/>
    <s v="MI"/>
    <s v="05-03-2016"/>
    <n v="634"/>
    <n v="634"/>
    <n v="100"/>
    <n v="9.9652996845425861"/>
    <n v="6318"/>
    <n v="10.6198738170347"/>
    <n v="415"/>
    <n v="6733"/>
    <n v="96"/>
    <x v="2"/>
    <x v="5"/>
    <x v="76"/>
    <x v="0"/>
  </r>
  <r>
    <x v="1481"/>
    <x v="0"/>
    <n v="1"/>
    <x v="46"/>
    <s v="15-06-2016"/>
    <x v="6"/>
    <x v="18"/>
    <x v="18"/>
    <x v="1"/>
    <n v="2"/>
    <x v="18"/>
    <s v="IN"/>
    <s v="17-06-2016"/>
    <n v="249"/>
    <n v="249"/>
    <n v="100"/>
    <n v="23.662650602409638"/>
    <n v="5892"/>
    <n v="41.714859437751002"/>
    <n v="4495"/>
    <n v="10387"/>
    <n v="100"/>
    <x v="1"/>
    <x v="1"/>
    <x v="76"/>
    <x v="0"/>
  </r>
  <r>
    <x v="1482"/>
    <x v="2"/>
    <n v="1"/>
    <x v="284"/>
    <s v="27-06-2016"/>
    <x v="6"/>
    <x v="16"/>
    <x v="16"/>
    <x v="4"/>
    <n v="2"/>
    <x v="16"/>
    <s v="MI"/>
    <s v="29-06-2016"/>
    <n v="254"/>
    <n v="230"/>
    <n v="90.551181102362193"/>
    <n v="9.8425196850393704"/>
    <n v="2500"/>
    <n v="29.011811023622048"/>
    <n v="4869"/>
    <n v="7369"/>
    <n v="59"/>
    <x v="1"/>
    <x v="6"/>
    <x v="76"/>
    <x v="0"/>
  </r>
  <r>
    <x v="1483"/>
    <x v="2"/>
    <n v="1"/>
    <x v="314"/>
    <s v="13-07-2016"/>
    <x v="3"/>
    <x v="17"/>
    <x v="17"/>
    <x v="3"/>
    <n v="2"/>
    <x v="17"/>
    <s v="OH"/>
    <s v="14-07-2016"/>
    <n v="818"/>
    <n v="553"/>
    <n v="67.603911980440103"/>
    <n v="3.7897310513447434E-2"/>
    <n v="31"/>
    <n v="6.288508557457213"/>
    <n v="5113"/>
    <n v="5144"/>
    <n v="97"/>
    <x v="1"/>
    <x v="9"/>
    <x v="84"/>
    <x v="0"/>
  </r>
  <r>
    <x v="1484"/>
    <x v="2"/>
    <n v="6"/>
    <x v="232"/>
    <s v="05-06-2016"/>
    <x v="6"/>
    <x v="18"/>
    <x v="18"/>
    <x v="1"/>
    <n v="2"/>
    <x v="18"/>
    <s v="IN"/>
    <s v="05-06-2016"/>
    <n v="1171"/>
    <n v="376"/>
    <n v="32.109308283518359"/>
    <n v="2.573014517506405"/>
    <n v="3013"/>
    <n v="3.4184457728437234"/>
    <n v="990"/>
    <n v="4003"/>
    <n v="74"/>
    <x v="1"/>
    <x v="3"/>
    <x v="85"/>
    <x v="1"/>
  </r>
  <r>
    <x v="1485"/>
    <x v="2"/>
    <n v="4"/>
    <x v="233"/>
    <s v="24-03-2016"/>
    <x v="1"/>
    <x v="1"/>
    <x v="1"/>
    <x v="1"/>
    <n v="2"/>
    <x v="1"/>
    <s v="WI"/>
    <s v="26-03-2016"/>
    <n v="246"/>
    <n v="246"/>
    <n v="100"/>
    <n v="19.036585365853657"/>
    <n v="4683"/>
    <n v="9.4105691056910565"/>
    <n v="-2368"/>
    <n v="2315"/>
    <n v="64"/>
    <x v="1"/>
    <x v="9"/>
    <x v="76"/>
    <x v="0"/>
  </r>
  <r>
    <x v="1486"/>
    <x v="0"/>
    <n v="2"/>
    <x v="218"/>
    <s v="26-08-2016"/>
    <x v="5"/>
    <x v="10"/>
    <x v="10"/>
    <x v="1"/>
    <n v="2"/>
    <x v="10"/>
    <s v="IL"/>
    <s v="28-08-2016"/>
    <n v="1041"/>
    <n v="539"/>
    <n v="51.777137367915472"/>
    <n v="4.8655139289145053"/>
    <n v="5065"/>
    <n v="5.317963496637848"/>
    <n v="471"/>
    <n v="5536"/>
    <n v="77"/>
    <x v="2"/>
    <x v="2"/>
    <x v="76"/>
    <x v="0"/>
  </r>
  <r>
    <x v="1487"/>
    <x v="2"/>
    <n v="5"/>
    <x v="160"/>
    <s v="31-05-2016"/>
    <x v="7"/>
    <x v="23"/>
    <x v="23"/>
    <x v="1"/>
    <n v="2"/>
    <x v="23"/>
    <s v="WI"/>
    <s v="01-06-2016"/>
    <n v="270"/>
    <n v="270"/>
    <n v="100"/>
    <n v="31.162962962962961"/>
    <n v="8414"/>
    <n v="32.481481481481481"/>
    <n v="356"/>
    <n v="8770"/>
    <n v="81"/>
    <x v="1"/>
    <x v="9"/>
    <x v="84"/>
    <x v="0"/>
  </r>
  <r>
    <x v="1488"/>
    <x v="0"/>
    <n v="3"/>
    <x v="219"/>
    <s v="03-08-2016"/>
    <x v="5"/>
    <x v="12"/>
    <x v="12"/>
    <x v="3"/>
    <n v="2"/>
    <x v="12"/>
    <s v="MI"/>
    <s v="05-08-2016"/>
    <n v="630"/>
    <n v="513"/>
    <n v="81.428571428571431"/>
    <n v="7.2333333333333334"/>
    <n v="4557"/>
    <n v="8.0571428571428569"/>
    <n v="519"/>
    <n v="5076"/>
    <n v="92"/>
    <x v="2"/>
    <x v="9"/>
    <x v="76"/>
    <x v="0"/>
  </r>
  <r>
    <x v="1489"/>
    <x v="0"/>
    <n v="3"/>
    <x v="193"/>
    <s v="03-01-2016"/>
    <x v="4"/>
    <x v="0"/>
    <x v="0"/>
    <x v="0"/>
    <n v="2"/>
    <x v="0"/>
    <s v="MI"/>
    <s v="05-01-2016"/>
    <n v="719"/>
    <n v="655"/>
    <n v="91.09874826147427"/>
    <n v="2.2030598052851182"/>
    <n v="1584"/>
    <n v="2.7913769123783032"/>
    <n v="423"/>
    <n v="2007"/>
    <n v="76"/>
    <x v="1"/>
    <x v="5"/>
    <x v="76"/>
    <x v="0"/>
  </r>
  <r>
    <x v="1490"/>
    <x v="0"/>
    <n v="6"/>
    <x v="90"/>
    <s v="16-01-2016"/>
    <x v="4"/>
    <x v="4"/>
    <x v="4"/>
    <x v="2"/>
    <n v="2"/>
    <x v="4"/>
    <s v="MI"/>
    <s v="18-01-2016"/>
    <n v="319"/>
    <n v="319"/>
    <n v="100"/>
    <n v="3.8683385579937304"/>
    <n v="1234"/>
    <n v="6.4106583072100314"/>
    <n v="811"/>
    <n v="2045"/>
    <n v="65"/>
    <x v="1"/>
    <x v="3"/>
    <x v="76"/>
    <x v="0"/>
  </r>
  <r>
    <x v="1491"/>
    <x v="0"/>
    <n v="3"/>
    <x v="315"/>
    <s v="28-02-2016"/>
    <x v="2"/>
    <x v="18"/>
    <x v="18"/>
    <x v="1"/>
    <n v="2"/>
    <x v="18"/>
    <s v="IN"/>
    <s v="29-02-2016"/>
    <n v="967"/>
    <n v="581"/>
    <n v="60.082730093071355"/>
    <n v="0.37538779731127198"/>
    <n v="363"/>
    <n v="0.73526370217166492"/>
    <n v="348"/>
    <n v="711"/>
    <n v="70"/>
    <x v="1"/>
    <x v="3"/>
    <x v="84"/>
    <x v="0"/>
  </r>
  <r>
    <x v="1492"/>
    <x v="2"/>
    <n v="4"/>
    <x v="51"/>
    <s v="15-06-2016"/>
    <x v="6"/>
    <x v="8"/>
    <x v="8"/>
    <x v="3"/>
    <n v="2"/>
    <x v="8"/>
    <s v="OH"/>
    <s v="17-06-2016"/>
    <n v="326"/>
    <n v="326"/>
    <n v="100"/>
    <n v="19.825153374233128"/>
    <n v="6463"/>
    <n v="14.622699386503067"/>
    <n v="-1696"/>
    <n v="4767"/>
    <n v="60"/>
    <x v="2"/>
    <x v="6"/>
    <x v="76"/>
    <x v="0"/>
  </r>
  <r>
    <x v="1493"/>
    <x v="2"/>
    <n v="4"/>
    <x v="322"/>
    <s v="21-03-2016"/>
    <x v="1"/>
    <x v="23"/>
    <x v="23"/>
    <x v="1"/>
    <n v="2"/>
    <x v="23"/>
    <s v="WI"/>
    <s v="21-03-2016"/>
    <n v="1180"/>
    <n v="369"/>
    <n v="31.271186440677965"/>
    <n v="6.75"/>
    <n v="7965"/>
    <n v="5.1745762711864405"/>
    <n v="-1859"/>
    <n v="6106"/>
    <n v="62"/>
    <x v="1"/>
    <x v="9"/>
    <x v="85"/>
    <x v="1"/>
  </r>
  <r>
    <x v="1494"/>
    <x v="0"/>
    <n v="6"/>
    <x v="92"/>
    <s v="03-03-2016"/>
    <x v="1"/>
    <x v="16"/>
    <x v="16"/>
    <x v="4"/>
    <n v="2"/>
    <x v="16"/>
    <s v="MI"/>
    <s v="05-03-2016"/>
    <n v="396"/>
    <n v="337"/>
    <n v="85.101010101010104"/>
    <n v="12.454545454545455"/>
    <n v="4932"/>
    <n v="13.522727272727273"/>
    <n v="423"/>
    <n v="5355"/>
    <n v="89"/>
    <x v="1"/>
    <x v="8"/>
    <x v="76"/>
    <x v="0"/>
  </r>
  <r>
    <x v="1495"/>
    <x v="0"/>
    <n v="4"/>
    <x v="194"/>
    <s v="22-02-2016"/>
    <x v="2"/>
    <x v="7"/>
    <x v="7"/>
    <x v="5"/>
    <n v="2"/>
    <x v="7"/>
    <s v="WI"/>
    <s v="24-02-2016"/>
    <n v="1119"/>
    <n v="709"/>
    <n v="63.360142984807865"/>
    <n v="2.7864164432529042"/>
    <n v="3118"/>
    <n v="1.2707774798927614"/>
    <n v="-1696"/>
    <n v="1422"/>
    <n v="91"/>
    <x v="1"/>
    <x v="1"/>
    <x v="76"/>
    <x v="0"/>
  </r>
  <r>
    <x v="1496"/>
    <x v="2"/>
    <n v="5"/>
    <x v="70"/>
    <s v="29-08-2016"/>
    <x v="5"/>
    <x v="14"/>
    <x v="14"/>
    <x v="1"/>
    <n v="2"/>
    <x v="14"/>
    <s v="IL"/>
    <s v="31-08-2016"/>
    <n v="232"/>
    <n v="232"/>
    <n v="100"/>
    <n v="18.926724137931036"/>
    <n v="4391"/>
    <n v="20.064655172413794"/>
    <n v="264"/>
    <n v="4655"/>
    <n v="62"/>
    <x v="1"/>
    <x v="5"/>
    <x v="76"/>
    <x v="0"/>
  </r>
  <r>
    <x v="1497"/>
    <x v="0"/>
    <n v="2"/>
    <x v="71"/>
    <s v="07-07-2016"/>
    <x v="3"/>
    <x v="22"/>
    <x v="22"/>
    <x v="0"/>
    <n v="2"/>
    <x v="22"/>
    <s v="IL"/>
    <s v="07-07-2016"/>
    <n v="957"/>
    <n v="690"/>
    <n v="72.100313479623821"/>
    <n v="7.8975966562173463"/>
    <n v="7558"/>
    <n v="8.692789968652038"/>
    <n v="761"/>
    <n v="8319"/>
    <n v="52"/>
    <x v="1"/>
    <x v="2"/>
    <x v="85"/>
    <x v="1"/>
  </r>
  <r>
    <x v="1498"/>
    <x v="0"/>
    <n v="3"/>
    <x v="237"/>
    <s v="04-03-2016"/>
    <x v="1"/>
    <x v="1"/>
    <x v="1"/>
    <x v="1"/>
    <n v="2"/>
    <x v="1"/>
    <s v="WI"/>
    <s v="06-03-2016"/>
    <n v="1013"/>
    <n v="424"/>
    <n v="41.855873642645605"/>
    <n v="7.9032576505429422"/>
    <n v="8006"/>
    <n v="8.6406712734452125"/>
    <n v="747"/>
    <n v="8753"/>
    <n v="80"/>
    <x v="1"/>
    <x v="0"/>
    <x v="76"/>
    <x v="0"/>
  </r>
  <r>
    <x v="1499"/>
    <x v="2"/>
    <n v="5"/>
    <x v="137"/>
    <s v="08-07-2016"/>
    <x v="3"/>
    <x v="20"/>
    <x v="20"/>
    <x v="1"/>
    <n v="2"/>
    <x v="20"/>
    <s v="IL"/>
    <s v="10-07-2016"/>
    <n v="805"/>
    <n v="240"/>
    <n v="29.813664596273291"/>
    <n v="10.337888198757764"/>
    <n v="8322"/>
    <n v="10.46583850931677"/>
    <n v="103"/>
    <n v="8425"/>
    <n v="92"/>
    <x v="1"/>
    <x v="5"/>
    <x v="76"/>
    <x v="0"/>
  </r>
  <r>
    <x v="1500"/>
    <x v="2"/>
    <n v="5"/>
    <x v="73"/>
    <s v="16-05-2016"/>
    <x v="7"/>
    <x v="7"/>
    <x v="7"/>
    <x v="5"/>
    <n v="2"/>
    <x v="7"/>
    <s v="WI"/>
    <s v="18-05-2016"/>
    <n v="601"/>
    <n v="335"/>
    <n v="55.740432612312809"/>
    <n v="11.081530782029951"/>
    <n v="6660"/>
    <n v="11.760399334442596"/>
    <n v="408"/>
    <n v="7068"/>
    <n v="50"/>
    <x v="1"/>
    <x v="0"/>
    <x v="76"/>
    <x v="0"/>
  </r>
  <r>
    <x v="1501"/>
    <x v="0"/>
    <n v="6"/>
    <x v="292"/>
    <s v="20-08-2016"/>
    <x v="5"/>
    <x v="6"/>
    <x v="6"/>
    <x v="4"/>
    <n v="2"/>
    <x v="6"/>
    <s v="IN"/>
    <s v="22-08-2016"/>
    <n v="503"/>
    <n v="503"/>
    <n v="100"/>
    <n v="11.475149105367793"/>
    <n v="5772"/>
    <n v="12.679920477137177"/>
    <n v="606"/>
    <n v="6378"/>
    <n v="52"/>
    <x v="1"/>
    <x v="0"/>
    <x v="76"/>
    <x v="0"/>
  </r>
  <r>
    <x v="1502"/>
    <x v="2"/>
    <n v="2"/>
    <x v="265"/>
    <s v="02-06-2016"/>
    <x v="6"/>
    <x v="2"/>
    <x v="2"/>
    <x v="1"/>
    <n v="2"/>
    <x v="2"/>
    <s v="IL"/>
    <s v="04-06-2016"/>
    <n v="671"/>
    <n v="671"/>
    <n v="100"/>
    <n v="7.0804769001490309"/>
    <n v="4751"/>
    <n v="7.2876304023845009"/>
    <n v="139"/>
    <n v="4890"/>
    <n v="92"/>
    <x v="1"/>
    <x v="7"/>
    <x v="76"/>
    <x v="0"/>
  </r>
  <r>
    <x v="1503"/>
    <x v="0"/>
    <n v="6"/>
    <x v="223"/>
    <s v="13-05-2016"/>
    <x v="7"/>
    <x v="12"/>
    <x v="12"/>
    <x v="3"/>
    <n v="2"/>
    <x v="12"/>
    <s v="MI"/>
    <s v="15-05-2016"/>
    <n v="852"/>
    <n v="314"/>
    <n v="36.854460093896712"/>
    <n v="5.583333333333333"/>
    <n v="4757"/>
    <n v="5.922535211267606"/>
    <n v="289"/>
    <n v="5046"/>
    <n v="93"/>
    <x v="2"/>
    <x v="9"/>
    <x v="76"/>
    <x v="0"/>
  </r>
  <r>
    <x v="1504"/>
    <x v="0"/>
    <n v="2"/>
    <x v="210"/>
    <s v="17-06-2016"/>
    <x v="6"/>
    <x v="3"/>
    <x v="3"/>
    <x v="2"/>
    <n v="2"/>
    <x v="3"/>
    <s v="IL"/>
    <s v="19-06-2016"/>
    <n v="427"/>
    <n v="427"/>
    <n v="100"/>
    <n v="9.3911007025761126"/>
    <n v="4010"/>
    <n v="10.491803278688524"/>
    <n v="470"/>
    <n v="4480"/>
    <n v="96"/>
    <x v="1"/>
    <x v="1"/>
    <x v="76"/>
    <x v="0"/>
  </r>
  <r>
    <x v="1505"/>
    <x v="0"/>
    <n v="3"/>
    <x v="289"/>
    <s v="25-01-2016"/>
    <x v="4"/>
    <x v="2"/>
    <x v="2"/>
    <x v="1"/>
    <n v="2"/>
    <x v="2"/>
    <s v="IL"/>
    <s v="27-01-2016"/>
    <n v="753"/>
    <n v="753"/>
    <n v="100"/>
    <n v="8.3545816733067735"/>
    <n v="6291"/>
    <n v="8.4980079681274905"/>
    <n v="108"/>
    <n v="6399"/>
    <n v="96"/>
    <x v="1"/>
    <x v="6"/>
    <x v="76"/>
    <x v="0"/>
  </r>
  <r>
    <x v="1506"/>
    <x v="0"/>
    <n v="3"/>
    <x v="271"/>
    <s v="31-08-2016"/>
    <x v="5"/>
    <x v="4"/>
    <x v="4"/>
    <x v="2"/>
    <n v="2"/>
    <x v="4"/>
    <s v="MI"/>
    <s v="02-09-2016"/>
    <n v="289"/>
    <n v="245"/>
    <n v="84.775086505190316"/>
    <n v="1.5397923875432526"/>
    <n v="445"/>
    <n v="4.0968858131487886"/>
    <n v="739"/>
    <n v="1184"/>
    <n v="58"/>
    <x v="1"/>
    <x v="6"/>
    <x v="76"/>
    <x v="0"/>
  </r>
  <r>
    <x v="1507"/>
    <x v="0"/>
    <n v="4"/>
    <x v="224"/>
    <s v="29-04-2016"/>
    <x v="0"/>
    <x v="18"/>
    <x v="18"/>
    <x v="1"/>
    <n v="2"/>
    <x v="18"/>
    <s v="IN"/>
    <s v="29-04-2016"/>
    <n v="406"/>
    <n v="406"/>
    <n v="100"/>
    <n v="20.66256157635468"/>
    <n v="8389"/>
    <n v="13.571428571428571"/>
    <n v="-2879"/>
    <n v="5510"/>
    <n v="56"/>
    <x v="1"/>
    <x v="8"/>
    <x v="85"/>
    <x v="1"/>
  </r>
  <r>
    <x v="1508"/>
    <x v="2"/>
    <n v="1"/>
    <x v="58"/>
    <s v="01-02-2016"/>
    <x v="2"/>
    <x v="8"/>
    <x v="8"/>
    <x v="3"/>
    <n v="2"/>
    <x v="8"/>
    <s v="OH"/>
    <s v="03-02-2016"/>
    <n v="295"/>
    <n v="201"/>
    <n v="68.13559322033899"/>
    <n v="15.264406779661018"/>
    <n v="4503"/>
    <n v="31.291525423728814"/>
    <n v="4728"/>
    <n v="9231"/>
    <n v="58"/>
    <x v="2"/>
    <x v="0"/>
    <x v="76"/>
    <x v="0"/>
  </r>
  <r>
    <x v="1509"/>
    <x v="2"/>
    <n v="3"/>
    <x v="77"/>
    <s v="18-08-2016"/>
    <x v="5"/>
    <x v="5"/>
    <x v="5"/>
    <x v="3"/>
    <n v="2"/>
    <x v="5"/>
    <s v="IA"/>
    <s v="20-08-2016"/>
    <n v="995"/>
    <n v="258"/>
    <n v="25.929648241206031"/>
    <n v="6.1909547738693469"/>
    <n v="6160"/>
    <n v="6.4994974874371856"/>
    <n v="307"/>
    <n v="6467"/>
    <n v="59"/>
    <x v="1"/>
    <x v="9"/>
    <x v="76"/>
    <x v="0"/>
  </r>
  <r>
    <x v="1510"/>
    <x v="0"/>
    <n v="2"/>
    <x v="148"/>
    <s v="11-05-2016"/>
    <x v="7"/>
    <x v="13"/>
    <x v="13"/>
    <x v="1"/>
    <n v="2"/>
    <x v="13"/>
    <s v="OH"/>
    <s v="13-05-2016"/>
    <n v="852"/>
    <n v="426"/>
    <n v="50"/>
    <n v="5.9178403755868541"/>
    <n v="5042"/>
    <n v="6.938967136150235"/>
    <n v="870"/>
    <n v="5912"/>
    <n v="99"/>
    <x v="1"/>
    <x v="4"/>
    <x v="76"/>
    <x v="0"/>
  </r>
  <r>
    <x v="1511"/>
    <x v="0"/>
    <n v="3"/>
    <x v="155"/>
    <s v="01-08-2016"/>
    <x v="5"/>
    <x v="2"/>
    <x v="2"/>
    <x v="1"/>
    <n v="2"/>
    <x v="2"/>
    <s v="IL"/>
    <s v="03-08-2016"/>
    <n v="537"/>
    <n v="537"/>
    <n v="100"/>
    <n v="3.6703910614525141"/>
    <n v="1971"/>
    <n v="4.5605214152700189"/>
    <n v="478"/>
    <n v="2449"/>
    <n v="61"/>
    <x v="1"/>
    <x v="2"/>
    <x v="76"/>
    <x v="0"/>
  </r>
  <r>
    <x v="1512"/>
    <x v="2"/>
    <n v="3"/>
    <x v="225"/>
    <s v="12-07-2016"/>
    <x v="3"/>
    <x v="23"/>
    <x v="23"/>
    <x v="1"/>
    <n v="2"/>
    <x v="23"/>
    <s v="WI"/>
    <s v="13-07-2016"/>
    <n v="427"/>
    <n v="427"/>
    <n v="100"/>
    <n v="0.48711943793911006"/>
    <n v="208"/>
    <n v="0.98594847775175642"/>
    <n v="213"/>
    <n v="421"/>
    <n v="67"/>
    <x v="1"/>
    <x v="7"/>
    <x v="84"/>
    <x v="0"/>
  </r>
  <r>
    <x v="1513"/>
    <x v="0"/>
    <n v="3"/>
    <x v="213"/>
    <s v="25-06-2016"/>
    <x v="6"/>
    <x v="11"/>
    <x v="11"/>
    <x v="2"/>
    <n v="2"/>
    <x v="11"/>
    <s v="MI"/>
    <s v="27-06-2016"/>
    <n v="244"/>
    <n v="244"/>
    <n v="100"/>
    <n v="7.3688524590163933"/>
    <n v="1798"/>
    <n v="8.7991803278688518"/>
    <n v="349"/>
    <n v="2147"/>
    <n v="58"/>
    <x v="2"/>
    <x v="3"/>
    <x v="76"/>
    <x v="0"/>
  </r>
  <r>
    <x v="1514"/>
    <x v="2"/>
    <n v="5"/>
    <x v="98"/>
    <s v="16-03-2016"/>
    <x v="1"/>
    <x v="13"/>
    <x v="13"/>
    <x v="1"/>
    <n v="2"/>
    <x v="13"/>
    <s v="OH"/>
    <s v="17-03-2016"/>
    <n v="479"/>
    <n v="238"/>
    <n v="49.686847599164928"/>
    <n v="1.5490605427974948"/>
    <n v="742"/>
    <n v="2.3695198329853864"/>
    <n v="393"/>
    <n v="1135"/>
    <n v="54"/>
    <x v="1"/>
    <x v="2"/>
    <x v="84"/>
    <x v="0"/>
  </r>
  <r>
    <x v="1515"/>
    <x v="2"/>
    <n v="3"/>
    <x v="305"/>
    <s v="27-03-2016"/>
    <x v="1"/>
    <x v="12"/>
    <x v="12"/>
    <x v="3"/>
    <n v="2"/>
    <x v="12"/>
    <s v="MI"/>
    <s v="29-03-2016"/>
    <n v="633"/>
    <n v="541"/>
    <n v="85.466034755134274"/>
    <n v="0.38862559241706163"/>
    <n v="246"/>
    <n v="0.9873617693522907"/>
    <n v="379"/>
    <n v="625"/>
    <n v="84"/>
    <x v="1"/>
    <x v="1"/>
    <x v="76"/>
    <x v="0"/>
  </r>
  <r>
    <x v="1516"/>
    <x v="0"/>
    <n v="2"/>
    <x v="199"/>
    <s v="22-02-2016"/>
    <x v="2"/>
    <x v="3"/>
    <x v="3"/>
    <x v="2"/>
    <n v="2"/>
    <x v="3"/>
    <s v="IL"/>
    <s v="24-02-2016"/>
    <n v="1008"/>
    <n v="729"/>
    <n v="72.321428571428569"/>
    <n v="5.4375"/>
    <n v="5481"/>
    <n v="6.2361111111111107"/>
    <n v="805"/>
    <n v="6286"/>
    <n v="66"/>
    <x v="1"/>
    <x v="4"/>
    <x v="76"/>
    <x v="0"/>
  </r>
  <r>
    <x v="1517"/>
    <x v="2"/>
    <n v="4"/>
    <x v="297"/>
    <s v="06-08-2016"/>
    <x v="5"/>
    <x v="22"/>
    <x v="22"/>
    <x v="0"/>
    <n v="2"/>
    <x v="22"/>
    <s v="IL"/>
    <s v="07-08-2016"/>
    <n v="317"/>
    <n v="317"/>
    <n v="100"/>
    <n v="9.3848580441640372"/>
    <n v="2975"/>
    <n v="3.7192429022082019"/>
    <n v="-1796"/>
    <n v="1179"/>
    <n v="84"/>
    <x v="1"/>
    <x v="7"/>
    <x v="84"/>
    <x v="0"/>
  </r>
  <r>
    <x v="1518"/>
    <x v="0"/>
    <n v="5"/>
    <x v="226"/>
    <s v="12-04-2016"/>
    <x v="0"/>
    <x v="4"/>
    <x v="4"/>
    <x v="2"/>
    <n v="2"/>
    <x v="4"/>
    <s v="MI"/>
    <s v="14-04-2016"/>
    <n v="481"/>
    <n v="481"/>
    <n v="100"/>
    <n v="4.5509355509355514"/>
    <n v="2189"/>
    <n v="6.0769230769230766"/>
    <n v="734"/>
    <n v="2923"/>
    <n v="64"/>
    <x v="2"/>
    <x v="4"/>
    <x v="76"/>
    <x v="0"/>
  </r>
  <r>
    <x v="1519"/>
    <x v="0"/>
    <n v="4"/>
    <x v="239"/>
    <s v="30-05-2016"/>
    <x v="7"/>
    <x v="1"/>
    <x v="1"/>
    <x v="1"/>
    <n v="2"/>
    <x v="1"/>
    <s v="WI"/>
    <s v="01-06-2016"/>
    <n v="1078"/>
    <n v="432"/>
    <n v="40.07421150278293"/>
    <n v="6.4313543599257885"/>
    <n v="6933"/>
    <n v="4.3348794063079774"/>
    <n v="-2260"/>
    <n v="4673"/>
    <n v="90"/>
    <x v="1"/>
    <x v="2"/>
    <x v="76"/>
    <x v="0"/>
  </r>
  <r>
    <x v="1520"/>
    <x v="2"/>
    <n v="1"/>
    <x v="142"/>
    <s v="17-05-2016"/>
    <x v="7"/>
    <x v="8"/>
    <x v="8"/>
    <x v="3"/>
    <n v="2"/>
    <x v="8"/>
    <s v="OH"/>
    <s v="19-05-2016"/>
    <n v="394"/>
    <n v="319"/>
    <n v="80.964467005076145"/>
    <n v="9.1624365482233507"/>
    <n v="3610"/>
    <n v="22.565989847715738"/>
    <n v="5281"/>
    <n v="8891"/>
    <n v="66"/>
    <x v="1"/>
    <x v="6"/>
    <x v="76"/>
    <x v="0"/>
  </r>
  <r>
    <x v="1521"/>
    <x v="2"/>
    <n v="2"/>
    <x v="143"/>
    <s v="25-07-2016"/>
    <x v="3"/>
    <x v="5"/>
    <x v="5"/>
    <x v="3"/>
    <n v="2"/>
    <x v="5"/>
    <s v="IA"/>
    <s v="27-07-2016"/>
    <n v="451"/>
    <n v="319"/>
    <n v="70.731707317073173"/>
    <n v="15.962305986696231"/>
    <n v="7199"/>
    <n v="18.064301552106429"/>
    <n v="948"/>
    <n v="8147"/>
    <n v="74"/>
    <x v="1"/>
    <x v="6"/>
    <x v="76"/>
    <x v="0"/>
  </r>
  <r>
    <x v="1522"/>
    <x v="0"/>
    <n v="6"/>
    <x v="201"/>
    <s v="26-04-2016"/>
    <x v="0"/>
    <x v="20"/>
    <x v="20"/>
    <x v="1"/>
    <n v="2"/>
    <x v="20"/>
    <s v="IL"/>
    <s v="28-04-2016"/>
    <n v="999"/>
    <n v="580"/>
    <n v="58.058058058058059"/>
    <n v="1.9739739739739739"/>
    <n v="1972"/>
    <n v="2.8728728728728727"/>
    <n v="898"/>
    <n v="2870"/>
    <n v="53"/>
    <x v="1"/>
    <x v="9"/>
    <x v="76"/>
    <x v="0"/>
  </r>
  <r>
    <x v="1523"/>
    <x v="2"/>
    <n v="3"/>
    <x v="81"/>
    <s v="10-06-2016"/>
    <x v="6"/>
    <x v="17"/>
    <x v="17"/>
    <x v="3"/>
    <n v="2"/>
    <x v="17"/>
    <s v="OH"/>
    <s v="11-06-2016"/>
    <n v="617"/>
    <n v="481"/>
    <n v="77.957860615883305"/>
    <n v="13.111831442463533"/>
    <n v="8090"/>
    <n v="13.611021069692057"/>
    <n v="308"/>
    <n v="8398"/>
    <n v="93"/>
    <x v="1"/>
    <x v="5"/>
    <x v="84"/>
    <x v="0"/>
  </r>
  <r>
    <x v="1524"/>
    <x v="2"/>
    <n v="1"/>
    <x v="215"/>
    <s v="21-03-2016"/>
    <x v="1"/>
    <x v="23"/>
    <x v="23"/>
    <x v="1"/>
    <n v="2"/>
    <x v="23"/>
    <s v="WI"/>
    <s v="23-03-2016"/>
    <n v="928"/>
    <n v="757"/>
    <n v="81.573275862068968"/>
    <n v="2.0635775862068964"/>
    <n v="1915"/>
    <n v="6.4773706896551726"/>
    <n v="4096"/>
    <n v="6011"/>
    <n v="54"/>
    <x v="1"/>
    <x v="3"/>
    <x v="76"/>
    <x v="0"/>
  </r>
  <r>
    <x v="1525"/>
    <x v="2"/>
    <n v="4"/>
    <x v="261"/>
    <s v="29-06-2016"/>
    <x v="6"/>
    <x v="11"/>
    <x v="11"/>
    <x v="2"/>
    <n v="2"/>
    <x v="11"/>
    <s v="MI"/>
    <s v="01-07-2016"/>
    <n v="1139"/>
    <n v="358"/>
    <n v="31.431079894644427"/>
    <n v="3.6136962247585602"/>
    <n v="4116"/>
    <n v="1.6224758560140473"/>
    <n v="-2268"/>
    <n v="1848"/>
    <n v="72"/>
    <x v="1"/>
    <x v="5"/>
    <x v="76"/>
    <x v="0"/>
  </r>
  <r>
    <x v="1526"/>
    <x v="0"/>
    <n v="6"/>
    <x v="169"/>
    <s v="19-06-2016"/>
    <x v="6"/>
    <x v="5"/>
    <x v="5"/>
    <x v="3"/>
    <n v="2"/>
    <x v="5"/>
    <s v="IA"/>
    <s v="21-06-2016"/>
    <n v="736"/>
    <n v="321"/>
    <n v="43.614130434782609"/>
    <n v="9.5285326086956523"/>
    <n v="7013"/>
    <n v="10.179347826086957"/>
    <n v="479"/>
    <n v="7492"/>
    <n v="80"/>
    <x v="1"/>
    <x v="9"/>
    <x v="76"/>
    <x v="0"/>
  </r>
  <r>
    <x v="1527"/>
    <x v="1"/>
    <n v="5"/>
    <x v="114"/>
    <s v="20-05-2016"/>
    <x v="7"/>
    <x v="22"/>
    <x v="22"/>
    <x v="0"/>
    <n v="1"/>
    <x v="22"/>
    <s v="IL"/>
    <s v="21-05-2016"/>
    <n v="450"/>
    <n v="362"/>
    <n v="80.444444444444443"/>
    <n v="15.126666666666667"/>
    <n v="6807"/>
    <n v="16.824444444444445"/>
    <n v="764"/>
    <n v="7571"/>
    <n v="77"/>
    <x v="1"/>
    <x v="0"/>
    <x v="84"/>
    <x v="0"/>
  </r>
  <r>
    <x v="1528"/>
    <x v="0"/>
    <n v="6"/>
    <x v="261"/>
    <s v="19-05-2016"/>
    <x v="7"/>
    <x v="11"/>
    <x v="11"/>
    <x v="2"/>
    <n v="1"/>
    <x v="11"/>
    <s v="MI"/>
    <s v="20-05-2016"/>
    <n v="486"/>
    <n v="451"/>
    <n v="92.798353909465021"/>
    <n v="10.074074074074074"/>
    <n v="4896"/>
    <n v="10.847736625514404"/>
    <n v="376"/>
    <n v="5272"/>
    <n v="69"/>
    <x v="2"/>
    <x v="0"/>
    <x v="84"/>
    <x v="0"/>
  </r>
  <r>
    <x v="1529"/>
    <x v="0"/>
    <n v="6"/>
    <x v="306"/>
    <s v="22-02-2016"/>
    <x v="2"/>
    <x v="6"/>
    <x v="6"/>
    <x v="4"/>
    <n v="1"/>
    <x v="6"/>
    <s v="IN"/>
    <s v="23-02-2016"/>
    <n v="701"/>
    <n v="701"/>
    <n v="100"/>
    <n v="1.3309557774607703"/>
    <n v="933"/>
    <n v="1.8045649072753209"/>
    <n v="332"/>
    <n v="1265"/>
    <n v="78"/>
    <x v="1"/>
    <x v="8"/>
    <x v="84"/>
    <x v="0"/>
  </r>
  <r>
    <x v="1530"/>
    <x v="0"/>
    <n v="6"/>
    <x v="19"/>
    <s v="27-04-2016"/>
    <x v="0"/>
    <x v="12"/>
    <x v="12"/>
    <x v="3"/>
    <n v="1"/>
    <x v="12"/>
    <s v="MI"/>
    <s v="28-04-2016"/>
    <n v="1141"/>
    <n v="503"/>
    <n v="44.084136722173533"/>
    <n v="4.2822085889570554"/>
    <n v="4886"/>
    <n v="4.5398773006134974"/>
    <n v="294"/>
    <n v="5180"/>
    <n v="72"/>
    <x v="1"/>
    <x v="5"/>
    <x v="84"/>
    <x v="0"/>
  </r>
  <r>
    <x v="1531"/>
    <x v="0"/>
    <n v="5"/>
    <x v="40"/>
    <s v="07-06-2016"/>
    <x v="6"/>
    <x v="4"/>
    <x v="4"/>
    <x v="2"/>
    <n v="1"/>
    <x v="4"/>
    <s v="MI"/>
    <s v="08-06-2016"/>
    <n v="1123"/>
    <n v="733"/>
    <n v="65.271593944790737"/>
    <n v="6.7800534283170082"/>
    <n v="7614"/>
    <n v="7.1576135351736418"/>
    <n v="424"/>
    <n v="8038"/>
    <n v="79"/>
    <x v="2"/>
    <x v="9"/>
    <x v="84"/>
    <x v="0"/>
  </r>
  <r>
    <x v="1532"/>
    <x v="0"/>
    <n v="5"/>
    <x v="41"/>
    <s v="28-07-2016"/>
    <x v="3"/>
    <x v="21"/>
    <x v="21"/>
    <x v="2"/>
    <n v="1"/>
    <x v="21"/>
    <s v="IL"/>
    <s v="29-07-2016"/>
    <n v="751"/>
    <n v="751"/>
    <n v="100"/>
    <n v="9.6498002663115852"/>
    <n v="7247"/>
    <n v="10.488681757656458"/>
    <n v="630"/>
    <n v="7877"/>
    <n v="55"/>
    <x v="1"/>
    <x v="8"/>
    <x v="84"/>
    <x v="0"/>
  </r>
  <r>
    <x v="1533"/>
    <x v="0"/>
    <n v="6"/>
    <x v="42"/>
    <s v="22-02-2016"/>
    <x v="2"/>
    <x v="9"/>
    <x v="9"/>
    <x v="3"/>
    <n v="1"/>
    <x v="9"/>
    <s v="IN"/>
    <s v="23-02-2016"/>
    <n v="812"/>
    <n v="535"/>
    <n v="65.886699507389153"/>
    <n v="4.3731527093596059"/>
    <n v="3551"/>
    <n v="5.1071428571428568"/>
    <n v="596"/>
    <n v="4147"/>
    <n v="94"/>
    <x v="2"/>
    <x v="8"/>
    <x v="84"/>
    <x v="0"/>
  </r>
  <r>
    <x v="1534"/>
    <x v="0"/>
    <n v="6"/>
    <x v="43"/>
    <s v="27-03-2016"/>
    <x v="1"/>
    <x v="23"/>
    <x v="23"/>
    <x v="1"/>
    <n v="1"/>
    <x v="23"/>
    <s v="WI"/>
    <s v="28-03-2016"/>
    <n v="1007"/>
    <n v="288"/>
    <n v="28.599801390268127"/>
    <n v="2.3356504468718966"/>
    <n v="2352"/>
    <n v="3.0208540218470703"/>
    <n v="690"/>
    <n v="3042"/>
    <n v="80"/>
    <x v="1"/>
    <x v="9"/>
    <x v="84"/>
    <x v="0"/>
  </r>
  <r>
    <x v="1535"/>
    <x v="0"/>
    <n v="5"/>
    <x v="285"/>
    <s v="26-02-2016"/>
    <x v="2"/>
    <x v="4"/>
    <x v="4"/>
    <x v="2"/>
    <n v="1"/>
    <x v="4"/>
    <s v="MI"/>
    <s v="27-02-2016"/>
    <n v="1182"/>
    <n v="637"/>
    <n v="53.891708967851102"/>
    <n v="6.6133671742808797"/>
    <n v="7817"/>
    <n v="7.2554991539763112"/>
    <n v="759"/>
    <n v="8576"/>
    <n v="89"/>
    <x v="1"/>
    <x v="7"/>
    <x v="84"/>
    <x v="0"/>
  </r>
  <r>
    <x v="1536"/>
    <x v="1"/>
    <n v="7"/>
    <x v="159"/>
    <s v="01-06-2016"/>
    <x v="6"/>
    <x v="3"/>
    <x v="3"/>
    <x v="2"/>
    <n v="1"/>
    <x v="3"/>
    <s v="IL"/>
    <s v="02-06-2016"/>
    <n v="834"/>
    <n v="570"/>
    <n v="68.345323741007192"/>
    <n v="8.0551558752997607"/>
    <n v="6718"/>
    <n v="8.4976019184652269"/>
    <n v="369"/>
    <n v="7087"/>
    <n v="81"/>
    <x v="1"/>
    <x v="0"/>
    <x v="84"/>
    <x v="0"/>
  </r>
  <r>
    <x v="1537"/>
    <x v="0"/>
    <n v="7"/>
    <x v="49"/>
    <s v="22-06-2016"/>
    <x v="6"/>
    <x v="9"/>
    <x v="9"/>
    <x v="3"/>
    <n v="1"/>
    <x v="9"/>
    <s v="IN"/>
    <s v="23-06-2016"/>
    <n v="818"/>
    <n v="705"/>
    <n v="86.185819070904643"/>
    <n v="8.5721271393643033"/>
    <n v="7012"/>
    <n v="9.6454767726161368"/>
    <n v="878"/>
    <n v="7890"/>
    <n v="89"/>
    <x v="1"/>
    <x v="2"/>
    <x v="84"/>
    <x v="0"/>
  </r>
  <r>
    <x v="1538"/>
    <x v="1"/>
    <n v="7"/>
    <x v="192"/>
    <s v="31-08-2016"/>
    <x v="5"/>
    <x v="19"/>
    <x v="19"/>
    <x v="0"/>
    <n v="1"/>
    <x v="19"/>
    <s v="WI"/>
    <s v="01-09-2016"/>
    <n v="1050"/>
    <n v="548"/>
    <n v="52.19047619047619"/>
    <n v="6.0771428571428574"/>
    <n v="6381"/>
    <n v="6.7504761904761903"/>
    <n v="707"/>
    <n v="7088"/>
    <n v="67"/>
    <x v="1"/>
    <x v="2"/>
    <x v="84"/>
    <x v="0"/>
  </r>
  <r>
    <x v="1539"/>
    <x v="1"/>
    <n v="4"/>
    <x v="87"/>
    <s v="02-01-2016"/>
    <x v="4"/>
    <x v="21"/>
    <x v="21"/>
    <x v="2"/>
    <n v="1"/>
    <x v="21"/>
    <s v="IL"/>
    <s v="03-01-2016"/>
    <n v="919"/>
    <n v="445"/>
    <n v="48.42219804134929"/>
    <n v="6.4417845484221976"/>
    <n v="5920"/>
    <n v="4.6332970620239387"/>
    <n v="-1662"/>
    <n v="4258"/>
    <n v="53"/>
    <x v="1"/>
    <x v="4"/>
    <x v="84"/>
    <x v="0"/>
  </r>
  <r>
    <x v="1540"/>
    <x v="0"/>
    <n v="5"/>
    <x v="218"/>
    <s v="09-06-2016"/>
    <x v="6"/>
    <x v="8"/>
    <x v="8"/>
    <x v="3"/>
    <n v="1"/>
    <x v="8"/>
    <s v="OH"/>
    <s v="10-06-2016"/>
    <n v="293"/>
    <n v="293"/>
    <n v="100"/>
    <n v="21.788395904436861"/>
    <n v="6384"/>
    <n v="22.546075085324233"/>
    <n v="222"/>
    <n v="6606"/>
    <n v="54"/>
    <x v="2"/>
    <x v="4"/>
    <x v="84"/>
    <x v="0"/>
  </r>
  <r>
    <x v="1541"/>
    <x v="0"/>
    <n v="6"/>
    <x v="235"/>
    <s v="25-01-2016"/>
    <x v="4"/>
    <x v="3"/>
    <x v="3"/>
    <x v="2"/>
    <n v="1"/>
    <x v="3"/>
    <s v="IL"/>
    <s v="26-01-2016"/>
    <n v="787"/>
    <n v="539"/>
    <n v="68.487928843710293"/>
    <n v="1.2401524777636594"/>
    <n v="976"/>
    <n v="1.818297331639136"/>
    <n v="455"/>
    <n v="1431"/>
    <n v="86"/>
    <x v="1"/>
    <x v="3"/>
    <x v="84"/>
    <x v="0"/>
  </r>
  <r>
    <x v="1542"/>
    <x v="0"/>
    <n v="7"/>
    <x v="254"/>
    <s v="16-08-2016"/>
    <x v="5"/>
    <x v="10"/>
    <x v="10"/>
    <x v="1"/>
    <n v="1"/>
    <x v="10"/>
    <s v="IL"/>
    <s v="17-08-2016"/>
    <n v="961"/>
    <n v="369"/>
    <n v="38.397502601456814"/>
    <n v="0.10822060353798127"/>
    <n v="104"/>
    <n v="0.9219562955254943"/>
    <n v="782"/>
    <n v="886"/>
    <n v="93"/>
    <x v="1"/>
    <x v="5"/>
    <x v="84"/>
    <x v="0"/>
  </r>
  <r>
    <x v="1543"/>
    <x v="1"/>
    <n v="7"/>
    <x v="23"/>
    <s v="27-04-2016"/>
    <x v="0"/>
    <x v="14"/>
    <x v="14"/>
    <x v="1"/>
    <n v="1"/>
    <x v="14"/>
    <s v="IL"/>
    <s v="28-04-2016"/>
    <n v="1188"/>
    <n v="325"/>
    <n v="27.356902356902356"/>
    <n v="4.2971380471380467"/>
    <n v="5105"/>
    <n v="4.595959595959596"/>
    <n v="355"/>
    <n v="5460"/>
    <n v="86"/>
    <x v="1"/>
    <x v="6"/>
    <x v="84"/>
    <x v="0"/>
  </r>
  <r>
    <x v="1544"/>
    <x v="0"/>
    <n v="6"/>
    <x v="308"/>
    <s v="12-05-2016"/>
    <x v="7"/>
    <x v="6"/>
    <x v="6"/>
    <x v="4"/>
    <n v="1"/>
    <x v="6"/>
    <s v="IN"/>
    <s v="13-05-2016"/>
    <n v="1135"/>
    <n v="227"/>
    <n v="20"/>
    <n v="4.1744493392070483"/>
    <n v="4738"/>
    <n v="4.7418502202643174"/>
    <n v="644"/>
    <n v="5382"/>
    <n v="61"/>
    <x v="1"/>
    <x v="1"/>
    <x v="84"/>
    <x v="0"/>
  </r>
  <r>
    <x v="1545"/>
    <x v="0"/>
    <n v="8"/>
    <x v="161"/>
    <s v="09-02-2016"/>
    <x v="2"/>
    <x v="14"/>
    <x v="14"/>
    <x v="1"/>
    <n v="1"/>
    <x v="14"/>
    <s v="IL"/>
    <s v="10-02-2016"/>
    <n v="315"/>
    <n v="315"/>
    <n v="100"/>
    <n v="20.774603174603175"/>
    <n v="6544"/>
    <n v="23.479365079365078"/>
    <n v="852"/>
    <n v="7396"/>
    <n v="61"/>
    <x v="1"/>
    <x v="7"/>
    <x v="84"/>
    <x v="0"/>
  </r>
  <r>
    <x v="1546"/>
    <x v="1"/>
    <n v="7"/>
    <x v="151"/>
    <s v="29-01-2016"/>
    <x v="4"/>
    <x v="20"/>
    <x v="20"/>
    <x v="1"/>
    <n v="1"/>
    <x v="20"/>
    <s v="IL"/>
    <s v="30-01-2016"/>
    <n v="204"/>
    <n v="204"/>
    <n v="100"/>
    <n v="14.367647058823529"/>
    <n v="2931"/>
    <n v="16.627450980392158"/>
    <n v="461"/>
    <n v="3392"/>
    <n v="58"/>
    <x v="1"/>
    <x v="4"/>
    <x v="84"/>
    <x v="0"/>
  </r>
  <r>
    <x v="1547"/>
    <x v="0"/>
    <n v="4"/>
    <x v="92"/>
    <s v="07-08-2016"/>
    <x v="5"/>
    <x v="0"/>
    <x v="0"/>
    <x v="0"/>
    <n v="1"/>
    <x v="0"/>
    <s v="MI"/>
    <s v="08-08-2016"/>
    <n v="305"/>
    <n v="305"/>
    <n v="100"/>
    <n v="11.331147540983606"/>
    <n v="3456"/>
    <n v="6.8786885245901637"/>
    <n v="-1358"/>
    <n v="2098"/>
    <n v="86"/>
    <x v="1"/>
    <x v="5"/>
    <x v="84"/>
    <x v="0"/>
  </r>
  <r>
    <x v="1548"/>
    <x v="0"/>
    <n v="5"/>
    <x v="147"/>
    <s v="12-01-2016"/>
    <x v="4"/>
    <x v="11"/>
    <x v="11"/>
    <x v="2"/>
    <n v="1"/>
    <x v="11"/>
    <s v="MI"/>
    <s v="13-01-2016"/>
    <n v="653"/>
    <n v="207"/>
    <n v="31.699846860643184"/>
    <n v="10.111791730474732"/>
    <n v="6603"/>
    <n v="11.013782542113324"/>
    <n v="589"/>
    <n v="7192"/>
    <n v="75"/>
    <x v="1"/>
    <x v="2"/>
    <x v="84"/>
    <x v="0"/>
  </r>
  <r>
    <x v="1549"/>
    <x v="1"/>
    <n v="6"/>
    <x v="220"/>
    <s v="22-04-2016"/>
    <x v="0"/>
    <x v="10"/>
    <x v="10"/>
    <x v="1"/>
    <n v="1"/>
    <x v="10"/>
    <s v="IL"/>
    <s v="23-04-2016"/>
    <n v="600"/>
    <n v="281"/>
    <n v="46.833333333333336"/>
    <n v="1.4316666666666666"/>
    <n v="859"/>
    <n v="1.9566666666666668"/>
    <n v="315"/>
    <n v="1174"/>
    <n v="94"/>
    <x v="2"/>
    <x v="3"/>
    <x v="84"/>
    <x v="0"/>
  </r>
  <r>
    <x v="1550"/>
    <x v="1"/>
    <n v="4"/>
    <x v="54"/>
    <s v="05-08-2016"/>
    <x v="5"/>
    <x v="7"/>
    <x v="7"/>
    <x v="5"/>
    <n v="1"/>
    <x v="7"/>
    <s v="WI"/>
    <s v="06-08-2016"/>
    <n v="972"/>
    <n v="594"/>
    <n v="61.111111111111114"/>
    <n v="6.0432098765432096"/>
    <n v="5874"/>
    <n v="3.7109053497942388"/>
    <n v="-2267"/>
    <n v="3607"/>
    <n v="55"/>
    <x v="1"/>
    <x v="8"/>
    <x v="84"/>
    <x v="0"/>
  </r>
  <r>
    <x v="1551"/>
    <x v="0"/>
    <n v="6"/>
    <x v="207"/>
    <s v="15-06-2016"/>
    <x v="6"/>
    <x v="17"/>
    <x v="17"/>
    <x v="3"/>
    <n v="1"/>
    <x v="17"/>
    <s v="OH"/>
    <s v="16-06-2016"/>
    <n v="324"/>
    <n v="323"/>
    <n v="99.691358024691354"/>
    <n v="1.9228395061728396"/>
    <n v="623"/>
    <n v="3.4197530864197532"/>
    <n v="485"/>
    <n v="1108"/>
    <n v="84"/>
    <x v="1"/>
    <x v="6"/>
    <x v="84"/>
    <x v="0"/>
  </r>
  <r>
    <x v="1552"/>
    <x v="1"/>
    <n v="8"/>
    <x v="55"/>
    <s v="15-04-2016"/>
    <x v="0"/>
    <x v="3"/>
    <x v="3"/>
    <x v="2"/>
    <n v="1"/>
    <x v="3"/>
    <s v="IL"/>
    <s v="16-04-2016"/>
    <n v="347"/>
    <n v="347"/>
    <n v="100"/>
    <n v="0.26224783861671469"/>
    <n v="91"/>
    <n v="2.7146974063400577"/>
    <n v="851"/>
    <n v="942"/>
    <n v="64"/>
    <x v="1"/>
    <x v="3"/>
    <x v="84"/>
    <x v="0"/>
  </r>
  <r>
    <x v="1553"/>
    <x v="0"/>
    <n v="4"/>
    <x v="277"/>
    <s v="22-07-2016"/>
    <x v="3"/>
    <x v="22"/>
    <x v="22"/>
    <x v="0"/>
    <n v="1"/>
    <x v="22"/>
    <s v="IL"/>
    <s v="22-07-2016"/>
    <n v="797"/>
    <n v="400"/>
    <n v="50.188205771643666"/>
    <n v="10.967377666248431"/>
    <n v="8741"/>
    <n v="8.4504391468005018"/>
    <n v="-2006"/>
    <n v="6735"/>
    <n v="88"/>
    <x v="1"/>
    <x v="2"/>
    <x v="85"/>
    <x v="1"/>
  </r>
  <r>
    <x v="1554"/>
    <x v="0"/>
    <n v="8"/>
    <x v="74"/>
    <s v="04-06-2016"/>
    <x v="6"/>
    <x v="0"/>
    <x v="0"/>
    <x v="0"/>
    <n v="1"/>
    <x v="0"/>
    <s v="MI"/>
    <s v="05-06-2016"/>
    <n v="1196"/>
    <n v="477"/>
    <n v="39.88294314381271"/>
    <n v="2.2792642140468229"/>
    <n v="2726"/>
    <n v="2.8352842809364547"/>
    <n v="665"/>
    <n v="3391"/>
    <n v="73"/>
    <x v="1"/>
    <x v="5"/>
    <x v="84"/>
    <x v="0"/>
  </r>
  <r>
    <x v="1555"/>
    <x v="1"/>
    <n v="8"/>
    <x v="259"/>
    <s v="15-03-2016"/>
    <x v="1"/>
    <x v="14"/>
    <x v="14"/>
    <x v="1"/>
    <n v="1"/>
    <x v="14"/>
    <s v="IL"/>
    <s v="16-03-2016"/>
    <n v="843"/>
    <n v="275"/>
    <n v="32.621589561091341"/>
    <n v="0.71767497034400951"/>
    <n v="605"/>
    <n v="1.3440094899169632"/>
    <n v="528"/>
    <n v="1133"/>
    <n v="78"/>
    <x v="1"/>
    <x v="4"/>
    <x v="84"/>
    <x v="0"/>
  </r>
  <r>
    <x v="1556"/>
    <x v="1"/>
    <n v="5"/>
    <x v="75"/>
    <s v="15-04-2016"/>
    <x v="0"/>
    <x v="2"/>
    <x v="2"/>
    <x v="1"/>
    <n v="1"/>
    <x v="2"/>
    <s v="IL"/>
    <s v="16-04-2016"/>
    <n v="599"/>
    <n v="485"/>
    <n v="80.968280467445737"/>
    <n v="1.2287145242070117"/>
    <n v="736"/>
    <n v="2.377295492487479"/>
    <n v="688"/>
    <n v="1424"/>
    <n v="98"/>
    <x v="1"/>
    <x v="1"/>
    <x v="84"/>
    <x v="0"/>
  </r>
  <r>
    <x v="1557"/>
    <x v="0"/>
    <n v="8"/>
    <x v="270"/>
    <s v="22-03-2016"/>
    <x v="1"/>
    <x v="19"/>
    <x v="19"/>
    <x v="0"/>
    <n v="1"/>
    <x v="19"/>
    <s v="WI"/>
    <s v="23-03-2016"/>
    <n v="614"/>
    <n v="430"/>
    <n v="70.032573289902274"/>
    <n v="0.10097719869706841"/>
    <n v="62"/>
    <n v="1.0390879478827362"/>
    <n v="576"/>
    <n v="638"/>
    <n v="76"/>
    <x v="1"/>
    <x v="6"/>
    <x v="84"/>
    <x v="0"/>
  </r>
  <r>
    <x v="1558"/>
    <x v="1"/>
    <n v="7"/>
    <x v="211"/>
    <s v="31-05-2016"/>
    <x v="7"/>
    <x v="8"/>
    <x v="8"/>
    <x v="3"/>
    <n v="1"/>
    <x v="8"/>
    <s v="OH"/>
    <s v="01-06-2016"/>
    <n v="269"/>
    <n v="269"/>
    <n v="100"/>
    <n v="22.531598513011151"/>
    <n v="6061"/>
    <n v="24.386617100371748"/>
    <n v="499"/>
    <n v="6560"/>
    <n v="54"/>
    <x v="1"/>
    <x v="7"/>
    <x v="84"/>
    <x v="0"/>
  </r>
  <r>
    <x v="1559"/>
    <x v="1"/>
    <n v="7"/>
    <x v="78"/>
    <s v="20-01-2016"/>
    <x v="4"/>
    <x v="5"/>
    <x v="5"/>
    <x v="3"/>
    <n v="1"/>
    <x v="5"/>
    <s v="IA"/>
    <s v="21-01-2016"/>
    <n v="585"/>
    <n v="251"/>
    <n v="42.905982905982903"/>
    <n v="9.552136752136752"/>
    <n v="5588"/>
    <n v="10.733333333333333"/>
    <n v="691"/>
    <n v="6279"/>
    <n v="56"/>
    <x v="1"/>
    <x v="4"/>
    <x v="84"/>
    <x v="0"/>
  </r>
  <r>
    <x v="1560"/>
    <x v="0"/>
    <n v="7"/>
    <x v="142"/>
    <s v="22-06-2016"/>
    <x v="6"/>
    <x v="4"/>
    <x v="4"/>
    <x v="2"/>
    <n v="1"/>
    <x v="4"/>
    <s v="MI"/>
    <s v="23-06-2016"/>
    <n v="925"/>
    <n v="293"/>
    <n v="31.675675675675674"/>
    <n v="5.6929729729729726"/>
    <n v="5266"/>
    <n v="6.5394594594594597"/>
    <n v="783"/>
    <n v="6049"/>
    <n v="78"/>
    <x v="1"/>
    <x v="7"/>
    <x v="84"/>
    <x v="0"/>
  </r>
  <r>
    <x v="1561"/>
    <x v="0"/>
    <n v="8"/>
    <x v="99"/>
    <s v="26-03-2016"/>
    <x v="1"/>
    <x v="11"/>
    <x v="11"/>
    <x v="2"/>
    <n v="1"/>
    <x v="11"/>
    <s v="MI"/>
    <s v="27-03-2016"/>
    <n v="747"/>
    <n v="664"/>
    <n v="88.888888888888886"/>
    <n v="3.7764390896921016"/>
    <n v="2821"/>
    <n v="5.0682730923694779"/>
    <n v="965"/>
    <n v="3786"/>
    <n v="59"/>
    <x v="1"/>
    <x v="0"/>
    <x v="84"/>
    <x v="0"/>
  </r>
  <r>
    <x v="1562"/>
    <x v="1"/>
    <n v="6"/>
    <x v="82"/>
    <s v="17-06-2016"/>
    <x v="6"/>
    <x v="12"/>
    <x v="12"/>
    <x v="3"/>
    <n v="1"/>
    <x v="12"/>
    <s v="MI"/>
    <s v="18-06-2016"/>
    <n v="293"/>
    <n v="293"/>
    <n v="100"/>
    <n v="19.139931740614333"/>
    <n v="5608"/>
    <n v="20.477815699658702"/>
    <n v="392"/>
    <n v="6000"/>
    <n v="83"/>
    <x v="2"/>
    <x v="2"/>
    <x v="84"/>
    <x v="0"/>
  </r>
  <r>
    <x v="1563"/>
    <x v="1"/>
    <n v="5"/>
    <x v="169"/>
    <s v="11-03-2016"/>
    <x v="1"/>
    <x v="21"/>
    <x v="21"/>
    <x v="2"/>
    <n v="1"/>
    <x v="21"/>
    <s v="IL"/>
    <s v="12-03-2016"/>
    <n v="614"/>
    <n v="204"/>
    <n v="33.22475570032573"/>
    <n v="7.8013029315960916"/>
    <n v="4790"/>
    <n v="9.1368078175895757"/>
    <n v="820"/>
    <n v="5610"/>
    <n v="89"/>
    <x v="1"/>
    <x v="1"/>
    <x v="84"/>
    <x v="0"/>
  </r>
  <r>
    <x v="1564"/>
    <x v="0"/>
    <n v="5"/>
    <x v="312"/>
    <s v="25-07-2016"/>
    <x v="3"/>
    <x v="13"/>
    <x v="13"/>
    <x v="1"/>
    <n v="1"/>
    <x v="13"/>
    <s v="OH"/>
    <s v="26-07-2016"/>
    <n v="630"/>
    <n v="266"/>
    <n v="42.222222222222221"/>
    <n v="1.5555555555555556"/>
    <n v="980"/>
    <n v="2.2269841269841271"/>
    <n v="423"/>
    <n v="1403"/>
    <n v="57"/>
    <x v="1"/>
    <x v="1"/>
    <x v="84"/>
    <x v="0"/>
  </r>
  <r>
    <x v="1565"/>
    <x v="0"/>
    <n v="8"/>
    <x v="39"/>
    <s v="14-04-2016"/>
    <x v="0"/>
    <x v="3"/>
    <x v="3"/>
    <x v="2"/>
    <n v="1"/>
    <x v="3"/>
    <s v="IL"/>
    <s v="15-04-2016"/>
    <n v="716"/>
    <n v="716"/>
    <n v="100"/>
    <n v="3.227653631284916"/>
    <n v="2311"/>
    <n v="4.3351955307262573"/>
    <n v="793"/>
    <n v="3104"/>
    <n v="52"/>
    <x v="1"/>
    <x v="0"/>
    <x v="84"/>
    <x v="0"/>
  </r>
  <r>
    <x v="1566"/>
    <x v="1"/>
    <n v="8"/>
    <x v="272"/>
    <s v="03-06-2016"/>
    <x v="6"/>
    <x v="2"/>
    <x v="2"/>
    <x v="1"/>
    <n v="1"/>
    <x v="2"/>
    <s v="IL"/>
    <s v="04-06-2016"/>
    <n v="1131"/>
    <n v="682"/>
    <n v="60.300618921308583"/>
    <n v="6.6145004420866487"/>
    <n v="7481"/>
    <n v="7.4580017683465956"/>
    <n v="954"/>
    <n v="8435"/>
    <n v="57"/>
    <x v="1"/>
    <x v="3"/>
    <x v="84"/>
    <x v="0"/>
  </r>
  <r>
    <x v="1567"/>
    <x v="1"/>
    <n v="7"/>
    <x v="273"/>
    <s v="16-03-2016"/>
    <x v="1"/>
    <x v="11"/>
    <x v="11"/>
    <x v="2"/>
    <n v="1"/>
    <x v="11"/>
    <s v="MI"/>
    <s v="17-03-2016"/>
    <n v="495"/>
    <n v="243"/>
    <n v="49.090909090909093"/>
    <n v="11.242424242424242"/>
    <n v="5565"/>
    <n v="13.252525252525253"/>
    <n v="995"/>
    <n v="6560"/>
    <n v="91"/>
    <x v="2"/>
    <x v="5"/>
    <x v="84"/>
    <x v="0"/>
  </r>
  <r>
    <x v="1568"/>
    <x v="0"/>
    <n v="4"/>
    <x v="290"/>
    <s v="16-08-2016"/>
    <x v="5"/>
    <x v="20"/>
    <x v="20"/>
    <x v="1"/>
    <n v="1"/>
    <x v="20"/>
    <s v="IL"/>
    <s v="17-08-2016"/>
    <n v="711"/>
    <n v="630"/>
    <n v="88.60759493670885"/>
    <n v="4.7172995780590714"/>
    <n v="3354"/>
    <n v="1.79887482419128"/>
    <n v="-2075"/>
    <n v="1279"/>
    <n v="96"/>
    <x v="1"/>
    <x v="1"/>
    <x v="84"/>
    <x v="0"/>
  </r>
  <r>
    <x v="1569"/>
    <x v="1"/>
    <n v="6"/>
    <x v="4"/>
    <s v="09-05-2016"/>
    <x v="7"/>
    <x v="10"/>
    <x v="10"/>
    <x v="1"/>
    <n v="1"/>
    <x v="10"/>
    <s v="IL"/>
    <s v="10-05-2016"/>
    <n v="320"/>
    <n v="320"/>
    <n v="100"/>
    <n v="11.4"/>
    <n v="3648"/>
    <n v="14.346875000000001"/>
    <n v="943"/>
    <n v="4591"/>
    <n v="98"/>
    <x v="1"/>
    <x v="0"/>
    <x v="84"/>
    <x v="0"/>
  </r>
  <r>
    <x v="1570"/>
    <x v="0"/>
    <n v="6"/>
    <x v="158"/>
    <s v="29-03-2016"/>
    <x v="1"/>
    <x v="21"/>
    <x v="21"/>
    <x v="2"/>
    <n v="1"/>
    <x v="21"/>
    <s v="IL"/>
    <s v="30-03-2016"/>
    <n v="293"/>
    <n v="293"/>
    <n v="100"/>
    <n v="13.058020477815699"/>
    <n v="3826"/>
    <n v="14.73037542662116"/>
    <n v="490"/>
    <n v="4316"/>
    <n v="92"/>
    <x v="1"/>
    <x v="4"/>
    <x v="84"/>
    <x v="0"/>
  </r>
  <r>
    <x v="1571"/>
    <x v="0"/>
    <n v="6"/>
    <x v="267"/>
    <s v="01-01-2016"/>
    <x v="4"/>
    <x v="18"/>
    <x v="18"/>
    <x v="1"/>
    <n v="1"/>
    <x v="18"/>
    <s v="IN"/>
    <s v="02-01-2016"/>
    <n v="224"/>
    <n v="224"/>
    <n v="100"/>
    <n v="37.950892857142854"/>
    <n v="8501"/>
    <n v="39.915178571428569"/>
    <n v="440"/>
    <n v="8941"/>
    <n v="65"/>
    <x v="1"/>
    <x v="1"/>
    <x v="84"/>
    <x v="0"/>
  </r>
  <r>
    <x v="1572"/>
    <x v="0"/>
    <n v="7"/>
    <x v="104"/>
    <s v="04-02-2016"/>
    <x v="2"/>
    <x v="7"/>
    <x v="7"/>
    <x v="5"/>
    <n v="1"/>
    <x v="7"/>
    <s v="WI"/>
    <s v="05-02-2016"/>
    <n v="322"/>
    <n v="315"/>
    <n v="97.826086956521735"/>
    <n v="10.779503105590063"/>
    <n v="3471"/>
    <n v="12.24223602484472"/>
    <n v="471"/>
    <n v="3942"/>
    <n v="96"/>
    <x v="1"/>
    <x v="3"/>
    <x v="84"/>
    <x v="0"/>
  </r>
  <r>
    <x v="1573"/>
    <x v="1"/>
    <n v="4"/>
    <x v="240"/>
    <s v="15-06-2016"/>
    <x v="6"/>
    <x v="0"/>
    <x v="0"/>
    <x v="0"/>
    <n v="1"/>
    <x v="0"/>
    <s v="MI"/>
    <s v="16-06-2016"/>
    <n v="500"/>
    <n v="500"/>
    <n v="100"/>
    <n v="14.178000000000001"/>
    <n v="7089"/>
    <n v="9.9640000000000004"/>
    <n v="-2107"/>
    <n v="4982"/>
    <n v="65"/>
    <x v="1"/>
    <x v="8"/>
    <x v="84"/>
    <x v="0"/>
  </r>
  <r>
    <x v="1574"/>
    <x v="0"/>
    <n v="5"/>
    <x v="218"/>
    <s v="20-08-2016"/>
    <x v="5"/>
    <x v="4"/>
    <x v="4"/>
    <x v="2"/>
    <n v="1"/>
    <x v="4"/>
    <s v="MI"/>
    <s v="21-08-2016"/>
    <n v="535"/>
    <n v="246"/>
    <n v="45.981308411214954"/>
    <n v="11.842990654205607"/>
    <n v="6336"/>
    <n v="13.037383177570094"/>
    <n v="639"/>
    <n v="6975"/>
    <n v="57"/>
    <x v="1"/>
    <x v="8"/>
    <x v="84"/>
    <x v="0"/>
  </r>
  <r>
    <x v="1575"/>
    <x v="0"/>
    <n v="8"/>
    <x v="144"/>
    <s v="21-04-2016"/>
    <x v="0"/>
    <x v="18"/>
    <x v="18"/>
    <x v="1"/>
    <n v="1"/>
    <x v="18"/>
    <s v="IN"/>
    <s v="22-04-2016"/>
    <n v="648"/>
    <n v="417"/>
    <n v="64.351851851851848"/>
    <n v="9.682098765432098"/>
    <n v="6274"/>
    <n v="10.390432098765432"/>
    <n v="459"/>
    <n v="6733"/>
    <n v="81"/>
    <x v="1"/>
    <x v="1"/>
    <x v="84"/>
    <x v="0"/>
  </r>
  <r>
    <x v="1576"/>
    <x v="0"/>
    <n v="7"/>
    <x v="234"/>
    <s v="05-01-2016"/>
    <x v="4"/>
    <x v="1"/>
    <x v="1"/>
    <x v="1"/>
    <n v="1"/>
    <x v="1"/>
    <s v="WI"/>
    <s v="06-01-2016"/>
    <n v="868"/>
    <n v="335"/>
    <n v="38.594470046082954"/>
    <n v="6.0990783410138247"/>
    <n v="5294"/>
    <n v="6.4216589861751148"/>
    <n v="280"/>
    <n v="5574"/>
    <n v="79"/>
    <x v="1"/>
    <x v="1"/>
    <x v="84"/>
    <x v="0"/>
  </r>
  <r>
    <x v="1577"/>
    <x v="1"/>
    <n v="4"/>
    <x v="219"/>
    <s v="22-04-2016"/>
    <x v="0"/>
    <x v="9"/>
    <x v="9"/>
    <x v="3"/>
    <n v="1"/>
    <x v="9"/>
    <s v="IN"/>
    <s v="23-04-2016"/>
    <n v="451"/>
    <n v="451"/>
    <n v="100"/>
    <n v="19.31929046563193"/>
    <n v="8713"/>
    <n v="13.93569844789357"/>
    <n v="-2428"/>
    <n v="6285"/>
    <n v="61"/>
    <x v="1"/>
    <x v="7"/>
    <x v="84"/>
    <x v="0"/>
  </r>
  <r>
    <x v="1578"/>
    <x v="0"/>
    <n v="5"/>
    <x v="7"/>
    <s v="13-06-2016"/>
    <x v="6"/>
    <x v="21"/>
    <x v="21"/>
    <x v="2"/>
    <n v="1"/>
    <x v="21"/>
    <s v="IL"/>
    <s v="14-06-2016"/>
    <n v="660"/>
    <n v="418"/>
    <n v="63.333333333333329"/>
    <n v="3.9651515151515153"/>
    <n v="2617"/>
    <n v="5.2045454545454541"/>
    <n v="818"/>
    <n v="3435"/>
    <n v="54"/>
    <x v="1"/>
    <x v="2"/>
    <x v="84"/>
    <x v="0"/>
  </r>
  <r>
    <x v="1579"/>
    <x v="1"/>
    <n v="6"/>
    <x v="90"/>
    <s v="05-08-2016"/>
    <x v="5"/>
    <x v="8"/>
    <x v="8"/>
    <x v="3"/>
    <n v="1"/>
    <x v="8"/>
    <s v="OH"/>
    <s v="06-08-2016"/>
    <n v="326"/>
    <n v="326"/>
    <n v="100"/>
    <n v="22.886503067484664"/>
    <n v="7461"/>
    <n v="24.331288343558281"/>
    <n v="471"/>
    <n v="7932"/>
    <n v="65"/>
    <x v="2"/>
    <x v="2"/>
    <x v="84"/>
    <x v="0"/>
  </r>
  <r>
    <x v="1580"/>
    <x v="1"/>
    <n v="6"/>
    <x v="161"/>
    <s v="04-01-2016"/>
    <x v="4"/>
    <x v="5"/>
    <x v="5"/>
    <x v="3"/>
    <n v="1"/>
    <x v="5"/>
    <s v="IA"/>
    <s v="05-01-2016"/>
    <n v="1099"/>
    <n v="690"/>
    <n v="62.784349408553233"/>
    <n v="7.5122838944494994"/>
    <n v="8256"/>
    <n v="7.9062784349408552"/>
    <n v="433"/>
    <n v="8689"/>
    <n v="58"/>
    <x v="1"/>
    <x v="4"/>
    <x v="84"/>
    <x v="0"/>
  </r>
  <r>
    <x v="1581"/>
    <x v="1"/>
    <n v="8"/>
    <x v="315"/>
    <s v="09-06-2016"/>
    <x v="6"/>
    <x v="13"/>
    <x v="13"/>
    <x v="1"/>
    <n v="1"/>
    <x v="13"/>
    <s v="OH"/>
    <s v="10-06-2016"/>
    <n v="596"/>
    <n v="559"/>
    <n v="93.791946308724832"/>
    <n v="6.4781879194630871"/>
    <n v="3861"/>
    <n v="6.7953020134228188"/>
    <n v="189"/>
    <n v="4050"/>
    <n v="64"/>
    <x v="1"/>
    <x v="8"/>
    <x v="84"/>
    <x v="0"/>
  </r>
  <r>
    <x v="1582"/>
    <x v="1"/>
    <n v="8"/>
    <x v="8"/>
    <s v="09-06-2016"/>
    <x v="6"/>
    <x v="20"/>
    <x v="20"/>
    <x v="1"/>
    <n v="1"/>
    <x v="20"/>
    <s v="IL"/>
    <s v="10-06-2016"/>
    <n v="757"/>
    <n v="251"/>
    <n v="33.157199471598418"/>
    <n v="0.81241743725231175"/>
    <n v="615"/>
    <n v="1.3328929986789961"/>
    <n v="394"/>
    <n v="1009"/>
    <n v="94"/>
    <x v="1"/>
    <x v="7"/>
    <x v="84"/>
    <x v="0"/>
  </r>
  <r>
    <x v="1583"/>
    <x v="1"/>
    <n v="5"/>
    <x v="262"/>
    <s v="23-01-2016"/>
    <x v="4"/>
    <x v="2"/>
    <x v="2"/>
    <x v="1"/>
    <n v="1"/>
    <x v="2"/>
    <s v="IL"/>
    <s v="24-01-2016"/>
    <n v="528"/>
    <n v="409"/>
    <n v="77.462121212121218"/>
    <n v="11.253787878787879"/>
    <n v="5942"/>
    <n v="12.839015151515152"/>
    <n v="837"/>
    <n v="6779"/>
    <n v="83"/>
    <x v="1"/>
    <x v="0"/>
    <x v="84"/>
    <x v="0"/>
  </r>
  <r>
    <x v="1584"/>
    <x v="1"/>
    <n v="6"/>
    <x v="9"/>
    <s v="23-05-2016"/>
    <x v="7"/>
    <x v="19"/>
    <x v="19"/>
    <x v="0"/>
    <n v="1"/>
    <x v="19"/>
    <s v="WI"/>
    <s v="24-05-2016"/>
    <n v="1056"/>
    <n v="738"/>
    <n v="69.88636363636364"/>
    <n v="2.53125"/>
    <n v="2673"/>
    <n v="2.78125"/>
    <n v="264"/>
    <n v="2937"/>
    <n v="66"/>
    <x v="1"/>
    <x v="0"/>
    <x v="84"/>
    <x v="0"/>
  </r>
  <r>
    <x v="1585"/>
    <x v="1"/>
    <n v="6"/>
    <x v="72"/>
    <s v="01-04-2016"/>
    <x v="0"/>
    <x v="1"/>
    <x v="1"/>
    <x v="1"/>
    <n v="1"/>
    <x v="1"/>
    <s v="WI"/>
    <s v="02-04-2016"/>
    <n v="477"/>
    <n v="234"/>
    <n v="49.056603773584904"/>
    <n v="14.578616352201259"/>
    <n v="6954"/>
    <n v="14.916142557651991"/>
    <n v="161"/>
    <n v="7115"/>
    <n v="87"/>
    <x v="1"/>
    <x v="2"/>
    <x v="84"/>
    <x v="0"/>
  </r>
  <r>
    <x v="1586"/>
    <x v="0"/>
    <n v="4"/>
    <x v="237"/>
    <s v="20-05-2016"/>
    <x v="7"/>
    <x v="20"/>
    <x v="20"/>
    <x v="1"/>
    <n v="1"/>
    <x v="20"/>
    <s v="IL"/>
    <s v="21-05-2016"/>
    <n v="683"/>
    <n v="486"/>
    <n v="71.15666178623718"/>
    <n v="5.5812591508052707"/>
    <n v="3812"/>
    <n v="2.2445095168374816"/>
    <n v="-2279"/>
    <n v="1533"/>
    <n v="51"/>
    <x v="1"/>
    <x v="4"/>
    <x v="84"/>
    <x v="0"/>
  </r>
  <r>
    <x v="1587"/>
    <x v="0"/>
    <n v="5"/>
    <x v="173"/>
    <s v="10-01-2016"/>
    <x v="4"/>
    <x v="7"/>
    <x v="7"/>
    <x v="5"/>
    <n v="1"/>
    <x v="7"/>
    <s v="WI"/>
    <s v="11-01-2016"/>
    <n v="675"/>
    <n v="675"/>
    <n v="100"/>
    <n v="3.9659259259259261"/>
    <n v="2677"/>
    <n v="5.4355555555555553"/>
    <n v="992"/>
    <n v="3669"/>
    <n v="77"/>
    <x v="1"/>
    <x v="2"/>
    <x v="84"/>
    <x v="0"/>
  </r>
  <r>
    <x v="1588"/>
    <x v="1"/>
    <n v="4"/>
    <x v="207"/>
    <s v="07-03-2016"/>
    <x v="1"/>
    <x v="15"/>
    <x v="15"/>
    <x v="4"/>
    <n v="1"/>
    <x v="15"/>
    <s v="IL"/>
    <s v="08-03-2016"/>
    <n v="349"/>
    <n v="349"/>
    <n v="100"/>
    <n v="19.008595988538683"/>
    <n v="6634"/>
    <n v="14.117478510028654"/>
    <n v="-1707"/>
    <n v="4927"/>
    <n v="65"/>
    <x v="1"/>
    <x v="8"/>
    <x v="84"/>
    <x v="0"/>
  </r>
  <r>
    <x v="1589"/>
    <x v="1"/>
    <n v="8"/>
    <x v="55"/>
    <s v="23-02-2016"/>
    <x v="2"/>
    <x v="16"/>
    <x v="16"/>
    <x v="4"/>
    <n v="1"/>
    <x v="16"/>
    <s v="MI"/>
    <s v="24-02-2016"/>
    <n v="1190"/>
    <n v="713"/>
    <n v="59.915966386554622"/>
    <n v="4.4932773109243698"/>
    <n v="5347"/>
    <n v="5.1252100840336139"/>
    <n v="752"/>
    <n v="6099"/>
    <n v="77"/>
    <x v="1"/>
    <x v="4"/>
    <x v="84"/>
    <x v="0"/>
  </r>
  <r>
    <x v="1590"/>
    <x v="1"/>
    <n v="8"/>
    <x v="276"/>
    <s v="25-01-2016"/>
    <x v="4"/>
    <x v="5"/>
    <x v="5"/>
    <x v="3"/>
    <n v="1"/>
    <x v="5"/>
    <s v="IA"/>
    <s v="26-01-2016"/>
    <n v="1036"/>
    <n v="476"/>
    <n v="45.945945945945951"/>
    <n v="1.9044401544401544"/>
    <n v="1973"/>
    <n v="2.4806949806949805"/>
    <n v="597"/>
    <n v="2570"/>
    <n v="77"/>
    <x v="1"/>
    <x v="3"/>
    <x v="84"/>
    <x v="0"/>
  </r>
  <r>
    <x v="1591"/>
    <x v="1"/>
    <n v="4"/>
    <x v="222"/>
    <s v="17-03-2016"/>
    <x v="1"/>
    <x v="12"/>
    <x v="12"/>
    <x v="3"/>
    <n v="1"/>
    <x v="12"/>
    <s v="MI"/>
    <s v="18-03-2016"/>
    <n v="758"/>
    <n v="392"/>
    <n v="51.715039577836407"/>
    <n v="2.6002638522427439"/>
    <n v="1971"/>
    <n v="0.38390501319261211"/>
    <n v="-1680"/>
    <n v="291"/>
    <n v="99"/>
    <x v="2"/>
    <x v="9"/>
    <x v="84"/>
    <x v="0"/>
  </r>
  <r>
    <x v="1592"/>
    <x v="0"/>
    <n v="6"/>
    <x v="270"/>
    <s v="05-06-2016"/>
    <x v="6"/>
    <x v="7"/>
    <x v="7"/>
    <x v="5"/>
    <n v="1"/>
    <x v="7"/>
    <s v="WI"/>
    <s v="06-06-2016"/>
    <n v="980"/>
    <n v="296"/>
    <n v="30.204081632653061"/>
    <n v="0.86326530612244901"/>
    <n v="846"/>
    <n v="1.5081632653061225"/>
    <n v="632"/>
    <n v="1478"/>
    <n v="57"/>
    <x v="1"/>
    <x v="7"/>
    <x v="84"/>
    <x v="0"/>
  </r>
  <r>
    <x v="1593"/>
    <x v="1"/>
    <n v="7"/>
    <x v="320"/>
    <s v="02-08-2016"/>
    <x v="5"/>
    <x v="17"/>
    <x v="17"/>
    <x v="3"/>
    <n v="1"/>
    <x v="17"/>
    <s v="OH"/>
    <s v="03-08-2016"/>
    <n v="749"/>
    <n v="739"/>
    <n v="98.6648865153538"/>
    <n v="4.7850467289719623"/>
    <n v="3584"/>
    <n v="5.548731642189586"/>
    <n v="572"/>
    <n v="4156"/>
    <n v="84"/>
    <x v="1"/>
    <x v="5"/>
    <x v="84"/>
    <x v="0"/>
  </r>
  <r>
    <x v="1594"/>
    <x v="1"/>
    <n v="5"/>
    <x v="110"/>
    <s v="04-06-2016"/>
    <x v="6"/>
    <x v="3"/>
    <x v="3"/>
    <x v="2"/>
    <n v="1"/>
    <x v="3"/>
    <s v="IL"/>
    <s v="05-06-2016"/>
    <n v="1151"/>
    <n v="772"/>
    <n v="67.07211120764552"/>
    <n v="4.1650738488271069"/>
    <n v="4794"/>
    <n v="4.8748913987836664"/>
    <n v="817"/>
    <n v="5611"/>
    <n v="98"/>
    <x v="1"/>
    <x v="9"/>
    <x v="84"/>
    <x v="0"/>
  </r>
  <r>
    <x v="1595"/>
    <x v="0"/>
    <n v="6"/>
    <x v="13"/>
    <s v="01-01-2016"/>
    <x v="4"/>
    <x v="4"/>
    <x v="4"/>
    <x v="2"/>
    <n v="1"/>
    <x v="4"/>
    <s v="MI"/>
    <s v="02-01-2016"/>
    <n v="983"/>
    <n v="231"/>
    <n v="23.499491353001016"/>
    <n v="1.2604272634791456"/>
    <n v="1239"/>
    <n v="1.7497456765005086"/>
    <n v="481"/>
    <n v="1720"/>
    <n v="73"/>
    <x v="1"/>
    <x v="6"/>
    <x v="84"/>
    <x v="0"/>
  </r>
  <r>
    <x v="1596"/>
    <x v="0"/>
    <n v="6"/>
    <x v="111"/>
    <s v="04-06-2016"/>
    <x v="6"/>
    <x v="21"/>
    <x v="21"/>
    <x v="2"/>
    <n v="1"/>
    <x v="21"/>
    <s v="IL"/>
    <s v="05-06-2016"/>
    <n v="757"/>
    <n v="690"/>
    <n v="91.149273447820349"/>
    <n v="6.7490092470277414"/>
    <n v="5109"/>
    <n v="7.5706737120211365"/>
    <n v="622"/>
    <n v="5731"/>
    <n v="52"/>
    <x v="1"/>
    <x v="5"/>
    <x v="84"/>
    <x v="0"/>
  </r>
  <r>
    <x v="1597"/>
    <x v="1"/>
    <n v="5"/>
    <x v="163"/>
    <s v="26-06-2016"/>
    <x v="6"/>
    <x v="5"/>
    <x v="5"/>
    <x v="3"/>
    <n v="1"/>
    <x v="5"/>
    <s v="IA"/>
    <s v="27-06-2016"/>
    <n v="372"/>
    <n v="372"/>
    <n v="100"/>
    <n v="17.572580645161292"/>
    <n v="6537"/>
    <n v="18.287634408602152"/>
    <n v="266"/>
    <n v="6803"/>
    <n v="72"/>
    <x v="1"/>
    <x v="6"/>
    <x v="84"/>
    <x v="0"/>
  </r>
  <r>
    <x v="1598"/>
    <x v="0"/>
    <n v="6"/>
    <x v="178"/>
    <s v="12-04-2016"/>
    <x v="0"/>
    <x v="13"/>
    <x v="13"/>
    <x v="1"/>
    <n v="1"/>
    <x v="13"/>
    <s v="OH"/>
    <s v="12-04-2016"/>
    <n v="714"/>
    <n v="714"/>
    <n v="100"/>
    <n v="2.8459383753501402"/>
    <n v="2032"/>
    <n v="4.1680672268907566"/>
    <n v="944"/>
    <n v="2976"/>
    <n v="59"/>
    <x v="1"/>
    <x v="8"/>
    <x v="85"/>
    <x v="1"/>
  </r>
  <r>
    <x v="1599"/>
    <x v="1"/>
    <n v="6"/>
    <x v="59"/>
    <s v="26-07-2016"/>
    <x v="3"/>
    <x v="7"/>
    <x v="7"/>
    <x v="5"/>
    <n v="1"/>
    <x v="7"/>
    <s v="WI"/>
    <s v="27-07-2016"/>
    <n v="1052"/>
    <n v="800"/>
    <n v="76.045627376425855"/>
    <n v="7.2737642585551328"/>
    <n v="7652"/>
    <n v="7.9667300380228134"/>
    <n v="729"/>
    <n v="8381"/>
    <n v="55"/>
    <x v="1"/>
    <x v="8"/>
    <x v="84"/>
    <x v="0"/>
  </r>
  <r>
    <x v="1600"/>
    <x v="1"/>
    <n v="5"/>
    <x v="60"/>
    <s v="24-03-2016"/>
    <x v="1"/>
    <x v="3"/>
    <x v="3"/>
    <x v="2"/>
    <n v="1"/>
    <x v="3"/>
    <s v="IL"/>
    <s v="25-03-2016"/>
    <n v="620"/>
    <n v="620"/>
    <n v="100"/>
    <n v="1.2451612903225806"/>
    <n v="772"/>
    <n v="1.9467741935483871"/>
    <n v="435"/>
    <n v="1207"/>
    <n v="68"/>
    <x v="1"/>
    <x v="8"/>
    <x v="84"/>
    <x v="0"/>
  </r>
  <r>
    <x v="1601"/>
    <x v="0"/>
    <n v="6"/>
    <x v="167"/>
    <s v="14-07-2016"/>
    <x v="3"/>
    <x v="4"/>
    <x v="4"/>
    <x v="2"/>
    <n v="1"/>
    <x v="4"/>
    <s v="MI"/>
    <s v="15-07-2016"/>
    <n v="753"/>
    <n v="281"/>
    <n v="37.317397078353252"/>
    <n v="6.9601593625498008"/>
    <n v="5241"/>
    <n v="7.381142098273572"/>
    <n v="317"/>
    <n v="5558"/>
    <n v="79"/>
    <x v="2"/>
    <x v="3"/>
    <x v="84"/>
    <x v="0"/>
  </r>
  <r>
    <x v="1602"/>
    <x v="1"/>
    <n v="8"/>
    <x v="15"/>
    <s v="09-05-2016"/>
    <x v="7"/>
    <x v="16"/>
    <x v="16"/>
    <x v="4"/>
    <n v="1"/>
    <x v="16"/>
    <s v="MI"/>
    <s v="10-05-2016"/>
    <n v="1020"/>
    <n v="643"/>
    <n v="63.03921568627451"/>
    <n v="2.3078431372549018"/>
    <n v="2354"/>
    <n v="3.1921568627450982"/>
    <n v="902"/>
    <n v="3256"/>
    <n v="62"/>
    <x v="1"/>
    <x v="7"/>
    <x v="84"/>
    <x v="0"/>
  </r>
  <r>
    <x v="1603"/>
    <x v="1"/>
    <n v="6"/>
    <x v="227"/>
    <s v="07-05-2016"/>
    <x v="7"/>
    <x v="5"/>
    <x v="5"/>
    <x v="3"/>
    <n v="1"/>
    <x v="5"/>
    <s v="IA"/>
    <s v="08-05-2016"/>
    <n v="806"/>
    <n v="326"/>
    <n v="40.446650124069478"/>
    <n v="0.19975186104218362"/>
    <n v="161"/>
    <n v="0.91315136476426795"/>
    <n v="575"/>
    <n v="736"/>
    <n v="72"/>
    <x v="1"/>
    <x v="0"/>
    <x v="84"/>
    <x v="0"/>
  </r>
  <r>
    <x v="1604"/>
    <x v="1"/>
    <n v="5"/>
    <x v="113"/>
    <s v="27-01-2016"/>
    <x v="4"/>
    <x v="7"/>
    <x v="7"/>
    <x v="5"/>
    <n v="1"/>
    <x v="7"/>
    <s v="WI"/>
    <s v="28-01-2016"/>
    <n v="1003"/>
    <n v="621"/>
    <n v="61.914257228315051"/>
    <n v="7.1625124626121632"/>
    <n v="7184"/>
    <n v="7.9641076769690926"/>
    <n v="804"/>
    <n v="7988"/>
    <n v="51"/>
    <x v="1"/>
    <x v="4"/>
    <x v="84"/>
    <x v="0"/>
  </r>
  <r>
    <x v="1605"/>
    <x v="1"/>
    <n v="5"/>
    <x v="99"/>
    <s v="24-08-2016"/>
    <x v="5"/>
    <x v="9"/>
    <x v="9"/>
    <x v="3"/>
    <n v="1"/>
    <x v="9"/>
    <s v="IN"/>
    <s v="25-08-2016"/>
    <n v="1095"/>
    <n v="251"/>
    <n v="22.922374429223744"/>
    <n v="3.8164383561643835"/>
    <n v="4179"/>
    <n v="4.666666666666667"/>
    <n v="931"/>
    <n v="5110"/>
    <n v="96"/>
    <x v="2"/>
    <x v="3"/>
    <x v="84"/>
    <x v="0"/>
  </r>
  <r>
    <x v="1606"/>
    <x v="1"/>
    <n v="6"/>
    <x v="81"/>
    <s v="04-08-2016"/>
    <x v="5"/>
    <x v="23"/>
    <x v="23"/>
    <x v="1"/>
    <n v="1"/>
    <x v="23"/>
    <s v="WI"/>
    <s v="05-08-2016"/>
    <n v="1163"/>
    <n v="498"/>
    <n v="42.820292347377467"/>
    <n v="6.1263972484952705"/>
    <n v="7125"/>
    <n v="6.5442820292347381"/>
    <n v="486"/>
    <n v="7611"/>
    <n v="70"/>
    <x v="1"/>
    <x v="2"/>
    <x v="84"/>
    <x v="0"/>
  </r>
  <r>
    <x v="1607"/>
    <x v="0"/>
    <n v="8"/>
    <x v="0"/>
    <s v="05-03-2016"/>
    <x v="1"/>
    <x v="16"/>
    <x v="16"/>
    <x v="4"/>
    <n v="1"/>
    <x v="16"/>
    <s v="MI"/>
    <s v="06-03-2016"/>
    <n v="828"/>
    <n v="655"/>
    <n v="79.106280193236714"/>
    <n v="0.9408212560386473"/>
    <n v="779"/>
    <n v="1.4951690821256038"/>
    <n v="459"/>
    <n v="1238"/>
    <n v="96"/>
    <x v="1"/>
    <x v="3"/>
    <x v="84"/>
    <x v="0"/>
  </r>
  <r>
    <x v="1608"/>
    <x v="0"/>
    <n v="4"/>
    <x v="101"/>
    <s v="28-08-2016"/>
    <x v="5"/>
    <x v="6"/>
    <x v="6"/>
    <x v="4"/>
    <n v="1"/>
    <x v="6"/>
    <s v="IN"/>
    <s v="29-08-2016"/>
    <n v="446"/>
    <n v="446"/>
    <n v="100"/>
    <n v="19.502242152466369"/>
    <n v="8698"/>
    <n v="14.665919282511211"/>
    <n v="-2157"/>
    <n v="6541"/>
    <n v="59"/>
    <x v="1"/>
    <x v="1"/>
    <x v="84"/>
    <x v="0"/>
  </r>
  <r>
    <x v="1609"/>
    <x v="1"/>
    <n v="5"/>
    <x v="102"/>
    <s v="08-08-2016"/>
    <x v="5"/>
    <x v="12"/>
    <x v="12"/>
    <x v="3"/>
    <n v="1"/>
    <x v="12"/>
    <s v="MI"/>
    <s v="09-08-2016"/>
    <n v="840"/>
    <n v="508"/>
    <n v="60.476190476190474"/>
    <n v="4.4000000000000004"/>
    <n v="3696"/>
    <n v="5.1738095238095241"/>
    <n v="650"/>
    <n v="4346"/>
    <n v="78"/>
    <x v="2"/>
    <x v="5"/>
    <x v="84"/>
    <x v="0"/>
  </r>
  <r>
    <x v="1610"/>
    <x v="1"/>
    <n v="6"/>
    <x v="230"/>
    <s v="13-08-2016"/>
    <x v="5"/>
    <x v="19"/>
    <x v="19"/>
    <x v="0"/>
    <n v="1"/>
    <x v="19"/>
    <s v="WI"/>
    <s v="14-08-2016"/>
    <n v="1166"/>
    <n v="228"/>
    <n v="19.554030874785592"/>
    <n v="7.2504288164665525"/>
    <n v="8454"/>
    <n v="7.6269296740994852"/>
    <n v="439"/>
    <n v="8893"/>
    <n v="78"/>
    <x v="1"/>
    <x v="0"/>
    <x v="84"/>
    <x v="0"/>
  </r>
  <r>
    <x v="1611"/>
    <x v="0"/>
    <n v="8"/>
    <x v="130"/>
    <s v="10-08-2016"/>
    <x v="5"/>
    <x v="19"/>
    <x v="19"/>
    <x v="0"/>
    <n v="1"/>
    <x v="19"/>
    <s v="WI"/>
    <s v="11-08-2016"/>
    <n v="1155"/>
    <n v="257"/>
    <n v="22.251082251082252"/>
    <n v="6.5653679653679653"/>
    <n v="7583"/>
    <n v="7.2545454545454549"/>
    <n v="796"/>
    <n v="8379"/>
    <n v="80"/>
    <x v="1"/>
    <x v="7"/>
    <x v="84"/>
    <x v="0"/>
  </r>
  <r>
    <x v="1612"/>
    <x v="1"/>
    <n v="7"/>
    <x v="117"/>
    <s v="28-06-2016"/>
    <x v="6"/>
    <x v="23"/>
    <x v="23"/>
    <x v="1"/>
    <n v="1"/>
    <x v="23"/>
    <s v="WI"/>
    <s v="28-06-2016"/>
    <n v="903"/>
    <n v="282"/>
    <n v="31.229235880398669"/>
    <n v="8.1406423034330011"/>
    <n v="7351"/>
    <n v="9.1605758582502776"/>
    <n v="921"/>
    <n v="8272"/>
    <n v="51"/>
    <x v="1"/>
    <x v="4"/>
    <x v="85"/>
    <x v="1"/>
  </r>
  <r>
    <x v="1613"/>
    <x v="0"/>
    <n v="8"/>
    <x v="274"/>
    <s v="23-02-2016"/>
    <x v="2"/>
    <x v="12"/>
    <x v="12"/>
    <x v="3"/>
    <n v="1"/>
    <x v="12"/>
    <s v="MI"/>
    <s v="24-02-2016"/>
    <n v="873"/>
    <n v="384"/>
    <n v="43.986254295532646"/>
    <n v="8.4604810996563575"/>
    <n v="7386"/>
    <n v="8.853379152348225"/>
    <n v="343"/>
    <n v="7729"/>
    <n v="56"/>
    <x v="1"/>
    <x v="1"/>
    <x v="84"/>
    <x v="0"/>
  </r>
  <r>
    <x v="1614"/>
    <x v="0"/>
    <n v="8"/>
    <x v="65"/>
    <s v="17-07-2016"/>
    <x v="3"/>
    <x v="7"/>
    <x v="7"/>
    <x v="5"/>
    <n v="1"/>
    <x v="7"/>
    <s v="WI"/>
    <s v="18-07-2016"/>
    <n v="863"/>
    <n v="305"/>
    <n v="35.341830822711472"/>
    <n v="5.2178447276940902"/>
    <n v="4503"/>
    <n v="5.6419466975666284"/>
    <n v="366"/>
    <n v="4869"/>
    <n v="70"/>
    <x v="1"/>
    <x v="6"/>
    <x v="84"/>
    <x v="0"/>
  </r>
  <r>
    <x v="1615"/>
    <x v="1"/>
    <n v="6"/>
    <x v="68"/>
    <s v="23-08-2016"/>
    <x v="5"/>
    <x v="20"/>
    <x v="20"/>
    <x v="1"/>
    <n v="1"/>
    <x v="20"/>
    <s v="IL"/>
    <s v="24-08-2016"/>
    <n v="987"/>
    <n v="250"/>
    <n v="25.329280648429588"/>
    <n v="3.4984802431610942"/>
    <n v="3453"/>
    <n v="3.9128672745694022"/>
    <n v="409"/>
    <n v="3862"/>
    <n v="97"/>
    <x v="1"/>
    <x v="2"/>
    <x v="84"/>
    <x v="0"/>
  </r>
  <r>
    <x v="1616"/>
    <x v="0"/>
    <n v="7"/>
    <x v="105"/>
    <s v="04-05-2016"/>
    <x v="7"/>
    <x v="12"/>
    <x v="12"/>
    <x v="3"/>
    <n v="1"/>
    <x v="12"/>
    <s v="MI"/>
    <s v="05-05-2016"/>
    <n v="241"/>
    <n v="241"/>
    <n v="100"/>
    <n v="10.385892116182573"/>
    <n v="2503"/>
    <n v="12.937759336099585"/>
    <n v="615"/>
    <n v="3118"/>
    <n v="73"/>
    <x v="1"/>
    <x v="4"/>
    <x v="84"/>
    <x v="0"/>
  </r>
  <r>
    <x v="1617"/>
    <x v="0"/>
    <n v="8"/>
    <x v="131"/>
    <s v="12-02-2016"/>
    <x v="2"/>
    <x v="7"/>
    <x v="7"/>
    <x v="5"/>
    <n v="1"/>
    <x v="7"/>
    <s v="WI"/>
    <s v="13-02-2016"/>
    <n v="690"/>
    <n v="223"/>
    <n v="32.318840579710148"/>
    <n v="11.315942028985507"/>
    <n v="7808"/>
    <n v="12.321739130434782"/>
    <n v="694"/>
    <n v="8502"/>
    <n v="85"/>
    <x v="1"/>
    <x v="9"/>
    <x v="84"/>
    <x v="0"/>
  </r>
  <r>
    <x v="1618"/>
    <x v="1"/>
    <n v="4"/>
    <x v="88"/>
    <s v="27-08-2016"/>
    <x v="5"/>
    <x v="11"/>
    <x v="11"/>
    <x v="2"/>
    <n v="1"/>
    <x v="11"/>
    <s v="MI"/>
    <s v="28-08-2016"/>
    <n v="542"/>
    <n v="542"/>
    <n v="100"/>
    <n v="14.206642066420665"/>
    <n v="7700"/>
    <n v="11.708487084870848"/>
    <n v="-1354"/>
    <n v="6346"/>
    <n v="98"/>
    <x v="1"/>
    <x v="6"/>
    <x v="84"/>
    <x v="0"/>
  </r>
  <r>
    <x v="1619"/>
    <x v="1"/>
    <n v="4"/>
    <x v="69"/>
    <s v="03-01-2016"/>
    <x v="4"/>
    <x v="6"/>
    <x v="6"/>
    <x v="4"/>
    <n v="1"/>
    <x v="6"/>
    <s v="IN"/>
    <s v="04-01-2016"/>
    <n v="353"/>
    <n v="305"/>
    <n v="86.40226628895185"/>
    <n v="12.875354107648725"/>
    <n v="4545"/>
    <n v="8.8328611898016991"/>
    <n v="-1427"/>
    <n v="3118"/>
    <n v="59"/>
    <x v="1"/>
    <x v="3"/>
    <x v="84"/>
    <x v="0"/>
  </r>
  <r>
    <x v="1620"/>
    <x v="1"/>
    <n v="8"/>
    <x v="296"/>
    <s v="27-05-2016"/>
    <x v="7"/>
    <x v="15"/>
    <x v="15"/>
    <x v="4"/>
    <n v="1"/>
    <x v="15"/>
    <s v="IL"/>
    <s v="28-05-2016"/>
    <n v="1173"/>
    <n v="302"/>
    <n v="25.745950554134701"/>
    <n v="3.452685421994885"/>
    <n v="4050"/>
    <n v="4.1142369991474848"/>
    <n v="776"/>
    <n v="4826"/>
    <n v="72"/>
    <x v="1"/>
    <x v="3"/>
    <x v="84"/>
    <x v="0"/>
  </r>
  <r>
    <x v="1621"/>
    <x v="0"/>
    <n v="6"/>
    <x v="275"/>
    <s v="02-03-2016"/>
    <x v="1"/>
    <x v="22"/>
    <x v="22"/>
    <x v="0"/>
    <n v="1"/>
    <x v="22"/>
    <s v="IL"/>
    <s v="03-03-2016"/>
    <n v="315"/>
    <n v="315"/>
    <n v="100"/>
    <n v="15.961904761904762"/>
    <n v="5028"/>
    <n v="16.603174603174605"/>
    <n v="202"/>
    <n v="5230"/>
    <n v="97"/>
    <x v="1"/>
    <x v="8"/>
    <x v="84"/>
    <x v="0"/>
  </r>
  <r>
    <x v="1622"/>
    <x v="0"/>
    <n v="6"/>
    <x v="255"/>
    <s v="12-04-2016"/>
    <x v="0"/>
    <x v="23"/>
    <x v="23"/>
    <x v="1"/>
    <n v="1"/>
    <x v="23"/>
    <s v="WI"/>
    <s v="12-04-2016"/>
    <n v="254"/>
    <n v="254"/>
    <n v="100"/>
    <n v="25.885826771653544"/>
    <n v="6575"/>
    <n v="28.472440944881889"/>
    <n v="657"/>
    <n v="7232"/>
    <n v="91"/>
    <x v="1"/>
    <x v="8"/>
    <x v="85"/>
    <x v="1"/>
  </r>
  <r>
    <x v="1623"/>
    <x v="1"/>
    <n v="5"/>
    <x v="90"/>
    <s v="28-03-2016"/>
    <x v="1"/>
    <x v="4"/>
    <x v="4"/>
    <x v="2"/>
    <n v="1"/>
    <x v="4"/>
    <s v="MI"/>
    <s v="29-03-2016"/>
    <n v="679"/>
    <n v="522"/>
    <n v="76.877761413843899"/>
    <n v="3.2650957290132547"/>
    <n v="2217"/>
    <n v="4.4653902798232696"/>
    <n v="815"/>
    <n v="3032"/>
    <n v="90"/>
    <x v="1"/>
    <x v="2"/>
    <x v="84"/>
    <x v="0"/>
  </r>
  <r>
    <x v="1624"/>
    <x v="1"/>
    <n v="7"/>
    <x v="256"/>
    <s v="26-06-2016"/>
    <x v="6"/>
    <x v="3"/>
    <x v="3"/>
    <x v="2"/>
    <n v="1"/>
    <x v="3"/>
    <s v="IL"/>
    <s v="27-06-2016"/>
    <n v="793"/>
    <n v="674"/>
    <n v="84.9936948297604"/>
    <n v="2.5851197982345524"/>
    <n v="2050"/>
    <n v="3.5208070617906682"/>
    <n v="742"/>
    <n v="2792"/>
    <n v="83"/>
    <x v="1"/>
    <x v="5"/>
    <x v="84"/>
    <x v="0"/>
  </r>
  <r>
    <x v="1625"/>
    <x v="1"/>
    <n v="7"/>
    <x v="91"/>
    <s v="14-06-2016"/>
    <x v="6"/>
    <x v="9"/>
    <x v="9"/>
    <x v="3"/>
    <n v="1"/>
    <x v="9"/>
    <s v="IN"/>
    <s v="15-06-2016"/>
    <n v="533"/>
    <n v="370"/>
    <n v="69.418386491557229"/>
    <n v="2.1613508442776737"/>
    <n v="1152"/>
    <n v="3.4015009380863042"/>
    <n v="661"/>
    <n v="1813"/>
    <n v="58"/>
    <x v="1"/>
    <x v="6"/>
    <x v="84"/>
    <x v="0"/>
  </r>
  <r>
    <x v="1626"/>
    <x v="1"/>
    <n v="5"/>
    <x v="135"/>
    <s v="23-04-2016"/>
    <x v="0"/>
    <x v="4"/>
    <x v="4"/>
    <x v="2"/>
    <n v="1"/>
    <x v="4"/>
    <s v="MI"/>
    <s v="24-04-2016"/>
    <n v="334"/>
    <n v="253"/>
    <n v="75.748502994011986"/>
    <n v="23.526946107784433"/>
    <n v="7858"/>
    <n v="25.131736526946106"/>
    <n v="536"/>
    <n v="8394"/>
    <n v="91"/>
    <x v="1"/>
    <x v="2"/>
    <x v="84"/>
    <x v="0"/>
  </r>
  <r>
    <x v="1627"/>
    <x v="0"/>
    <n v="5"/>
    <x v="93"/>
    <s v="07-08-2016"/>
    <x v="5"/>
    <x v="5"/>
    <x v="5"/>
    <x v="3"/>
    <n v="1"/>
    <x v="5"/>
    <s v="IA"/>
    <s v="08-08-2016"/>
    <n v="1144"/>
    <n v="470"/>
    <n v="41.08391608391608"/>
    <n v="4.9982517482517483"/>
    <n v="5718"/>
    <n v="5.1424825174825175"/>
    <n v="165"/>
    <n v="5883"/>
    <n v="70"/>
    <x v="1"/>
    <x v="6"/>
    <x v="84"/>
    <x v="0"/>
  </r>
  <r>
    <x v="1628"/>
    <x v="1"/>
    <n v="5"/>
    <x v="196"/>
    <s v="12-07-2016"/>
    <x v="3"/>
    <x v="9"/>
    <x v="9"/>
    <x v="3"/>
    <n v="1"/>
    <x v="9"/>
    <s v="IN"/>
    <s v="13-07-2016"/>
    <n v="1003"/>
    <n v="387"/>
    <n v="38.584247258225325"/>
    <n v="2.7976071784646064"/>
    <n v="2806"/>
    <n v="3.0608175473579262"/>
    <n v="264"/>
    <n v="3070"/>
    <n v="86"/>
    <x v="1"/>
    <x v="3"/>
    <x v="84"/>
    <x v="0"/>
  </r>
  <r>
    <x v="1629"/>
    <x v="0"/>
    <n v="6"/>
    <x v="122"/>
    <s v="24-01-2016"/>
    <x v="4"/>
    <x v="11"/>
    <x v="11"/>
    <x v="2"/>
    <n v="1"/>
    <x v="11"/>
    <s v="MI"/>
    <s v="25-01-2016"/>
    <n v="686"/>
    <n v="650"/>
    <n v="94.75218658892129"/>
    <n v="12.058309037900875"/>
    <n v="8272"/>
    <n v="12.43002915451895"/>
    <n v="255"/>
    <n v="8527"/>
    <n v="62"/>
    <x v="2"/>
    <x v="9"/>
    <x v="84"/>
    <x v="0"/>
  </r>
  <r>
    <x v="1630"/>
    <x v="1"/>
    <n v="6"/>
    <x v="238"/>
    <s v="17-04-2016"/>
    <x v="0"/>
    <x v="16"/>
    <x v="16"/>
    <x v="4"/>
    <n v="1"/>
    <x v="16"/>
    <s v="MI"/>
    <s v="18-04-2016"/>
    <n v="340"/>
    <n v="340"/>
    <n v="100"/>
    <n v="9.2617647058823529"/>
    <n v="3149"/>
    <n v="11.426470588235293"/>
    <n v="736"/>
    <n v="3885"/>
    <n v="96"/>
    <x v="1"/>
    <x v="6"/>
    <x v="84"/>
    <x v="0"/>
  </r>
  <r>
    <x v="1631"/>
    <x v="1"/>
    <n v="5"/>
    <x v="137"/>
    <s v="11-08-2016"/>
    <x v="5"/>
    <x v="20"/>
    <x v="20"/>
    <x v="1"/>
    <n v="1"/>
    <x v="20"/>
    <s v="IL"/>
    <s v="12-08-2016"/>
    <n v="868"/>
    <n v="721"/>
    <n v="83.064516129032256"/>
    <n v="2.9907834101382487"/>
    <n v="2596"/>
    <n v="3.5184331797235022"/>
    <n v="458"/>
    <n v="3054"/>
    <n v="73"/>
    <x v="1"/>
    <x v="9"/>
    <x v="84"/>
    <x v="0"/>
  </r>
  <r>
    <x v="1632"/>
    <x v="1"/>
    <n v="8"/>
    <x v="108"/>
    <s v="12-02-2016"/>
    <x v="2"/>
    <x v="3"/>
    <x v="3"/>
    <x v="2"/>
    <n v="1"/>
    <x v="3"/>
    <s v="IL"/>
    <s v="13-02-2016"/>
    <n v="1101"/>
    <n v="414"/>
    <n v="37.602179836512263"/>
    <n v="7.0408719346049047"/>
    <n v="7752"/>
    <n v="7.73841961852861"/>
    <n v="768"/>
    <n v="8520"/>
    <n v="50"/>
    <x v="1"/>
    <x v="4"/>
    <x v="84"/>
    <x v="0"/>
  </r>
  <r>
    <x v="1633"/>
    <x v="0"/>
    <n v="7"/>
    <x v="276"/>
    <s v="30-06-2016"/>
    <x v="6"/>
    <x v="21"/>
    <x v="21"/>
    <x v="2"/>
    <n v="1"/>
    <x v="21"/>
    <s v="IL"/>
    <s v="01-07-2016"/>
    <n v="515"/>
    <n v="515"/>
    <n v="100"/>
    <n v="15.848543689320389"/>
    <n v="8162"/>
    <n v="17.079611650485436"/>
    <n v="634"/>
    <n v="8796"/>
    <n v="50"/>
    <x v="1"/>
    <x v="3"/>
    <x v="84"/>
    <x v="0"/>
  </r>
  <r>
    <x v="1634"/>
    <x v="1"/>
    <n v="8"/>
    <x v="74"/>
    <s v="07-04-2016"/>
    <x v="0"/>
    <x v="16"/>
    <x v="16"/>
    <x v="4"/>
    <n v="1"/>
    <x v="16"/>
    <s v="MI"/>
    <s v="08-04-2016"/>
    <n v="1005"/>
    <n v="592"/>
    <n v="58.905472636815922"/>
    <n v="8.0318407960198996"/>
    <n v="8072"/>
    <n v="8.8905472636815919"/>
    <n v="863"/>
    <n v="8935"/>
    <n v="67"/>
    <x v="1"/>
    <x v="3"/>
    <x v="84"/>
    <x v="0"/>
  </r>
  <r>
    <x v="1635"/>
    <x v="0"/>
    <n v="8"/>
    <x v="176"/>
    <s v="16-03-2016"/>
    <x v="1"/>
    <x v="9"/>
    <x v="9"/>
    <x v="3"/>
    <n v="1"/>
    <x v="9"/>
    <s v="IN"/>
    <s v="17-03-2016"/>
    <n v="304"/>
    <n v="304"/>
    <n v="100"/>
    <n v="23.095394736842106"/>
    <n v="7021"/>
    <n v="26.13486842105263"/>
    <n v="924"/>
    <n v="7945"/>
    <n v="60"/>
    <x v="2"/>
    <x v="4"/>
    <x v="84"/>
    <x v="0"/>
  </r>
  <r>
    <x v="1636"/>
    <x v="0"/>
    <n v="6"/>
    <x v="110"/>
    <s v="27-01-2016"/>
    <x v="4"/>
    <x v="16"/>
    <x v="16"/>
    <x v="4"/>
    <n v="1"/>
    <x v="16"/>
    <s v="MI"/>
    <s v="28-01-2016"/>
    <n v="1145"/>
    <n v="318"/>
    <n v="27.772925764192141"/>
    <n v="2.8917030567685589"/>
    <n v="3311"/>
    <n v="3.2436681222707424"/>
    <n v="403"/>
    <n v="3714"/>
    <n v="86"/>
    <x v="1"/>
    <x v="5"/>
    <x v="84"/>
    <x v="0"/>
  </r>
  <r>
    <x v="1637"/>
    <x v="1"/>
    <n v="4"/>
    <x v="111"/>
    <s v="03-03-2016"/>
    <x v="1"/>
    <x v="14"/>
    <x v="14"/>
    <x v="1"/>
    <n v="1"/>
    <x v="14"/>
    <s v="IL"/>
    <s v="04-03-2016"/>
    <n v="638"/>
    <n v="638"/>
    <n v="100"/>
    <n v="10.057993730407523"/>
    <n v="6417"/>
    <n v="6.6206896551724137"/>
    <n v="-2193"/>
    <n v="4224"/>
    <n v="81"/>
    <x v="1"/>
    <x v="9"/>
    <x v="84"/>
    <x v="0"/>
  </r>
  <r>
    <x v="1638"/>
    <x v="1"/>
    <n v="5"/>
    <x v="271"/>
    <s v="05-08-2016"/>
    <x v="5"/>
    <x v="4"/>
    <x v="4"/>
    <x v="2"/>
    <n v="1"/>
    <x v="4"/>
    <s v="MI"/>
    <s v="06-08-2016"/>
    <n v="385"/>
    <n v="302"/>
    <n v="78.441558441558442"/>
    <n v="1.1428571428571428"/>
    <n v="440"/>
    <n v="2.6675324675324674"/>
    <n v="587"/>
    <n v="1027"/>
    <n v="67"/>
    <x v="1"/>
    <x v="4"/>
    <x v="84"/>
    <x v="0"/>
  </r>
  <r>
    <x v="1639"/>
    <x v="1"/>
    <n v="8"/>
    <x v="163"/>
    <s v="26-02-2016"/>
    <x v="2"/>
    <x v="21"/>
    <x v="21"/>
    <x v="2"/>
    <n v="1"/>
    <x v="21"/>
    <s v="IL"/>
    <s v="27-02-2016"/>
    <n v="916"/>
    <n v="591"/>
    <n v="64.519650655021834"/>
    <n v="7.3853711790393017"/>
    <n v="6765"/>
    <n v="7.9235807860262009"/>
    <n v="493"/>
    <n v="7258"/>
    <n v="56"/>
    <x v="1"/>
    <x v="3"/>
    <x v="84"/>
    <x v="0"/>
  </r>
  <r>
    <x v="1640"/>
    <x v="1"/>
    <n v="7"/>
    <x v="185"/>
    <s v="15-04-2016"/>
    <x v="0"/>
    <x v="12"/>
    <x v="12"/>
    <x v="3"/>
    <n v="1"/>
    <x v="12"/>
    <s v="MI"/>
    <s v="16-04-2016"/>
    <n v="998"/>
    <n v="302"/>
    <n v="30.260521042084171"/>
    <n v="4.2995991983967938"/>
    <n v="4291"/>
    <n v="4.4619238476953909"/>
    <n v="162"/>
    <n v="4453"/>
    <n v="81"/>
    <x v="2"/>
    <x v="8"/>
    <x v="84"/>
    <x v="0"/>
  </r>
  <r>
    <x v="1641"/>
    <x v="1"/>
    <n v="4"/>
    <x v="126"/>
    <s v="19-01-2016"/>
    <x v="4"/>
    <x v="7"/>
    <x v="7"/>
    <x v="5"/>
    <n v="1"/>
    <x v="7"/>
    <s v="WI"/>
    <s v="20-01-2016"/>
    <n v="1130"/>
    <n v="636"/>
    <n v="56.283185840707958"/>
    <n v="4.4601769911504423"/>
    <n v="5040"/>
    <n v="2.7663716814159294"/>
    <n v="-1914"/>
    <n v="3126"/>
    <n v="51"/>
    <x v="1"/>
    <x v="7"/>
    <x v="84"/>
    <x v="0"/>
  </r>
  <r>
    <x v="1642"/>
    <x v="0"/>
    <n v="3"/>
    <x v="156"/>
    <s v="01-01-2016"/>
    <x v="4"/>
    <x v="9"/>
    <x v="9"/>
    <x v="3"/>
    <n v="1"/>
    <x v="9"/>
    <s v="IN"/>
    <s v="02-01-2016"/>
    <n v="392"/>
    <n v="273"/>
    <n v="69.642857142857139"/>
    <n v="7.6045918367346941"/>
    <n v="2981"/>
    <n v="8.8954081632653068"/>
    <n v="506"/>
    <n v="3487"/>
    <n v="95"/>
    <x v="1"/>
    <x v="2"/>
    <x v="84"/>
    <x v="0"/>
  </r>
  <r>
    <x v="1643"/>
    <x v="0"/>
    <n v="1"/>
    <x v="225"/>
    <s v="09-06-2016"/>
    <x v="6"/>
    <x v="23"/>
    <x v="23"/>
    <x v="1"/>
    <n v="1"/>
    <x v="23"/>
    <s v="WI"/>
    <s v="10-06-2016"/>
    <n v="577"/>
    <n v="577"/>
    <n v="100"/>
    <n v="14.209705372616984"/>
    <n v="8199"/>
    <n v="23.240901213171576"/>
    <n v="5211"/>
    <n v="13410"/>
    <n v="85"/>
    <x v="1"/>
    <x v="5"/>
    <x v="84"/>
    <x v="0"/>
  </r>
  <r>
    <x v="1644"/>
    <x v="0"/>
    <n v="6"/>
    <x v="98"/>
    <s v="11-03-2016"/>
    <x v="1"/>
    <x v="13"/>
    <x v="13"/>
    <x v="1"/>
    <n v="1"/>
    <x v="13"/>
    <s v="OH"/>
    <s v="12-03-2016"/>
    <n v="225"/>
    <n v="225"/>
    <n v="100"/>
    <n v="28.737777777777779"/>
    <n v="6466"/>
    <n v="31.857777777777777"/>
    <n v="702"/>
    <n v="7168"/>
    <n v="57"/>
    <x v="1"/>
    <x v="4"/>
    <x v="84"/>
    <x v="0"/>
  </r>
  <r>
    <x v="1645"/>
    <x v="1"/>
    <n v="1"/>
    <x v="167"/>
    <s v="30-04-2016"/>
    <x v="0"/>
    <x v="10"/>
    <x v="10"/>
    <x v="1"/>
    <n v="1"/>
    <x v="10"/>
    <s v="IL"/>
    <s v="01-05-2016"/>
    <n v="748"/>
    <n v="324"/>
    <n v="43.315508021390379"/>
    <n v="1.1925133689839573"/>
    <n v="892"/>
    <n v="7.5147058823529411"/>
    <n v="4729"/>
    <n v="5621"/>
    <n v="92"/>
    <x v="1"/>
    <x v="4"/>
    <x v="84"/>
    <x v="0"/>
  </r>
  <r>
    <x v="1646"/>
    <x v="0"/>
    <n v="3"/>
    <x v="78"/>
    <s v="03-06-2016"/>
    <x v="6"/>
    <x v="14"/>
    <x v="14"/>
    <x v="1"/>
    <n v="1"/>
    <x v="14"/>
    <s v="IL"/>
    <s v="04-06-2016"/>
    <n v="519"/>
    <n v="519"/>
    <n v="100"/>
    <n v="15.269749518304431"/>
    <n v="7925"/>
    <n v="16.747591522157997"/>
    <n v="767"/>
    <n v="8692"/>
    <n v="69"/>
    <x v="1"/>
    <x v="6"/>
    <x v="84"/>
    <x v="0"/>
  </r>
  <r>
    <x v="1647"/>
    <x v="1"/>
    <n v="6"/>
    <x v="16"/>
    <s v="28-02-2016"/>
    <x v="2"/>
    <x v="11"/>
    <x v="11"/>
    <x v="2"/>
    <n v="1"/>
    <x v="11"/>
    <s v="MI"/>
    <s v="29-02-2016"/>
    <n v="488"/>
    <n v="233"/>
    <n v="47.745901639344261"/>
    <n v="0.99180327868852458"/>
    <n v="484"/>
    <n v="1.430327868852459"/>
    <n v="214"/>
    <n v="698"/>
    <n v="96"/>
    <x v="2"/>
    <x v="6"/>
    <x v="84"/>
    <x v="0"/>
  </r>
  <r>
    <x v="1648"/>
    <x v="1"/>
    <n v="2"/>
    <x v="318"/>
    <s v="13-03-2016"/>
    <x v="1"/>
    <x v="15"/>
    <x v="15"/>
    <x v="4"/>
    <n v="1"/>
    <x v="15"/>
    <s v="IL"/>
    <s v="14-03-2016"/>
    <n v="1186"/>
    <n v="606"/>
    <n v="51.096121416526138"/>
    <n v="4.7082630691399663"/>
    <n v="5584"/>
    <n v="5.3676222596964589"/>
    <n v="782"/>
    <n v="6366"/>
    <n v="60"/>
    <x v="1"/>
    <x v="3"/>
    <x v="84"/>
    <x v="0"/>
  </r>
  <r>
    <x v="1649"/>
    <x v="0"/>
    <n v="6"/>
    <x v="99"/>
    <s v="16-01-2016"/>
    <x v="4"/>
    <x v="12"/>
    <x v="12"/>
    <x v="3"/>
    <n v="1"/>
    <x v="12"/>
    <s v="MI"/>
    <s v="17-01-2016"/>
    <n v="755"/>
    <n v="397"/>
    <n v="52.58278145695364"/>
    <n v="7.8582781456953645"/>
    <n v="5933"/>
    <n v="8.7920529801324498"/>
    <n v="705"/>
    <n v="6638"/>
    <n v="54"/>
    <x v="1"/>
    <x v="5"/>
    <x v="84"/>
    <x v="0"/>
  </r>
  <r>
    <x v="1650"/>
    <x v="0"/>
    <n v="4"/>
    <x v="180"/>
    <s v="20-05-2016"/>
    <x v="7"/>
    <x v="3"/>
    <x v="3"/>
    <x v="2"/>
    <n v="1"/>
    <x v="3"/>
    <s v="IL"/>
    <s v="21-05-2016"/>
    <n v="669"/>
    <n v="572"/>
    <n v="85.500747384155446"/>
    <n v="12.058295964125561"/>
    <n v="8067"/>
    <n v="9.47982062780269"/>
    <n v="-1725"/>
    <n v="6342"/>
    <n v="50"/>
    <x v="1"/>
    <x v="7"/>
    <x v="84"/>
    <x v="0"/>
  </r>
  <r>
    <x v="1651"/>
    <x v="0"/>
    <n v="3"/>
    <x v="114"/>
    <s v="26-08-2016"/>
    <x v="5"/>
    <x v="22"/>
    <x v="22"/>
    <x v="0"/>
    <n v="1"/>
    <x v="22"/>
    <s v="IL"/>
    <s v="26-08-2016"/>
    <n v="898"/>
    <n v="309"/>
    <n v="34.409799554565701"/>
    <n v="1.6559020044543429"/>
    <n v="1487"/>
    <n v="2.3518930957683741"/>
    <n v="625"/>
    <n v="2112"/>
    <n v="100"/>
    <x v="1"/>
    <x v="7"/>
    <x v="85"/>
    <x v="1"/>
  </r>
  <r>
    <x v="1652"/>
    <x v="0"/>
    <n v="6"/>
    <x v="17"/>
    <s v="10-02-2016"/>
    <x v="2"/>
    <x v="4"/>
    <x v="4"/>
    <x v="2"/>
    <n v="1"/>
    <x v="4"/>
    <s v="MI"/>
    <s v="11-02-2016"/>
    <n v="755"/>
    <n v="205"/>
    <n v="27.152317880794701"/>
    <n v="4.8529801324503312"/>
    <n v="3664"/>
    <n v="5.9854304635761588"/>
    <n v="855"/>
    <n v="4519"/>
    <n v="81"/>
    <x v="2"/>
    <x v="0"/>
    <x v="84"/>
    <x v="0"/>
  </r>
  <r>
    <x v="1653"/>
    <x v="1"/>
    <n v="6"/>
    <x v="38"/>
    <s v="30-05-2016"/>
    <x v="7"/>
    <x v="16"/>
    <x v="16"/>
    <x v="4"/>
    <n v="1"/>
    <x v="16"/>
    <s v="MI"/>
    <s v="31-05-2016"/>
    <n v="593"/>
    <n v="593"/>
    <n v="100"/>
    <n v="2.8988195615514334"/>
    <n v="1719"/>
    <n v="3.657672849915683"/>
    <n v="450"/>
    <n v="2169"/>
    <n v="58"/>
    <x v="1"/>
    <x v="1"/>
    <x v="84"/>
    <x v="0"/>
  </r>
  <r>
    <x v="1654"/>
    <x v="1"/>
    <n v="2"/>
    <x v="190"/>
    <s v="08-06-2016"/>
    <x v="6"/>
    <x v="7"/>
    <x v="7"/>
    <x v="5"/>
    <n v="1"/>
    <x v="7"/>
    <s v="WI"/>
    <s v="09-06-2016"/>
    <n v="787"/>
    <n v="688"/>
    <n v="87.42058449809403"/>
    <n v="6.2083862770012708"/>
    <n v="4886"/>
    <n v="6.9720457433290974"/>
    <n v="601"/>
    <n v="5487"/>
    <n v="86"/>
    <x v="1"/>
    <x v="8"/>
    <x v="84"/>
    <x v="0"/>
  </r>
  <r>
    <x v="1655"/>
    <x v="2"/>
    <n v="1"/>
    <x v="170"/>
    <s v="15-06-2016"/>
    <x v="6"/>
    <x v="23"/>
    <x v="23"/>
    <x v="1"/>
    <n v="1"/>
    <x v="23"/>
    <s v="WI"/>
    <s v="16-06-2016"/>
    <n v="410"/>
    <n v="410"/>
    <n v="100"/>
    <n v="4.7341463414634148"/>
    <n v="1941"/>
    <n v="16.841463414634145"/>
    <n v="4964"/>
    <n v="6905"/>
    <n v="91"/>
    <x v="1"/>
    <x v="6"/>
    <x v="84"/>
    <x v="0"/>
  </r>
  <r>
    <x v="1656"/>
    <x v="2"/>
    <n v="4"/>
    <x v="272"/>
    <s v="26-01-2016"/>
    <x v="4"/>
    <x v="1"/>
    <x v="1"/>
    <x v="1"/>
    <n v="1"/>
    <x v="1"/>
    <s v="WI"/>
    <s v="27-01-2016"/>
    <n v="354"/>
    <n v="240"/>
    <n v="67.796610169491515"/>
    <n v="7.5169491525423728"/>
    <n v="2661"/>
    <n v="1.8361581920903955"/>
    <n v="-2011"/>
    <n v="650"/>
    <n v="66"/>
    <x v="1"/>
    <x v="7"/>
    <x v="84"/>
    <x v="0"/>
  </r>
  <r>
    <x v="1657"/>
    <x v="0"/>
    <n v="2"/>
    <x v="21"/>
    <s v="27-01-2016"/>
    <x v="4"/>
    <x v="8"/>
    <x v="8"/>
    <x v="3"/>
    <n v="1"/>
    <x v="8"/>
    <s v="OH"/>
    <s v="28-01-2016"/>
    <n v="1145"/>
    <n v="429"/>
    <n v="37.467248908296938"/>
    <n v="3.6218340611353712"/>
    <n v="4147"/>
    <n v="4.0296943231441045"/>
    <n v="467"/>
    <n v="4614"/>
    <n v="97"/>
    <x v="1"/>
    <x v="8"/>
    <x v="84"/>
    <x v="0"/>
  </r>
  <r>
    <x v="1658"/>
    <x v="0"/>
    <n v="1"/>
    <x v="321"/>
    <s v="26-06-2016"/>
    <x v="6"/>
    <x v="18"/>
    <x v="18"/>
    <x v="1"/>
    <n v="1"/>
    <x v="18"/>
    <s v="IN"/>
    <s v="27-06-2016"/>
    <n v="902"/>
    <n v="742"/>
    <n v="82.261640798226168"/>
    <n v="2.7838137472283813"/>
    <n v="2511"/>
    <n v="8.200665188470067"/>
    <n v="4886"/>
    <n v="7397"/>
    <n v="83"/>
    <x v="1"/>
    <x v="5"/>
    <x v="84"/>
    <x v="0"/>
  </r>
  <r>
    <x v="1659"/>
    <x v="0"/>
    <n v="2"/>
    <x v="83"/>
    <s v="19-03-2016"/>
    <x v="1"/>
    <x v="1"/>
    <x v="1"/>
    <x v="1"/>
    <n v="1"/>
    <x v="1"/>
    <s v="WI"/>
    <s v="20-03-2016"/>
    <n v="744"/>
    <n v="649"/>
    <n v="87.231182795698928"/>
    <n v="0.70564516129032262"/>
    <n v="525"/>
    <n v="0.99731182795698925"/>
    <n v="217"/>
    <n v="742"/>
    <n v="83"/>
    <x v="1"/>
    <x v="1"/>
    <x v="84"/>
    <x v="0"/>
  </r>
  <r>
    <x v="1660"/>
    <x v="2"/>
    <n v="1"/>
    <x v="128"/>
    <s v="19-08-2016"/>
    <x v="5"/>
    <x v="11"/>
    <x v="11"/>
    <x v="2"/>
    <n v="1"/>
    <x v="11"/>
    <s v="MI"/>
    <s v="20-08-2016"/>
    <n v="1110"/>
    <n v="497"/>
    <n v="44.77477477477477"/>
    <n v="1.1342342342342342"/>
    <n v="1259"/>
    <n v="5.5459459459459461"/>
    <n v="4897"/>
    <n v="6156"/>
    <n v="76"/>
    <x v="1"/>
    <x v="8"/>
    <x v="84"/>
    <x v="0"/>
  </r>
  <r>
    <x v="1661"/>
    <x v="2"/>
    <n v="6"/>
    <x v="130"/>
    <s v="16-02-2016"/>
    <x v="2"/>
    <x v="7"/>
    <x v="7"/>
    <x v="5"/>
    <n v="1"/>
    <x v="7"/>
    <s v="WI"/>
    <s v="17-02-2016"/>
    <n v="1114"/>
    <n v="677"/>
    <n v="60.77199281867145"/>
    <n v="2.5098743267504489"/>
    <n v="2796"/>
    <n v="3.2010771992818672"/>
    <n v="770"/>
    <n v="3566"/>
    <n v="79"/>
    <x v="1"/>
    <x v="0"/>
    <x v="84"/>
    <x v="0"/>
  </r>
  <r>
    <x v="1662"/>
    <x v="0"/>
    <n v="5"/>
    <x v="45"/>
    <s v="16-06-2016"/>
    <x v="6"/>
    <x v="3"/>
    <x v="3"/>
    <x v="2"/>
    <n v="1"/>
    <x v="3"/>
    <s v="IL"/>
    <s v="17-06-2016"/>
    <n v="527"/>
    <n v="527"/>
    <n v="100"/>
    <n v="15.984819734345351"/>
    <n v="8424"/>
    <n v="16.400379506641364"/>
    <n v="219"/>
    <n v="8643"/>
    <n v="57"/>
    <x v="1"/>
    <x v="9"/>
    <x v="84"/>
    <x v="0"/>
  </r>
  <r>
    <x v="1663"/>
    <x v="0"/>
    <n v="4"/>
    <x v="47"/>
    <s v="09-06-2016"/>
    <x v="6"/>
    <x v="2"/>
    <x v="2"/>
    <x v="1"/>
    <n v="1"/>
    <x v="2"/>
    <s v="IL"/>
    <s v="10-06-2016"/>
    <n v="703"/>
    <n v="421"/>
    <n v="59.88620199146515"/>
    <n v="11.199146514935988"/>
    <n v="7873"/>
    <n v="8.1692745376955909"/>
    <n v="-2130"/>
    <n v="5743"/>
    <n v="98"/>
    <x v="1"/>
    <x v="4"/>
    <x v="84"/>
    <x v="0"/>
  </r>
  <r>
    <x v="1664"/>
    <x v="0"/>
    <n v="5"/>
    <x v="299"/>
    <s v="05-05-2016"/>
    <x v="7"/>
    <x v="23"/>
    <x v="23"/>
    <x v="1"/>
    <n v="1"/>
    <x v="23"/>
    <s v="WI"/>
    <s v="06-05-2016"/>
    <n v="1134"/>
    <n v="708"/>
    <n v="62.43386243386243"/>
    <n v="6.6913580246913584"/>
    <n v="7588"/>
    <n v="7.4409171075837746"/>
    <n v="850"/>
    <n v="8438"/>
    <n v="64"/>
    <x v="1"/>
    <x v="1"/>
    <x v="84"/>
    <x v="0"/>
  </r>
  <r>
    <x v="1665"/>
    <x v="0"/>
    <n v="1"/>
    <x v="48"/>
    <s v="24-03-2016"/>
    <x v="1"/>
    <x v="21"/>
    <x v="21"/>
    <x v="2"/>
    <n v="1"/>
    <x v="21"/>
    <s v="IL"/>
    <s v="25-03-2016"/>
    <n v="1080"/>
    <n v="272"/>
    <n v="25.185185185185183"/>
    <n v="7.2231481481481481"/>
    <n v="7801"/>
    <n v="10.764814814814814"/>
    <n v="3825"/>
    <n v="11626"/>
    <n v="68"/>
    <x v="1"/>
    <x v="3"/>
    <x v="84"/>
    <x v="0"/>
  </r>
  <r>
    <x v="1666"/>
    <x v="0"/>
    <n v="2"/>
    <x v="172"/>
    <s v="29-06-2016"/>
    <x v="6"/>
    <x v="5"/>
    <x v="5"/>
    <x v="3"/>
    <n v="1"/>
    <x v="5"/>
    <s v="IA"/>
    <s v="30-06-2016"/>
    <n v="468"/>
    <n v="370"/>
    <n v="79.059829059829056"/>
    <n v="6.5876068376068373"/>
    <n v="3083"/>
    <n v="8.5811965811965809"/>
    <n v="933"/>
    <n v="4016"/>
    <n v="99"/>
    <x v="1"/>
    <x v="5"/>
    <x v="84"/>
    <x v="0"/>
  </r>
  <r>
    <x v="1667"/>
    <x v="0"/>
    <n v="5"/>
    <x v="278"/>
    <s v="07-01-2016"/>
    <x v="4"/>
    <x v="13"/>
    <x v="13"/>
    <x v="1"/>
    <n v="1"/>
    <x v="13"/>
    <s v="OH"/>
    <s v="08-01-2016"/>
    <n v="546"/>
    <n v="546"/>
    <n v="100"/>
    <n v="11.175824175824175"/>
    <n v="6102"/>
    <n v="12.871794871794872"/>
    <n v="926"/>
    <n v="7028"/>
    <n v="67"/>
    <x v="1"/>
    <x v="3"/>
    <x v="84"/>
    <x v="0"/>
  </r>
  <r>
    <x v="1668"/>
    <x v="2"/>
    <n v="6"/>
    <x v="231"/>
    <s v="10-07-2016"/>
    <x v="3"/>
    <x v="14"/>
    <x v="14"/>
    <x v="1"/>
    <n v="1"/>
    <x v="14"/>
    <s v="IL"/>
    <s v="11-07-2016"/>
    <n v="1012"/>
    <n v="355"/>
    <n v="35.079051383399204"/>
    <n v="2.6996047430830039"/>
    <n v="2732"/>
    <n v="3.1887351778656128"/>
    <n v="495"/>
    <n v="3227"/>
    <n v="99"/>
    <x v="1"/>
    <x v="6"/>
    <x v="84"/>
    <x v="0"/>
  </r>
  <r>
    <x v="1669"/>
    <x v="2"/>
    <n v="2"/>
    <x v="105"/>
    <s v="17-03-2016"/>
    <x v="1"/>
    <x v="11"/>
    <x v="11"/>
    <x v="2"/>
    <n v="1"/>
    <x v="11"/>
    <s v="MI"/>
    <s v="18-03-2016"/>
    <n v="785"/>
    <n v="499"/>
    <n v="63.566878980891715"/>
    <n v="0.5592356687898089"/>
    <n v="439"/>
    <n v="1.5796178343949046"/>
    <n v="801"/>
    <n v="1240"/>
    <n v="80"/>
    <x v="2"/>
    <x v="1"/>
    <x v="84"/>
    <x v="0"/>
  </r>
  <r>
    <x v="1670"/>
    <x v="0"/>
    <n v="4"/>
    <x v="303"/>
    <s v="24-05-2016"/>
    <x v="7"/>
    <x v="12"/>
    <x v="12"/>
    <x v="3"/>
    <n v="1"/>
    <x v="12"/>
    <s v="MI"/>
    <s v="25-05-2016"/>
    <n v="997"/>
    <n v="608"/>
    <n v="60.982948846539621"/>
    <n v="3.5446339017051152"/>
    <n v="3534"/>
    <n v="1.8415245737211634"/>
    <n v="-1698"/>
    <n v="1836"/>
    <n v="99"/>
    <x v="1"/>
    <x v="8"/>
    <x v="84"/>
    <x v="0"/>
  </r>
  <r>
    <x v="1671"/>
    <x v="2"/>
    <n v="6"/>
    <x v="254"/>
    <s v="27-07-2016"/>
    <x v="3"/>
    <x v="10"/>
    <x v="10"/>
    <x v="1"/>
    <n v="1"/>
    <x v="10"/>
    <s v="IL"/>
    <s v="28-07-2016"/>
    <n v="555"/>
    <n v="555"/>
    <n v="100"/>
    <n v="9.077477477477478"/>
    <n v="5038"/>
    <n v="10.695495495495495"/>
    <n v="898"/>
    <n v="5936"/>
    <n v="75"/>
    <x v="1"/>
    <x v="6"/>
    <x v="84"/>
    <x v="0"/>
  </r>
  <r>
    <x v="1672"/>
    <x v="2"/>
    <n v="6"/>
    <x v="279"/>
    <s v="27-05-2016"/>
    <x v="7"/>
    <x v="4"/>
    <x v="4"/>
    <x v="2"/>
    <n v="1"/>
    <x v="4"/>
    <s v="MI"/>
    <s v="28-05-2016"/>
    <n v="287"/>
    <n v="205"/>
    <n v="71.428571428571431"/>
    <n v="16.087108013937282"/>
    <n v="4617"/>
    <n v="18.097560975609756"/>
    <n v="577"/>
    <n v="5194"/>
    <n v="64"/>
    <x v="2"/>
    <x v="4"/>
    <x v="84"/>
    <x v="0"/>
  </r>
  <r>
    <x v="1673"/>
    <x v="0"/>
    <n v="4"/>
    <x v="248"/>
    <s v="05-04-2016"/>
    <x v="0"/>
    <x v="9"/>
    <x v="9"/>
    <x v="3"/>
    <n v="1"/>
    <x v="9"/>
    <s v="IN"/>
    <s v="06-04-2016"/>
    <n v="818"/>
    <n v="743"/>
    <n v="90.831295843520792"/>
    <n v="9.1638141809290961"/>
    <n v="7496"/>
    <n v="7.711491442542787"/>
    <n v="-1188"/>
    <n v="6308"/>
    <n v="67"/>
    <x v="2"/>
    <x v="4"/>
    <x v="84"/>
    <x v="0"/>
  </r>
  <r>
    <x v="1674"/>
    <x v="2"/>
    <n v="4"/>
    <x v="256"/>
    <s v="21-03-2016"/>
    <x v="1"/>
    <x v="16"/>
    <x v="16"/>
    <x v="4"/>
    <n v="1"/>
    <x v="16"/>
    <s v="MI"/>
    <s v="22-03-2016"/>
    <n v="922"/>
    <n v="292"/>
    <n v="31.670281995661604"/>
    <n v="2.6106290672451191"/>
    <n v="2407"/>
    <n v="4.3383947939262472E-2"/>
    <n v="-2367"/>
    <n v="40"/>
    <n v="83"/>
    <x v="1"/>
    <x v="1"/>
    <x v="84"/>
    <x v="0"/>
  </r>
  <r>
    <x v="1675"/>
    <x v="2"/>
    <n v="5"/>
    <x v="133"/>
    <s v="16-02-2016"/>
    <x v="2"/>
    <x v="5"/>
    <x v="5"/>
    <x v="3"/>
    <n v="1"/>
    <x v="5"/>
    <s v="IA"/>
    <s v="17-02-2016"/>
    <n v="778"/>
    <n v="640"/>
    <n v="82.26221079691517"/>
    <n v="4.2262210796915163"/>
    <n v="3288"/>
    <n v="5.1092544987146526"/>
    <n v="687"/>
    <n v="3975"/>
    <n v="84"/>
    <x v="1"/>
    <x v="9"/>
    <x v="84"/>
    <x v="0"/>
  </r>
  <r>
    <x v="1676"/>
    <x v="2"/>
    <n v="5"/>
    <x v="135"/>
    <s v="07-08-2016"/>
    <x v="5"/>
    <x v="10"/>
    <x v="10"/>
    <x v="1"/>
    <n v="1"/>
    <x v="10"/>
    <s v="IL"/>
    <s v="08-08-2016"/>
    <n v="1135"/>
    <n v="614"/>
    <n v="54.096916299559474"/>
    <n v="1.3383259911894274"/>
    <n v="1519"/>
    <n v="1.9101321585903084"/>
    <n v="649"/>
    <n v="2168"/>
    <n v="95"/>
    <x v="2"/>
    <x v="2"/>
    <x v="84"/>
    <x v="0"/>
  </r>
  <r>
    <x v="1677"/>
    <x v="0"/>
    <n v="6"/>
    <x v="29"/>
    <s v="24-06-2016"/>
    <x v="6"/>
    <x v="7"/>
    <x v="7"/>
    <x v="5"/>
    <n v="1"/>
    <x v="7"/>
    <s v="WI"/>
    <s v="25-06-2016"/>
    <n v="949"/>
    <n v="439"/>
    <n v="46.259220231822972"/>
    <n v="1.6322444678609063"/>
    <n v="1549"/>
    <n v="2.6217070600632244"/>
    <n v="939"/>
    <n v="2488"/>
    <n v="65"/>
    <x v="1"/>
    <x v="3"/>
    <x v="84"/>
    <x v="0"/>
  </r>
  <r>
    <x v="1678"/>
    <x v="0"/>
    <n v="3"/>
    <x v="237"/>
    <s v="12-07-2016"/>
    <x v="3"/>
    <x v="2"/>
    <x v="2"/>
    <x v="1"/>
    <n v="1"/>
    <x v="2"/>
    <s v="IL"/>
    <s v="13-07-2016"/>
    <n v="567"/>
    <n v="567"/>
    <n v="100"/>
    <n v="11.754850088183421"/>
    <n v="6665"/>
    <n v="12.261022927689595"/>
    <n v="287"/>
    <n v="6952"/>
    <n v="85"/>
    <x v="1"/>
    <x v="3"/>
    <x v="84"/>
    <x v="0"/>
  </r>
  <r>
    <x v="1679"/>
    <x v="0"/>
    <n v="4"/>
    <x v="173"/>
    <s v="07-03-2016"/>
    <x v="1"/>
    <x v="19"/>
    <x v="19"/>
    <x v="0"/>
    <n v="1"/>
    <x v="19"/>
    <s v="WI"/>
    <s v="08-03-2016"/>
    <n v="938"/>
    <n v="260"/>
    <n v="27.718550106609808"/>
    <n v="3.4136460554371002"/>
    <n v="3202"/>
    <n v="0.43070362473347545"/>
    <n v="-2798"/>
    <n v="404"/>
    <n v="93"/>
    <x v="1"/>
    <x v="7"/>
    <x v="84"/>
    <x v="0"/>
  </r>
  <r>
    <x v="1680"/>
    <x v="0"/>
    <n v="3"/>
    <x v="277"/>
    <s v="09-07-2016"/>
    <x v="3"/>
    <x v="22"/>
    <x v="22"/>
    <x v="0"/>
    <n v="1"/>
    <x v="22"/>
    <s v="IL"/>
    <s v="10-07-2016"/>
    <n v="1062"/>
    <n v="770"/>
    <n v="72.504708097928443"/>
    <n v="3.3154425612052729"/>
    <n v="3521"/>
    <n v="3.5856873822975519"/>
    <n v="287"/>
    <n v="3808"/>
    <n v="76"/>
    <x v="1"/>
    <x v="5"/>
    <x v="84"/>
    <x v="0"/>
  </r>
  <r>
    <x v="1681"/>
    <x v="2"/>
    <n v="6"/>
    <x v="244"/>
    <s v="31-07-2016"/>
    <x v="3"/>
    <x v="11"/>
    <x v="11"/>
    <x v="2"/>
    <n v="1"/>
    <x v="11"/>
    <s v="MI"/>
    <s v="01-08-2016"/>
    <n v="708"/>
    <n v="209"/>
    <n v="29.51977401129944"/>
    <n v="6.9646892655367232"/>
    <n v="4931"/>
    <n v="7.9180790960451981"/>
    <n v="675"/>
    <n v="5606"/>
    <n v="97"/>
    <x v="2"/>
    <x v="7"/>
    <x v="84"/>
    <x v="0"/>
  </r>
  <r>
    <x v="1682"/>
    <x v="2"/>
    <n v="3"/>
    <x v="265"/>
    <s v="28-01-2016"/>
    <x v="4"/>
    <x v="20"/>
    <x v="20"/>
    <x v="1"/>
    <n v="1"/>
    <x v="20"/>
    <s v="IL"/>
    <s v="29-01-2016"/>
    <n v="923"/>
    <n v="745"/>
    <n v="80.715059588299027"/>
    <n v="4.5980498374864576"/>
    <n v="4244"/>
    <n v="5.6283856988082341"/>
    <n v="951"/>
    <n v="5195"/>
    <n v="54"/>
    <x v="1"/>
    <x v="8"/>
    <x v="84"/>
    <x v="0"/>
  </r>
  <r>
    <x v="1683"/>
    <x v="2"/>
    <n v="2"/>
    <x v="258"/>
    <s v="04-06-2016"/>
    <x v="6"/>
    <x v="3"/>
    <x v="3"/>
    <x v="2"/>
    <n v="1"/>
    <x v="3"/>
    <s v="IL"/>
    <s v="05-06-2016"/>
    <n v="982"/>
    <n v="710"/>
    <n v="72.301425661914465"/>
    <n v="5.0386965376782076"/>
    <n v="4948"/>
    <n v="5.2077393075356415"/>
    <n v="166"/>
    <n v="5114"/>
    <n v="91"/>
    <x v="1"/>
    <x v="8"/>
    <x v="84"/>
    <x v="0"/>
  </r>
  <r>
    <x v="1684"/>
    <x v="2"/>
    <n v="5"/>
    <x v="139"/>
    <s v="13-04-2016"/>
    <x v="0"/>
    <x v="10"/>
    <x v="10"/>
    <x v="1"/>
    <n v="1"/>
    <x v="10"/>
    <s v="IL"/>
    <s v="14-04-2016"/>
    <n v="303"/>
    <n v="303"/>
    <n v="100"/>
    <n v="12.825082508250825"/>
    <n v="3886"/>
    <n v="14.016501650165017"/>
    <n v="361"/>
    <n v="4247"/>
    <n v="61"/>
    <x v="1"/>
    <x v="8"/>
    <x v="84"/>
    <x v="0"/>
  </r>
  <r>
    <x v="1685"/>
    <x v="0"/>
    <n v="2"/>
    <x v="125"/>
    <s v="16-04-2016"/>
    <x v="0"/>
    <x v="18"/>
    <x v="18"/>
    <x v="1"/>
    <n v="1"/>
    <x v="18"/>
    <s v="IN"/>
    <s v="17-04-2016"/>
    <n v="862"/>
    <n v="395"/>
    <n v="45.82366589327146"/>
    <n v="7.5719257540603246"/>
    <n v="6527"/>
    <n v="8.6020881670533651"/>
    <n v="888"/>
    <n v="7415"/>
    <n v="65"/>
    <x v="1"/>
    <x v="9"/>
    <x v="84"/>
    <x v="0"/>
  </r>
  <r>
    <x v="1686"/>
    <x v="2"/>
    <n v="2"/>
    <x v="311"/>
    <s v="07-06-2016"/>
    <x v="6"/>
    <x v="1"/>
    <x v="1"/>
    <x v="1"/>
    <n v="1"/>
    <x v="1"/>
    <s v="WI"/>
    <s v="08-06-2016"/>
    <n v="598"/>
    <n v="304"/>
    <n v="50.836120401337794"/>
    <n v="8.4046822742474916"/>
    <n v="5026"/>
    <n v="9.3595317725752505"/>
    <n v="571"/>
    <n v="5597"/>
    <n v="96"/>
    <x v="1"/>
    <x v="3"/>
    <x v="84"/>
    <x v="0"/>
  </r>
  <r>
    <x v="1687"/>
    <x v="2"/>
    <n v="3"/>
    <x v="111"/>
    <s v="06-04-2016"/>
    <x v="0"/>
    <x v="5"/>
    <x v="5"/>
    <x v="3"/>
    <n v="1"/>
    <x v="5"/>
    <s v="IA"/>
    <s v="07-04-2016"/>
    <n v="846"/>
    <n v="235"/>
    <n v="27.777777777777779"/>
    <n v="1.5933806146572105"/>
    <n v="1348"/>
    <n v="2.2399527186761228"/>
    <n v="547"/>
    <n v="1895"/>
    <n v="60"/>
    <x v="1"/>
    <x v="8"/>
    <x v="84"/>
    <x v="0"/>
  </r>
  <r>
    <x v="1688"/>
    <x v="0"/>
    <n v="3"/>
    <x v="33"/>
    <s v="29-02-2016"/>
    <x v="2"/>
    <x v="19"/>
    <x v="19"/>
    <x v="0"/>
    <n v="1"/>
    <x v="19"/>
    <s v="WI"/>
    <s v="01-03-2016"/>
    <n v="297"/>
    <n v="297"/>
    <n v="100"/>
    <n v="13.292929292929292"/>
    <n v="3948"/>
    <n v="14.855218855218855"/>
    <n v="464"/>
    <n v="4412"/>
    <n v="87"/>
    <x v="1"/>
    <x v="4"/>
    <x v="84"/>
    <x v="0"/>
  </r>
  <r>
    <x v="1689"/>
    <x v="0"/>
    <n v="5"/>
    <x v="186"/>
    <s v="02-03-2016"/>
    <x v="1"/>
    <x v="2"/>
    <x v="2"/>
    <x v="1"/>
    <n v="1"/>
    <x v="2"/>
    <s v="IL"/>
    <s v="03-03-2016"/>
    <n v="1160"/>
    <n v="522"/>
    <n v="45"/>
    <n v="5.0318965517241381"/>
    <n v="5837"/>
    <n v="5.8758620689655174"/>
    <n v="979"/>
    <n v="6816"/>
    <n v="59"/>
    <x v="1"/>
    <x v="9"/>
    <x v="84"/>
    <x v="0"/>
  </r>
  <r>
    <x v="1690"/>
    <x v="0"/>
    <n v="5"/>
    <x v="97"/>
    <s v="16-06-2016"/>
    <x v="6"/>
    <x v="21"/>
    <x v="21"/>
    <x v="2"/>
    <n v="1"/>
    <x v="21"/>
    <s v="IL"/>
    <s v="17-06-2016"/>
    <n v="1079"/>
    <n v="564"/>
    <n v="52.270620945319749"/>
    <n v="5.919369786839666"/>
    <n v="6387"/>
    <n v="6.3030583873957369"/>
    <n v="414"/>
    <n v="6801"/>
    <n v="60"/>
    <x v="1"/>
    <x v="5"/>
    <x v="84"/>
    <x v="0"/>
  </r>
  <r>
    <x v="1691"/>
    <x v="2"/>
    <n v="6"/>
    <x v="61"/>
    <s v="24-02-2016"/>
    <x v="2"/>
    <x v="6"/>
    <x v="6"/>
    <x v="4"/>
    <n v="1"/>
    <x v="6"/>
    <s v="IN"/>
    <s v="25-02-2016"/>
    <n v="959"/>
    <n v="520"/>
    <n v="54.223149113660064"/>
    <n v="7.8717413972888428"/>
    <n v="7549"/>
    <n v="8.784150156412931"/>
    <n v="875"/>
    <n v="8424"/>
    <n v="93"/>
    <x v="1"/>
    <x v="0"/>
    <x v="84"/>
    <x v="0"/>
  </r>
  <r>
    <x v="1692"/>
    <x v="0"/>
    <n v="4"/>
    <x v="16"/>
    <s v="18-07-2016"/>
    <x v="3"/>
    <x v="9"/>
    <x v="9"/>
    <x v="3"/>
    <n v="1"/>
    <x v="9"/>
    <s v="IN"/>
    <s v="19-07-2016"/>
    <n v="965"/>
    <n v="738"/>
    <n v="76.476683937823836"/>
    <n v="5.3077720207253885"/>
    <n v="5122"/>
    <n v="3.1917098445595853"/>
    <n v="-2042"/>
    <n v="3080"/>
    <n v="84"/>
    <x v="1"/>
    <x v="6"/>
    <x v="84"/>
    <x v="0"/>
  </r>
  <r>
    <x v="1693"/>
    <x v="0"/>
    <n v="2"/>
    <x v="113"/>
    <s v="28-05-2016"/>
    <x v="7"/>
    <x v="19"/>
    <x v="19"/>
    <x v="0"/>
    <n v="1"/>
    <x v="19"/>
    <s v="WI"/>
    <s v="29-05-2016"/>
    <n v="1048"/>
    <n v="642"/>
    <n v="61.25954198473282"/>
    <n v="1.6698473282442747"/>
    <n v="1750"/>
    <n v="2.6154580152671754"/>
    <n v="991"/>
    <n v="2741"/>
    <n v="55"/>
    <x v="1"/>
    <x v="7"/>
    <x v="84"/>
    <x v="0"/>
  </r>
  <r>
    <x v="1694"/>
    <x v="2"/>
    <n v="5"/>
    <x v="318"/>
    <s v="31-05-2016"/>
    <x v="7"/>
    <x v="23"/>
    <x v="23"/>
    <x v="1"/>
    <n v="1"/>
    <x v="23"/>
    <s v="WI"/>
    <s v="01-06-2016"/>
    <n v="945"/>
    <n v="315"/>
    <n v="33.333333333333329"/>
    <n v="4.2328042328042326E-2"/>
    <n v="40"/>
    <n v="0.1492063492063492"/>
    <n v="101"/>
    <n v="141"/>
    <n v="60"/>
    <x v="1"/>
    <x v="5"/>
    <x v="84"/>
    <x v="0"/>
  </r>
  <r>
    <x v="1695"/>
    <x v="2"/>
    <n v="4"/>
    <x v="261"/>
    <s v="09-06-2016"/>
    <x v="6"/>
    <x v="9"/>
    <x v="9"/>
    <x v="3"/>
    <n v="1"/>
    <x v="9"/>
    <s v="IN"/>
    <s v="10-06-2016"/>
    <n v="337"/>
    <n v="337"/>
    <n v="100"/>
    <n v="8.0178041543026701"/>
    <n v="2702"/>
    <n v="2.8308605341246289"/>
    <n v="-1748"/>
    <n v="954"/>
    <n v="65"/>
    <x v="1"/>
    <x v="6"/>
    <x v="84"/>
    <x v="0"/>
  </r>
  <r>
    <x v="1696"/>
    <x v="0"/>
    <n v="6"/>
    <x v="306"/>
    <s v="12-07-2016"/>
    <x v="3"/>
    <x v="19"/>
    <x v="19"/>
    <x v="0"/>
    <n v="1"/>
    <x v="19"/>
    <s v="WI"/>
    <s v="13-07-2016"/>
    <n v="1151"/>
    <n v="566"/>
    <n v="49.17463075586447"/>
    <n v="5.72632493483927"/>
    <n v="6591"/>
    <n v="6.3683753258036493"/>
    <n v="739"/>
    <n v="7330"/>
    <n v="85"/>
    <x v="1"/>
    <x v="9"/>
    <x v="84"/>
    <x v="0"/>
  </r>
  <r>
    <x v="1697"/>
    <x v="0"/>
    <n v="3"/>
    <x v="19"/>
    <s v="02-03-2016"/>
    <x v="1"/>
    <x v="11"/>
    <x v="11"/>
    <x v="2"/>
    <n v="1"/>
    <x v="11"/>
    <s v="MI"/>
    <s v="03-03-2016"/>
    <n v="932"/>
    <n v="526"/>
    <n v="56.437768240343345"/>
    <n v="8.5590128755364798"/>
    <n v="7977"/>
    <n v="9.3959227467811157"/>
    <n v="780"/>
    <n v="8757"/>
    <n v="81"/>
    <x v="2"/>
    <x v="1"/>
    <x v="84"/>
    <x v="0"/>
  </r>
  <r>
    <x v="1698"/>
    <x v="2"/>
    <n v="3"/>
    <x v="290"/>
    <s v="07-03-2016"/>
    <x v="1"/>
    <x v="20"/>
    <x v="20"/>
    <x v="1"/>
    <n v="1"/>
    <x v="20"/>
    <s v="IL"/>
    <s v="08-03-2016"/>
    <n v="711"/>
    <n v="242"/>
    <n v="34.036568213783404"/>
    <n v="4.0689170182841066"/>
    <n v="2893"/>
    <n v="4.666666666666667"/>
    <n v="425"/>
    <n v="3318"/>
    <n v="85"/>
    <x v="1"/>
    <x v="8"/>
    <x v="84"/>
    <x v="0"/>
  </r>
  <r>
    <x v="1699"/>
    <x v="2"/>
    <n v="6"/>
    <x v="128"/>
    <s v="25-07-2016"/>
    <x v="3"/>
    <x v="9"/>
    <x v="9"/>
    <x v="3"/>
    <n v="1"/>
    <x v="9"/>
    <s v="IN"/>
    <s v="26-07-2016"/>
    <n v="876"/>
    <n v="539"/>
    <n v="61.529680365296798"/>
    <n v="1.158675799086758"/>
    <n v="1015"/>
    <n v="1.2910958904109588"/>
    <n v="116"/>
    <n v="1131"/>
    <n v="93"/>
    <x v="2"/>
    <x v="8"/>
    <x v="84"/>
    <x v="0"/>
  </r>
  <r>
    <x v="1700"/>
    <x v="2"/>
    <n v="6"/>
    <x v="252"/>
    <s v="26-04-2016"/>
    <x v="0"/>
    <x v="23"/>
    <x v="23"/>
    <x v="1"/>
    <n v="1"/>
    <x v="23"/>
    <s v="WI"/>
    <s v="27-04-2016"/>
    <n v="681"/>
    <n v="681"/>
    <n v="100"/>
    <n v="2.3201174743024962"/>
    <n v="1580"/>
    <n v="2.7019089574155655"/>
    <n v="260"/>
    <n v="1840"/>
    <n v="81"/>
    <x v="1"/>
    <x v="6"/>
    <x v="84"/>
    <x v="0"/>
  </r>
  <r>
    <x v="1701"/>
    <x v="0"/>
    <n v="1"/>
    <x v="307"/>
    <s v="09-06-2016"/>
    <x v="6"/>
    <x v="5"/>
    <x v="5"/>
    <x v="3"/>
    <n v="1"/>
    <x v="5"/>
    <s v="IA"/>
    <s v="10-06-2016"/>
    <n v="597"/>
    <n v="597"/>
    <n v="100"/>
    <n v="11.949748743718592"/>
    <n v="7134"/>
    <n v="20.045226130653266"/>
    <n v="4833"/>
    <n v="11967"/>
    <n v="53"/>
    <x v="1"/>
    <x v="4"/>
    <x v="84"/>
    <x v="0"/>
  </r>
  <r>
    <x v="1702"/>
    <x v="2"/>
    <n v="6"/>
    <x v="304"/>
    <s v="30-04-2016"/>
    <x v="0"/>
    <x v="22"/>
    <x v="22"/>
    <x v="0"/>
    <n v="1"/>
    <x v="22"/>
    <s v="IL"/>
    <s v="01-05-2016"/>
    <n v="1081"/>
    <n v="383"/>
    <n v="35.430157261794633"/>
    <n v="6.9407955596669746"/>
    <n v="7503"/>
    <n v="7.3496762257169284"/>
    <n v="442"/>
    <n v="7945"/>
    <n v="51"/>
    <x v="1"/>
    <x v="9"/>
    <x v="84"/>
    <x v="0"/>
  </r>
  <r>
    <x v="1703"/>
    <x v="2"/>
    <n v="3"/>
    <x v="191"/>
    <s v="22-08-2016"/>
    <x v="5"/>
    <x v="2"/>
    <x v="2"/>
    <x v="1"/>
    <n v="1"/>
    <x v="2"/>
    <s v="IL"/>
    <s v="23-08-2016"/>
    <n v="856"/>
    <n v="549"/>
    <n v="64.13551401869158"/>
    <n v="0.58878504672897192"/>
    <n v="504"/>
    <n v="1.691588785046729"/>
    <n v="944"/>
    <n v="1448"/>
    <n v="71"/>
    <x v="1"/>
    <x v="2"/>
    <x v="84"/>
    <x v="0"/>
  </r>
  <r>
    <x v="1704"/>
    <x v="2"/>
    <n v="6"/>
    <x v="119"/>
    <s v="17-08-2016"/>
    <x v="5"/>
    <x v="1"/>
    <x v="1"/>
    <x v="1"/>
    <n v="1"/>
    <x v="1"/>
    <s v="WI"/>
    <s v="18-08-2016"/>
    <n v="562"/>
    <n v="562"/>
    <n v="100"/>
    <n v="9.5996441281138782"/>
    <n v="5395"/>
    <n v="10.069395017793594"/>
    <n v="264"/>
    <n v="5659"/>
    <n v="94"/>
    <x v="1"/>
    <x v="7"/>
    <x v="84"/>
    <x v="0"/>
  </r>
  <r>
    <x v="1705"/>
    <x v="0"/>
    <n v="6"/>
    <x v="324"/>
    <s v="03-02-2016"/>
    <x v="2"/>
    <x v="15"/>
    <x v="15"/>
    <x v="4"/>
    <n v="1"/>
    <x v="15"/>
    <s v="IL"/>
    <s v="03-02-2016"/>
    <n v="486"/>
    <n v="486"/>
    <n v="100"/>
    <n v="16.864197530864196"/>
    <n v="8196"/>
    <n v="17.672839506172838"/>
    <n v="393"/>
    <n v="8589"/>
    <n v="81"/>
    <x v="1"/>
    <x v="7"/>
    <x v="85"/>
    <x v="1"/>
  </r>
  <r>
    <x v="1706"/>
    <x v="2"/>
    <n v="6"/>
    <x v="49"/>
    <s v="20-05-2016"/>
    <x v="7"/>
    <x v="12"/>
    <x v="12"/>
    <x v="3"/>
    <n v="1"/>
    <x v="12"/>
    <s v="MI"/>
    <s v="21-05-2016"/>
    <n v="460"/>
    <n v="460"/>
    <n v="100"/>
    <n v="17.254347826086956"/>
    <n v="7937"/>
    <n v="18.921739130434784"/>
    <n v="767"/>
    <n v="8704"/>
    <n v="50"/>
    <x v="2"/>
    <x v="7"/>
    <x v="84"/>
    <x v="0"/>
  </r>
  <r>
    <x v="1707"/>
    <x v="2"/>
    <n v="5"/>
    <x v="105"/>
    <s v="02-04-2016"/>
    <x v="0"/>
    <x v="9"/>
    <x v="9"/>
    <x v="3"/>
    <n v="1"/>
    <x v="9"/>
    <s v="IN"/>
    <s v="03-04-2016"/>
    <n v="790"/>
    <n v="584"/>
    <n v="73.924050632911403"/>
    <n v="1.0417721518987342"/>
    <n v="823"/>
    <n v="1.8291139240506329"/>
    <n v="622"/>
    <n v="1445"/>
    <n v="71"/>
    <x v="1"/>
    <x v="3"/>
    <x v="84"/>
    <x v="0"/>
  </r>
  <r>
    <x v="1708"/>
    <x v="2"/>
    <n v="6"/>
    <x v="104"/>
    <s v="12-02-2016"/>
    <x v="2"/>
    <x v="23"/>
    <x v="23"/>
    <x v="1"/>
    <n v="1"/>
    <x v="23"/>
    <s v="WI"/>
    <s v="13-02-2016"/>
    <n v="796"/>
    <n v="300"/>
    <n v="37.688442211055282"/>
    <n v="0.60175879396984921"/>
    <n v="479"/>
    <n v="1.7600502512562815"/>
    <n v="922"/>
    <n v="1401"/>
    <n v="79"/>
    <x v="1"/>
    <x v="7"/>
    <x v="84"/>
    <x v="0"/>
  </r>
  <r>
    <x v="1709"/>
    <x v="2"/>
    <n v="2"/>
    <x v="203"/>
    <s v="24-03-2016"/>
    <x v="1"/>
    <x v="21"/>
    <x v="21"/>
    <x v="2"/>
    <n v="1"/>
    <x v="21"/>
    <s v="IL"/>
    <s v="25-03-2016"/>
    <n v="477"/>
    <n v="477"/>
    <n v="100"/>
    <n v="0.62264150943396224"/>
    <n v="297"/>
    <n v="1.079664570230608"/>
    <n v="218"/>
    <n v="515"/>
    <n v="87"/>
    <x v="1"/>
    <x v="2"/>
    <x v="84"/>
    <x v="0"/>
  </r>
  <r>
    <x v="1710"/>
    <x v="2"/>
    <n v="1"/>
    <x v="254"/>
    <s v="06-02-2016"/>
    <x v="2"/>
    <x v="8"/>
    <x v="8"/>
    <x v="3"/>
    <n v="1"/>
    <x v="8"/>
    <s v="OH"/>
    <s v="07-02-2016"/>
    <n v="283"/>
    <n v="283"/>
    <n v="100"/>
    <n v="7.2367491166077738"/>
    <n v="2048"/>
    <n v="23.851590106007066"/>
    <n v="4702"/>
    <n v="6750"/>
    <n v="95"/>
    <x v="2"/>
    <x v="6"/>
    <x v="84"/>
    <x v="0"/>
  </r>
  <r>
    <x v="1711"/>
    <x v="2"/>
    <n v="1"/>
    <x v="5"/>
    <s v="12-02-2016"/>
    <x v="2"/>
    <x v="3"/>
    <x v="3"/>
    <x v="2"/>
    <n v="1"/>
    <x v="3"/>
    <s v="IL"/>
    <s v="13-02-2016"/>
    <n v="905"/>
    <n v="782"/>
    <n v="86.408839779005518"/>
    <n v="8.0718232044198892"/>
    <n v="7305"/>
    <n v="12.717127071823205"/>
    <n v="4204"/>
    <n v="11509"/>
    <n v="50"/>
    <x v="1"/>
    <x v="1"/>
    <x v="84"/>
    <x v="0"/>
  </r>
  <r>
    <x v="1712"/>
    <x v="2"/>
    <n v="2"/>
    <x v="279"/>
    <s v="04-06-2016"/>
    <x v="6"/>
    <x v="10"/>
    <x v="10"/>
    <x v="1"/>
    <n v="1"/>
    <x v="10"/>
    <s v="IL"/>
    <s v="05-06-2016"/>
    <n v="297"/>
    <n v="297"/>
    <n v="100"/>
    <n v="12.905723905723907"/>
    <n v="3833"/>
    <n v="14.62962962962963"/>
    <n v="512"/>
    <n v="4345"/>
    <n v="82"/>
    <x v="1"/>
    <x v="7"/>
    <x v="84"/>
    <x v="0"/>
  </r>
  <r>
    <x v="1713"/>
    <x v="2"/>
    <n v="1"/>
    <x v="247"/>
    <s v="21-03-2016"/>
    <x v="1"/>
    <x v="22"/>
    <x v="22"/>
    <x v="0"/>
    <n v="1"/>
    <x v="22"/>
    <s v="IL"/>
    <s v="22-03-2016"/>
    <n v="1129"/>
    <n v="291"/>
    <n v="25.775022143489814"/>
    <n v="3.2134632418069087"/>
    <n v="3628"/>
    <n v="7.2409211691762625"/>
    <n v="4547"/>
    <n v="8175"/>
    <n v="55"/>
    <x v="1"/>
    <x v="2"/>
    <x v="84"/>
    <x v="0"/>
  </r>
  <r>
    <x v="1714"/>
    <x v="0"/>
    <n v="5"/>
    <x v="308"/>
    <s v="17-08-2016"/>
    <x v="5"/>
    <x v="19"/>
    <x v="19"/>
    <x v="0"/>
    <n v="1"/>
    <x v="19"/>
    <s v="WI"/>
    <s v="18-08-2016"/>
    <n v="296"/>
    <n v="296"/>
    <n v="100"/>
    <n v="26.22972972972973"/>
    <n v="7764"/>
    <n v="28.739864864864863"/>
    <n v="743"/>
    <n v="8507"/>
    <n v="81"/>
    <x v="1"/>
    <x v="6"/>
    <x v="84"/>
    <x v="0"/>
  </r>
  <r>
    <x v="1715"/>
    <x v="0"/>
    <n v="6"/>
    <x v="193"/>
    <s v="01-03-2016"/>
    <x v="1"/>
    <x v="16"/>
    <x v="16"/>
    <x v="4"/>
    <n v="1"/>
    <x v="16"/>
    <s v="MI"/>
    <s v="02-03-2016"/>
    <n v="518"/>
    <n v="518"/>
    <n v="100"/>
    <n v="9.0231660231660236"/>
    <n v="4674"/>
    <n v="9.519305019305019"/>
    <n v="257"/>
    <n v="4931"/>
    <n v="64"/>
    <x v="1"/>
    <x v="0"/>
    <x v="84"/>
    <x v="0"/>
  </r>
  <r>
    <x v="1716"/>
    <x v="0"/>
    <n v="6"/>
    <x v="249"/>
    <s v="02-01-2016"/>
    <x v="4"/>
    <x v="17"/>
    <x v="17"/>
    <x v="3"/>
    <n v="1"/>
    <x v="17"/>
    <s v="OH"/>
    <s v="03-01-2016"/>
    <n v="652"/>
    <n v="652"/>
    <n v="100"/>
    <n v="0.48773006134969327"/>
    <n v="318"/>
    <n v="1.1595092024539877"/>
    <n v="438"/>
    <n v="756"/>
    <n v="61"/>
    <x v="1"/>
    <x v="0"/>
    <x v="84"/>
    <x v="0"/>
  </r>
  <r>
    <x v="1717"/>
    <x v="0"/>
    <n v="4"/>
    <x v="106"/>
    <s v="16-05-2016"/>
    <x v="7"/>
    <x v="3"/>
    <x v="3"/>
    <x v="2"/>
    <n v="1"/>
    <x v="3"/>
    <s v="IL"/>
    <s v="17-05-2016"/>
    <n v="847"/>
    <n v="308"/>
    <n v="36.363636363636367"/>
    <n v="7.4179456906729637"/>
    <n v="6283"/>
    <n v="5.5242030696576148"/>
    <n v="-1604"/>
    <n v="4679"/>
    <n v="76"/>
    <x v="1"/>
    <x v="8"/>
    <x v="84"/>
    <x v="0"/>
  </r>
  <r>
    <x v="1718"/>
    <x v="2"/>
    <n v="2"/>
    <x v="286"/>
    <s v="24-07-2016"/>
    <x v="3"/>
    <x v="4"/>
    <x v="4"/>
    <x v="2"/>
    <n v="1"/>
    <x v="4"/>
    <s v="MI"/>
    <s v="25-07-2016"/>
    <n v="814"/>
    <n v="679"/>
    <n v="83.415233415233416"/>
    <n v="6.0995085995085994"/>
    <n v="4965"/>
    <n v="7.0233415233415233"/>
    <n v="752"/>
    <n v="5717"/>
    <n v="60"/>
    <x v="2"/>
    <x v="7"/>
    <x v="84"/>
    <x v="0"/>
  </r>
  <r>
    <x v="1719"/>
    <x v="0"/>
    <n v="6"/>
    <x v="151"/>
    <s v="31-01-2016"/>
    <x v="4"/>
    <x v="1"/>
    <x v="1"/>
    <x v="1"/>
    <n v="1"/>
    <x v="1"/>
    <s v="WI"/>
    <s v="01-02-2016"/>
    <n v="1040"/>
    <n v="570"/>
    <n v="54.807692307692314"/>
    <n v="8.0086538461538463"/>
    <n v="8329"/>
    <n v="8.263461538461538"/>
    <n v="265"/>
    <n v="8594"/>
    <n v="59"/>
    <x v="1"/>
    <x v="5"/>
    <x v="84"/>
    <x v="0"/>
  </r>
  <r>
    <x v="1720"/>
    <x v="0"/>
    <n v="1"/>
    <x v="120"/>
    <s v="20-07-2016"/>
    <x v="3"/>
    <x v="16"/>
    <x v="16"/>
    <x v="4"/>
    <n v="1"/>
    <x v="16"/>
    <s v="MI"/>
    <s v="21-07-2016"/>
    <n v="588"/>
    <n v="588"/>
    <n v="100"/>
    <n v="12.236394557823129"/>
    <n v="7195"/>
    <n v="19.877551020408163"/>
    <n v="4493"/>
    <n v="11688"/>
    <n v="100"/>
    <x v="1"/>
    <x v="3"/>
    <x v="84"/>
    <x v="0"/>
  </r>
  <r>
    <x v="1721"/>
    <x v="0"/>
    <n v="1"/>
    <x v="135"/>
    <s v="12-05-2016"/>
    <x v="7"/>
    <x v="8"/>
    <x v="8"/>
    <x v="3"/>
    <n v="1"/>
    <x v="8"/>
    <s v="OH"/>
    <s v="13-05-2016"/>
    <n v="387"/>
    <n v="223"/>
    <n v="57.622739018087856"/>
    <n v="14.488372093023257"/>
    <n v="5607"/>
    <n v="25.162790697674417"/>
    <n v="4131"/>
    <n v="9738"/>
    <n v="56"/>
    <x v="1"/>
    <x v="9"/>
    <x v="84"/>
    <x v="0"/>
  </r>
  <r>
    <x v="1722"/>
    <x v="2"/>
    <n v="2"/>
    <x v="147"/>
    <s v="31-08-2016"/>
    <x v="5"/>
    <x v="9"/>
    <x v="9"/>
    <x v="3"/>
    <n v="1"/>
    <x v="9"/>
    <s v="IN"/>
    <s v="01-09-2016"/>
    <n v="807"/>
    <n v="281"/>
    <n v="34.820322180916975"/>
    <n v="0.29244114002478316"/>
    <n v="236"/>
    <n v="0.72614622057001244"/>
    <n v="350"/>
    <n v="586"/>
    <n v="92"/>
    <x v="2"/>
    <x v="4"/>
    <x v="84"/>
    <x v="0"/>
  </r>
  <r>
    <x v="1723"/>
    <x v="0"/>
    <n v="6"/>
    <x v="195"/>
    <s v="15-03-2016"/>
    <x v="1"/>
    <x v="23"/>
    <x v="23"/>
    <x v="1"/>
    <n v="1"/>
    <x v="23"/>
    <s v="WI"/>
    <s v="16-03-2016"/>
    <n v="1077"/>
    <n v="454"/>
    <n v="42.154131847725161"/>
    <n v="5.6332404828226554"/>
    <n v="6067"/>
    <n v="5.7493036211699167"/>
    <n v="125"/>
    <n v="6192"/>
    <n v="60"/>
    <x v="1"/>
    <x v="9"/>
    <x v="84"/>
    <x v="0"/>
  </r>
  <r>
    <x v="1724"/>
    <x v="2"/>
    <n v="5"/>
    <x v="287"/>
    <s v="28-07-2016"/>
    <x v="3"/>
    <x v="0"/>
    <x v="0"/>
    <x v="0"/>
    <n v="1"/>
    <x v="0"/>
    <s v="MI"/>
    <s v="29-07-2016"/>
    <n v="1163"/>
    <n v="323"/>
    <n v="27.773000859845226"/>
    <n v="1.8417884780739466"/>
    <n v="2142"/>
    <n v="1.9449699054170249"/>
    <n v="120"/>
    <n v="2262"/>
    <n v="64"/>
    <x v="1"/>
    <x v="6"/>
    <x v="84"/>
    <x v="0"/>
  </r>
  <r>
    <x v="1725"/>
    <x v="0"/>
    <n v="2"/>
    <x v="11"/>
    <s v="26-02-2016"/>
    <x v="2"/>
    <x v="16"/>
    <x v="16"/>
    <x v="4"/>
    <n v="1"/>
    <x v="16"/>
    <s v="MI"/>
    <s v="27-02-2016"/>
    <n v="938"/>
    <n v="422"/>
    <n v="44.989339019189764"/>
    <n v="6.3944562899786783"/>
    <n v="5998"/>
    <n v="6.5191897654584219"/>
    <n v="117"/>
    <n v="6115"/>
    <n v="84"/>
    <x v="1"/>
    <x v="9"/>
    <x v="84"/>
    <x v="0"/>
  </r>
  <r>
    <x v="1726"/>
    <x v="0"/>
    <n v="6"/>
    <x v="220"/>
    <s v="04-05-2016"/>
    <x v="7"/>
    <x v="8"/>
    <x v="8"/>
    <x v="3"/>
    <n v="1"/>
    <x v="8"/>
    <s v="OH"/>
    <s v="05-05-2016"/>
    <n v="325"/>
    <n v="256"/>
    <n v="78.769230769230774"/>
    <n v="3.3692307692307693"/>
    <n v="1095"/>
    <n v="5.4553846153846157"/>
    <n v="678"/>
    <n v="1773"/>
    <n v="50"/>
    <x v="1"/>
    <x v="3"/>
    <x v="84"/>
    <x v="0"/>
  </r>
  <r>
    <x v="1727"/>
    <x v="0"/>
    <n v="5"/>
    <x v="52"/>
    <s v="01-05-2016"/>
    <x v="7"/>
    <x v="10"/>
    <x v="10"/>
    <x v="1"/>
    <n v="1"/>
    <x v="10"/>
    <s v="IL"/>
    <s v="02-05-2016"/>
    <n v="218"/>
    <n v="218"/>
    <n v="100"/>
    <n v="28.88532110091743"/>
    <n v="6297"/>
    <n v="31.211009174311926"/>
    <n v="507"/>
    <n v="6804"/>
    <n v="87"/>
    <x v="2"/>
    <x v="6"/>
    <x v="84"/>
    <x v="0"/>
  </r>
  <r>
    <x v="1728"/>
    <x v="2"/>
    <n v="6"/>
    <x v="136"/>
    <s v="01-07-2016"/>
    <x v="3"/>
    <x v="14"/>
    <x v="14"/>
    <x v="1"/>
    <n v="1"/>
    <x v="14"/>
    <s v="IL"/>
    <s v="02-07-2016"/>
    <n v="941"/>
    <n v="218"/>
    <n v="23.166843783209352"/>
    <n v="3.7555791710945803"/>
    <n v="3534"/>
    <n v="4.394261424017003"/>
    <n v="601"/>
    <n v="4135"/>
    <n v="91"/>
    <x v="1"/>
    <x v="7"/>
    <x v="84"/>
    <x v="0"/>
  </r>
  <r>
    <x v="1729"/>
    <x v="0"/>
    <n v="4"/>
    <x v="288"/>
    <s v="04-04-2016"/>
    <x v="0"/>
    <x v="22"/>
    <x v="22"/>
    <x v="0"/>
    <n v="1"/>
    <x v="22"/>
    <s v="IL"/>
    <s v="05-04-2016"/>
    <n v="408"/>
    <n v="388"/>
    <n v="95.098039215686271"/>
    <n v="9.8995098039215694"/>
    <n v="4039"/>
    <n v="5.3651960784313726"/>
    <n v="-1850"/>
    <n v="2189"/>
    <n v="76"/>
    <x v="1"/>
    <x v="9"/>
    <x v="84"/>
    <x v="0"/>
  </r>
  <r>
    <x v="1730"/>
    <x v="0"/>
    <n v="5"/>
    <x v="137"/>
    <s v="06-07-2016"/>
    <x v="3"/>
    <x v="2"/>
    <x v="2"/>
    <x v="1"/>
    <n v="1"/>
    <x v="2"/>
    <s v="IL"/>
    <s v="07-07-2016"/>
    <n v="476"/>
    <n v="462"/>
    <n v="97.058823529411768"/>
    <n v="0.70378151260504207"/>
    <n v="335"/>
    <n v="1.5084033613445378"/>
    <n v="383"/>
    <n v="718"/>
    <n v="83"/>
    <x v="1"/>
    <x v="9"/>
    <x v="84"/>
    <x v="0"/>
  </r>
  <r>
    <x v="1731"/>
    <x v="2"/>
    <n v="2"/>
    <x v="221"/>
    <s v="10-08-2016"/>
    <x v="5"/>
    <x v="23"/>
    <x v="23"/>
    <x v="1"/>
    <n v="1"/>
    <x v="23"/>
    <s v="WI"/>
    <s v="10-08-2016"/>
    <n v="1054"/>
    <n v="732"/>
    <n v="69.449715370018978"/>
    <n v="0.67267552182163193"/>
    <n v="709"/>
    <n v="1.5161290322580645"/>
    <n v="889"/>
    <n v="1598"/>
    <n v="76"/>
    <x v="1"/>
    <x v="7"/>
    <x v="85"/>
    <x v="1"/>
  </r>
  <r>
    <x v="1732"/>
    <x v="2"/>
    <n v="2"/>
    <x v="174"/>
    <s v="02-03-2016"/>
    <x v="1"/>
    <x v="4"/>
    <x v="4"/>
    <x v="2"/>
    <n v="1"/>
    <x v="4"/>
    <s v="MI"/>
    <s v="03-03-2016"/>
    <n v="263"/>
    <n v="263"/>
    <n v="100"/>
    <n v="30.711026615969583"/>
    <n v="8077"/>
    <n v="32.49049429657795"/>
    <n v="468"/>
    <n v="8545"/>
    <n v="78"/>
    <x v="1"/>
    <x v="0"/>
    <x v="84"/>
    <x v="0"/>
  </r>
  <r>
    <x v="1733"/>
    <x v="0"/>
    <n v="3"/>
    <x v="53"/>
    <s v="04-07-2016"/>
    <x v="3"/>
    <x v="1"/>
    <x v="1"/>
    <x v="1"/>
    <n v="1"/>
    <x v="1"/>
    <s v="WI"/>
    <s v="05-07-2016"/>
    <n v="893"/>
    <n v="296"/>
    <n v="33.146696528555431"/>
    <n v="6.758118701007839"/>
    <n v="6035"/>
    <n v="7.8667413213885782"/>
    <n v="990"/>
    <n v="7025"/>
    <n v="79"/>
    <x v="1"/>
    <x v="4"/>
    <x v="84"/>
    <x v="0"/>
  </r>
  <r>
    <x v="1734"/>
    <x v="2"/>
    <n v="3"/>
    <x v="323"/>
    <s v="25-05-2016"/>
    <x v="7"/>
    <x v="17"/>
    <x v="17"/>
    <x v="3"/>
    <n v="1"/>
    <x v="17"/>
    <s v="OH"/>
    <s v="26-05-2016"/>
    <n v="1056"/>
    <n v="700"/>
    <n v="66.287878787878782"/>
    <n v="6.5691287878787881"/>
    <n v="6937"/>
    <n v="7.3475378787878789"/>
    <n v="822"/>
    <n v="7759"/>
    <n v="86"/>
    <x v="1"/>
    <x v="1"/>
    <x v="84"/>
    <x v="0"/>
  </r>
  <r>
    <x v="1735"/>
    <x v="0"/>
    <n v="4"/>
    <x v="74"/>
    <s v="25-05-2016"/>
    <x v="7"/>
    <x v="3"/>
    <x v="3"/>
    <x v="2"/>
    <n v="1"/>
    <x v="3"/>
    <s v="IL"/>
    <s v="26-05-2016"/>
    <n v="960"/>
    <n v="523"/>
    <n v="54.479166666666664"/>
    <n v="5.2843749999999998"/>
    <n v="5073"/>
    <n v="3.9364583333333334"/>
    <n v="-1294"/>
    <n v="3779"/>
    <n v="96"/>
    <x v="1"/>
    <x v="1"/>
    <x v="84"/>
    <x v="0"/>
  </r>
  <r>
    <x v="1736"/>
    <x v="0"/>
    <n v="1"/>
    <x v="109"/>
    <s v="01-04-2016"/>
    <x v="0"/>
    <x v="0"/>
    <x v="0"/>
    <x v="0"/>
    <n v="1"/>
    <x v="0"/>
    <s v="MI"/>
    <s v="02-04-2016"/>
    <n v="469"/>
    <n v="469"/>
    <n v="100"/>
    <n v="4.5266524520255862"/>
    <n v="2123"/>
    <n v="14.08955223880597"/>
    <n v="4485"/>
    <n v="6608"/>
    <n v="73"/>
    <x v="1"/>
    <x v="7"/>
    <x v="84"/>
    <x v="0"/>
  </r>
  <r>
    <x v="1737"/>
    <x v="2"/>
    <n v="2"/>
    <x v="208"/>
    <s v="01-03-2016"/>
    <x v="1"/>
    <x v="4"/>
    <x v="4"/>
    <x v="2"/>
    <n v="1"/>
    <x v="4"/>
    <s v="MI"/>
    <s v="02-03-2016"/>
    <n v="213"/>
    <n v="213"/>
    <n v="100"/>
    <n v="11.76056338028169"/>
    <n v="2505"/>
    <n v="16.422535211267604"/>
    <n v="993"/>
    <n v="3498"/>
    <n v="60"/>
    <x v="1"/>
    <x v="8"/>
    <x v="84"/>
    <x v="0"/>
  </r>
  <r>
    <x v="1738"/>
    <x v="0"/>
    <n v="5"/>
    <x v="269"/>
    <s v="28-08-2016"/>
    <x v="5"/>
    <x v="21"/>
    <x v="21"/>
    <x v="2"/>
    <n v="1"/>
    <x v="21"/>
    <s v="IL"/>
    <s v="29-08-2016"/>
    <n v="927"/>
    <n v="522"/>
    <n v="56.310679611650485"/>
    <n v="0.2459546925566343"/>
    <n v="228"/>
    <n v="0.389428263214671"/>
    <n v="133"/>
    <n v="361"/>
    <n v="76"/>
    <x v="1"/>
    <x v="2"/>
    <x v="84"/>
    <x v="0"/>
  </r>
  <r>
    <x v="1739"/>
    <x v="2"/>
    <n v="3"/>
    <x v="139"/>
    <s v="06-01-2016"/>
    <x v="4"/>
    <x v="8"/>
    <x v="8"/>
    <x v="3"/>
    <n v="1"/>
    <x v="8"/>
    <s v="OH"/>
    <s v="07-01-2016"/>
    <n v="1121"/>
    <n v="646"/>
    <n v="57.627118644067799"/>
    <n v="6.5887600356824265"/>
    <n v="7386"/>
    <n v="6.7466547725245318"/>
    <n v="177"/>
    <n v="7563"/>
    <n v="67"/>
    <x v="2"/>
    <x v="4"/>
    <x v="84"/>
    <x v="0"/>
  </r>
  <r>
    <x v="1740"/>
    <x v="2"/>
    <n v="1"/>
    <x v="260"/>
    <s v="17-02-2016"/>
    <x v="2"/>
    <x v="10"/>
    <x v="10"/>
    <x v="1"/>
    <n v="1"/>
    <x v="10"/>
    <s v="IL"/>
    <s v="18-02-2016"/>
    <n v="565"/>
    <n v="530"/>
    <n v="93.805309734513273"/>
    <n v="0.77876106194690264"/>
    <n v="440"/>
    <n v="10.350442477876106"/>
    <n v="5408"/>
    <n v="5848"/>
    <n v="57"/>
    <x v="1"/>
    <x v="8"/>
    <x v="84"/>
    <x v="0"/>
  </r>
  <r>
    <x v="1741"/>
    <x v="0"/>
    <n v="1"/>
    <x v="311"/>
    <s v="16-03-2016"/>
    <x v="1"/>
    <x v="2"/>
    <x v="2"/>
    <x v="1"/>
    <n v="1"/>
    <x v="2"/>
    <s v="IL"/>
    <s v="17-03-2016"/>
    <n v="221"/>
    <n v="221"/>
    <n v="100"/>
    <n v="37.022624434389144"/>
    <n v="8182"/>
    <n v="58.800904977375566"/>
    <n v="4813"/>
    <n v="12995"/>
    <n v="96"/>
    <x v="1"/>
    <x v="8"/>
    <x v="84"/>
    <x v="0"/>
  </r>
  <r>
    <x v="1742"/>
    <x v="2"/>
    <n v="3"/>
    <x v="76"/>
    <s v="08-01-2016"/>
    <x v="4"/>
    <x v="19"/>
    <x v="19"/>
    <x v="0"/>
    <n v="1"/>
    <x v="19"/>
    <s v="WI"/>
    <s v="09-01-2016"/>
    <n v="886"/>
    <n v="203"/>
    <n v="22.911963882618512"/>
    <n v="2.8216704288939052E-2"/>
    <n v="25"/>
    <n v="0.95598194130925507"/>
    <n v="822"/>
    <n v="847"/>
    <n v="54"/>
    <x v="1"/>
    <x v="8"/>
    <x v="84"/>
    <x v="0"/>
  </r>
  <r>
    <x v="1743"/>
    <x v="0"/>
    <n v="6"/>
    <x v="57"/>
    <s v="03-05-2016"/>
    <x v="7"/>
    <x v="11"/>
    <x v="11"/>
    <x v="2"/>
    <n v="1"/>
    <x v="11"/>
    <s v="MI"/>
    <s v="04-05-2016"/>
    <n v="656"/>
    <n v="656"/>
    <n v="100"/>
    <n v="3.8109756097560975E-2"/>
    <n v="25"/>
    <n v="1.0975609756097562"/>
    <n v="695"/>
    <n v="720"/>
    <n v="95"/>
    <x v="2"/>
    <x v="7"/>
    <x v="84"/>
    <x v="0"/>
  </r>
  <r>
    <x v="1744"/>
    <x v="0"/>
    <n v="3"/>
    <x v="31"/>
    <s v="19-01-2016"/>
    <x v="4"/>
    <x v="15"/>
    <x v="15"/>
    <x v="4"/>
    <n v="1"/>
    <x v="15"/>
    <s v="IL"/>
    <s v="20-01-2016"/>
    <n v="346"/>
    <n v="346"/>
    <n v="100"/>
    <n v="9.4306358381502893"/>
    <n v="3263"/>
    <n v="10.15028901734104"/>
    <n v="249"/>
    <n v="3512"/>
    <n v="98"/>
    <x v="1"/>
    <x v="7"/>
    <x v="84"/>
    <x v="0"/>
  </r>
  <r>
    <x v="1745"/>
    <x v="0"/>
    <n v="1"/>
    <x v="212"/>
    <s v="24-03-2016"/>
    <x v="1"/>
    <x v="21"/>
    <x v="21"/>
    <x v="2"/>
    <n v="1"/>
    <x v="21"/>
    <s v="IL"/>
    <s v="25-03-2016"/>
    <n v="697"/>
    <n v="557"/>
    <n v="79.913916786226693"/>
    <n v="1.6413199426111909"/>
    <n v="1144"/>
    <n v="7.2826398852223813"/>
    <n v="3932"/>
    <n v="5076"/>
    <n v="70"/>
    <x v="1"/>
    <x v="8"/>
    <x v="84"/>
    <x v="0"/>
  </r>
  <r>
    <x v="1746"/>
    <x v="0"/>
    <n v="5"/>
    <x v="35"/>
    <s v="29-04-2016"/>
    <x v="0"/>
    <x v="5"/>
    <x v="5"/>
    <x v="3"/>
    <n v="1"/>
    <x v="5"/>
    <s v="IA"/>
    <s v="30-04-2016"/>
    <n v="675"/>
    <n v="542"/>
    <n v="80.296296296296305"/>
    <n v="11.837037037037037"/>
    <n v="7990"/>
    <n v="12.65037037037037"/>
    <n v="549"/>
    <n v="8539"/>
    <n v="93"/>
    <x v="1"/>
    <x v="1"/>
    <x v="84"/>
    <x v="0"/>
  </r>
  <r>
    <x v="1747"/>
    <x v="0"/>
    <n v="2"/>
    <x v="59"/>
    <s v="20-08-2016"/>
    <x v="5"/>
    <x v="7"/>
    <x v="7"/>
    <x v="5"/>
    <n v="1"/>
    <x v="7"/>
    <s v="WI"/>
    <s v="21-08-2016"/>
    <n v="253"/>
    <n v="253"/>
    <n v="100"/>
    <n v="22.450592885375492"/>
    <n v="5680"/>
    <n v="24.201581027667984"/>
    <n v="443"/>
    <n v="6123"/>
    <n v="54"/>
    <x v="1"/>
    <x v="9"/>
    <x v="84"/>
    <x v="0"/>
  </r>
  <r>
    <x v="1748"/>
    <x v="0"/>
    <n v="2"/>
    <x v="297"/>
    <s v="17-08-2016"/>
    <x v="5"/>
    <x v="18"/>
    <x v="18"/>
    <x v="1"/>
    <n v="1"/>
    <x v="18"/>
    <s v="IN"/>
    <s v="17-08-2016"/>
    <n v="922"/>
    <n v="545"/>
    <n v="59.110629067245121"/>
    <n v="2.715835140997831"/>
    <n v="2504"/>
    <n v="3.2733188720173536"/>
    <n v="514"/>
    <n v="3018"/>
    <n v="56"/>
    <x v="1"/>
    <x v="2"/>
    <x v="85"/>
    <x v="1"/>
  </r>
  <r>
    <x v="1749"/>
    <x v="0"/>
    <n v="2"/>
    <x v="79"/>
    <s v="19-03-2016"/>
    <x v="1"/>
    <x v="1"/>
    <x v="1"/>
    <x v="1"/>
    <n v="1"/>
    <x v="1"/>
    <s v="WI"/>
    <s v="20-03-2016"/>
    <n v="453"/>
    <n v="248"/>
    <n v="54.746136865342166"/>
    <n v="19"/>
    <n v="8607"/>
    <n v="19.278145695364238"/>
    <n v="126"/>
    <n v="8733"/>
    <n v="94"/>
    <x v="1"/>
    <x v="4"/>
    <x v="84"/>
    <x v="0"/>
  </r>
  <r>
    <x v="1750"/>
    <x v="0"/>
    <n v="3"/>
    <x v="187"/>
    <s v="21-05-2016"/>
    <x v="7"/>
    <x v="6"/>
    <x v="6"/>
    <x v="4"/>
    <n v="1"/>
    <x v="6"/>
    <s v="IN"/>
    <s v="22-05-2016"/>
    <n v="401"/>
    <n v="261"/>
    <n v="65.087281795511217"/>
    <n v="18.506234413965089"/>
    <n v="7421"/>
    <n v="20.154613466334165"/>
    <n v="661"/>
    <n v="8082"/>
    <n v="97"/>
    <x v="1"/>
    <x v="9"/>
    <x v="84"/>
    <x v="0"/>
  </r>
  <r>
    <x v="1751"/>
    <x v="0"/>
    <n v="3"/>
    <x v="227"/>
    <s v="20-05-2016"/>
    <x v="7"/>
    <x v="5"/>
    <x v="5"/>
    <x v="3"/>
    <n v="1"/>
    <x v="5"/>
    <s v="IA"/>
    <s v="21-05-2016"/>
    <n v="928"/>
    <n v="638"/>
    <n v="68.75"/>
    <n v="4.7079741379310347"/>
    <n v="4369"/>
    <n v="5.6756465517241379"/>
    <n v="898"/>
    <n v="5267"/>
    <n v="87"/>
    <x v="1"/>
    <x v="1"/>
    <x v="84"/>
    <x v="0"/>
  </r>
  <r>
    <x v="1752"/>
    <x v="2"/>
    <n v="3"/>
    <x v="214"/>
    <s v="04-01-2016"/>
    <x v="4"/>
    <x v="13"/>
    <x v="13"/>
    <x v="1"/>
    <n v="1"/>
    <x v="13"/>
    <s v="OH"/>
    <s v="04-01-2016"/>
    <n v="936"/>
    <n v="693"/>
    <n v="74.038461538461547"/>
    <n v="0.92094017094017089"/>
    <n v="862"/>
    <n v="1.5021367521367521"/>
    <n v="544"/>
    <n v="1406"/>
    <n v="98"/>
    <x v="1"/>
    <x v="7"/>
    <x v="85"/>
    <x v="1"/>
  </r>
  <r>
    <x v="1753"/>
    <x v="0"/>
    <n v="4"/>
    <x v="188"/>
    <s v="27-06-2016"/>
    <x v="6"/>
    <x v="4"/>
    <x v="4"/>
    <x v="2"/>
    <n v="1"/>
    <x v="4"/>
    <s v="MI"/>
    <s v="28-06-2016"/>
    <n v="964"/>
    <n v="328"/>
    <n v="34.024896265560166"/>
    <n v="5.9045643153526974"/>
    <n v="5692"/>
    <n v="4.0383817427385891"/>
    <n v="-1799"/>
    <n v="3893"/>
    <n v="85"/>
    <x v="1"/>
    <x v="6"/>
    <x v="84"/>
    <x v="0"/>
  </r>
  <r>
    <x v="1754"/>
    <x v="0"/>
    <n v="5"/>
    <x v="306"/>
    <s v="11-08-2016"/>
    <x v="5"/>
    <x v="7"/>
    <x v="7"/>
    <x v="5"/>
    <n v="1"/>
    <x v="7"/>
    <s v="WI"/>
    <s v="12-08-2016"/>
    <n v="715"/>
    <n v="575"/>
    <n v="80.419580419580413"/>
    <n v="4.3818181818181818"/>
    <n v="3133"/>
    <n v="4.813986013986014"/>
    <n v="309"/>
    <n v="3442"/>
    <n v="84"/>
    <x v="1"/>
    <x v="7"/>
    <x v="84"/>
    <x v="0"/>
  </r>
  <r>
    <x v="1755"/>
    <x v="2"/>
    <n v="6"/>
    <x v="37"/>
    <s v="25-07-2016"/>
    <x v="3"/>
    <x v="17"/>
    <x v="17"/>
    <x v="3"/>
    <n v="1"/>
    <x v="17"/>
    <s v="OH"/>
    <s v="26-07-2016"/>
    <n v="844"/>
    <n v="231"/>
    <n v="27.369668246445499"/>
    <n v="9.738151658767773"/>
    <n v="8219"/>
    <n v="9.8862559241706158"/>
    <n v="125"/>
    <n v="8344"/>
    <n v="80"/>
    <x v="1"/>
    <x v="1"/>
    <x v="84"/>
    <x v="0"/>
  </r>
  <r>
    <x v="1756"/>
    <x v="2"/>
    <n v="5"/>
    <x v="38"/>
    <s v="12-06-2016"/>
    <x v="6"/>
    <x v="3"/>
    <x v="3"/>
    <x v="2"/>
    <n v="1"/>
    <x v="3"/>
    <s v="IL"/>
    <s v="13-06-2016"/>
    <n v="656"/>
    <n v="236"/>
    <n v="35.975609756097562"/>
    <n v="10.588414634146341"/>
    <n v="6946"/>
    <n v="11.135670731707316"/>
    <n v="359"/>
    <n v="7305"/>
    <n v="91"/>
    <x v="1"/>
    <x v="2"/>
    <x v="84"/>
    <x v="0"/>
  </r>
  <r>
    <x v="1757"/>
    <x v="0"/>
    <n v="1"/>
    <x v="157"/>
    <s v="13-07-2016"/>
    <x v="3"/>
    <x v="21"/>
    <x v="21"/>
    <x v="2"/>
    <n v="1"/>
    <x v="21"/>
    <s v="IL"/>
    <s v="14-07-2016"/>
    <n v="866"/>
    <n v="342"/>
    <n v="39.491916859122398"/>
    <n v="8.9018475750577366"/>
    <n v="7709"/>
    <n v="14.374133949191686"/>
    <n v="4739"/>
    <n v="12448"/>
    <n v="73"/>
    <x v="1"/>
    <x v="6"/>
    <x v="84"/>
    <x v="0"/>
  </r>
  <r>
    <x v="1758"/>
    <x v="0"/>
    <n v="2"/>
    <x v="40"/>
    <s v="28-08-2016"/>
    <x v="5"/>
    <x v="8"/>
    <x v="8"/>
    <x v="3"/>
    <n v="1"/>
    <x v="8"/>
    <s v="OH"/>
    <s v="29-08-2016"/>
    <n v="609"/>
    <n v="609"/>
    <n v="100"/>
    <n v="1.8013136288998357"/>
    <n v="1097"/>
    <n v="3.1461412151067325"/>
    <n v="819"/>
    <n v="1916"/>
    <n v="85"/>
    <x v="2"/>
    <x v="7"/>
    <x v="84"/>
    <x v="0"/>
  </r>
  <r>
    <x v="1759"/>
    <x v="2"/>
    <n v="3"/>
    <x v="273"/>
    <s v="28-01-2016"/>
    <x v="4"/>
    <x v="9"/>
    <x v="9"/>
    <x v="3"/>
    <n v="1"/>
    <x v="9"/>
    <s v="IN"/>
    <s v="29-01-2016"/>
    <n v="885"/>
    <n v="241"/>
    <n v="27.231638418079097"/>
    <n v="3.6372881355932205"/>
    <n v="3219"/>
    <n v="4.7604519774011296"/>
    <n v="994"/>
    <n v="4213"/>
    <n v="82"/>
    <x v="1"/>
    <x v="4"/>
    <x v="84"/>
    <x v="0"/>
  </r>
  <r>
    <x v="1760"/>
    <x v="2"/>
    <n v="6"/>
    <x v="42"/>
    <s v="27-07-2016"/>
    <x v="3"/>
    <x v="11"/>
    <x v="11"/>
    <x v="2"/>
    <n v="1"/>
    <x v="11"/>
    <s v="MI"/>
    <s v="28-07-2016"/>
    <n v="432"/>
    <n v="421"/>
    <n v="97.453703703703709"/>
    <n v="13.715277777777779"/>
    <n v="5925"/>
    <n v="14.664351851851851"/>
    <n v="410"/>
    <n v="6335"/>
    <n v="56"/>
    <x v="2"/>
    <x v="3"/>
    <x v="84"/>
    <x v="0"/>
  </r>
  <r>
    <x v="1761"/>
    <x v="2"/>
    <n v="2"/>
    <x v="321"/>
    <s v="15-02-2016"/>
    <x v="2"/>
    <x v="13"/>
    <x v="13"/>
    <x v="1"/>
    <n v="1"/>
    <x v="13"/>
    <s v="OH"/>
    <s v="15-02-2016"/>
    <n v="318"/>
    <n v="318"/>
    <n v="100"/>
    <n v="24.474842767295598"/>
    <n v="7783"/>
    <n v="26.786163522012579"/>
    <n v="735"/>
    <n v="8518"/>
    <n v="87"/>
    <x v="1"/>
    <x v="1"/>
    <x v="85"/>
    <x v="1"/>
  </r>
  <r>
    <x v="1762"/>
    <x v="0"/>
    <n v="2"/>
    <x v="129"/>
    <s v="15-03-2016"/>
    <x v="1"/>
    <x v="7"/>
    <x v="7"/>
    <x v="5"/>
    <n v="1"/>
    <x v="7"/>
    <s v="WI"/>
    <s v="16-03-2016"/>
    <n v="573"/>
    <n v="573"/>
    <n v="100"/>
    <n v="4.1239092495636998"/>
    <n v="2363"/>
    <n v="4.8987783595113434"/>
    <n v="444"/>
    <n v="2807"/>
    <n v="66"/>
    <x v="1"/>
    <x v="4"/>
    <x v="84"/>
    <x v="0"/>
  </r>
  <r>
    <x v="1763"/>
    <x v="2"/>
    <n v="2"/>
    <x v="84"/>
    <s v="11-07-2016"/>
    <x v="3"/>
    <x v="10"/>
    <x v="10"/>
    <x v="1"/>
    <n v="1"/>
    <x v="10"/>
    <s v="IL"/>
    <s v="12-07-2016"/>
    <n v="971"/>
    <n v="446"/>
    <n v="45.932028836251284"/>
    <n v="8.7929969104016479"/>
    <n v="8538"/>
    <n v="9.1318228630278071"/>
    <n v="329"/>
    <n v="8867"/>
    <n v="80"/>
    <x v="1"/>
    <x v="9"/>
    <x v="84"/>
    <x v="0"/>
  </r>
  <r>
    <x v="1764"/>
    <x v="2"/>
    <n v="4"/>
    <x v="86"/>
    <s v="14-05-2016"/>
    <x v="7"/>
    <x v="8"/>
    <x v="8"/>
    <x v="3"/>
    <n v="1"/>
    <x v="8"/>
    <s v="OH"/>
    <s v="15-05-2016"/>
    <n v="398"/>
    <n v="376"/>
    <n v="94.472361809045225"/>
    <n v="11.942211055276381"/>
    <n v="4753"/>
    <n v="8.4974874371859297"/>
    <n v="-1371"/>
    <n v="3382"/>
    <n v="58"/>
    <x v="1"/>
    <x v="5"/>
    <x v="84"/>
    <x v="0"/>
  </r>
  <r>
    <x v="1765"/>
    <x v="0"/>
    <n v="3"/>
    <x v="87"/>
    <s v="08-05-2016"/>
    <x v="7"/>
    <x v="5"/>
    <x v="5"/>
    <x v="3"/>
    <n v="1"/>
    <x v="5"/>
    <s v="IA"/>
    <s v="09-05-2016"/>
    <n v="947"/>
    <n v="643"/>
    <n v="67.898627243928189"/>
    <n v="8.3210137275607181"/>
    <n v="7880"/>
    <n v="9.3051742344244985"/>
    <n v="932"/>
    <n v="8812"/>
    <n v="53"/>
    <x v="1"/>
    <x v="2"/>
    <x v="84"/>
    <x v="0"/>
  </r>
  <r>
    <x v="1766"/>
    <x v="2"/>
    <n v="1"/>
    <x v="67"/>
    <s v="17-05-2016"/>
    <x v="7"/>
    <x v="13"/>
    <x v="13"/>
    <x v="1"/>
    <n v="1"/>
    <x v="13"/>
    <s v="OH"/>
    <s v="17-05-2016"/>
    <n v="941"/>
    <n v="263"/>
    <n v="27.948990435706694"/>
    <n v="5.0977683315621682"/>
    <n v="4797"/>
    <n v="11.171094580233794"/>
    <n v="5715"/>
    <n v="10512"/>
    <n v="70"/>
    <x v="1"/>
    <x v="5"/>
    <x v="85"/>
    <x v="1"/>
  </r>
  <r>
    <x v="1767"/>
    <x v="0"/>
    <n v="2"/>
    <x v="24"/>
    <s v="25-01-2016"/>
    <x v="4"/>
    <x v="18"/>
    <x v="18"/>
    <x v="1"/>
    <n v="1"/>
    <x v="18"/>
    <s v="IN"/>
    <s v="27-01-2016"/>
    <n v="496"/>
    <n v="496"/>
    <n v="100"/>
    <n v="7.096774193548387"/>
    <n v="3520"/>
    <n v="8.875"/>
    <n v="882"/>
    <n v="4402"/>
    <n v="56"/>
    <x v="1"/>
    <x v="8"/>
    <x v="76"/>
    <x v="0"/>
  </r>
  <r>
    <x v="1768"/>
    <x v="0"/>
    <n v="4"/>
    <x v="275"/>
    <s v="17-02-2016"/>
    <x v="2"/>
    <x v="22"/>
    <x v="22"/>
    <x v="0"/>
    <n v="1"/>
    <x v="22"/>
    <s v="IL"/>
    <s v="17-02-2016"/>
    <n v="265"/>
    <n v="265"/>
    <n v="100"/>
    <n v="25.550943396226415"/>
    <n v="6771"/>
    <n v="15.611320754716981"/>
    <n v="-2634"/>
    <n v="4137"/>
    <n v="71"/>
    <x v="1"/>
    <x v="4"/>
    <x v="85"/>
    <x v="1"/>
  </r>
  <r>
    <x v="1769"/>
    <x v="2"/>
    <n v="4"/>
    <x v="26"/>
    <s v="13-06-2016"/>
    <x v="6"/>
    <x v="9"/>
    <x v="9"/>
    <x v="3"/>
    <n v="1"/>
    <x v="9"/>
    <s v="IN"/>
    <s v="14-06-2016"/>
    <n v="219"/>
    <n v="219"/>
    <n v="100"/>
    <n v="17.30593607305936"/>
    <n v="3790"/>
    <n v="9.5662100456620998"/>
    <n v="-1695"/>
    <n v="2095"/>
    <n v="85"/>
    <x v="1"/>
    <x v="4"/>
    <x v="84"/>
    <x v="0"/>
  </r>
  <r>
    <x v="1770"/>
    <x v="2"/>
    <n v="1"/>
    <x v="262"/>
    <s v="11-04-2016"/>
    <x v="0"/>
    <x v="20"/>
    <x v="20"/>
    <x v="1"/>
    <n v="1"/>
    <x v="20"/>
    <s v="IL"/>
    <s v="12-04-2016"/>
    <n v="406"/>
    <n v="406"/>
    <n v="100"/>
    <n v="19.884236453201972"/>
    <n v="8073"/>
    <n v="31.137931034482758"/>
    <n v="4569"/>
    <n v="12642"/>
    <n v="74"/>
    <x v="1"/>
    <x v="2"/>
    <x v="84"/>
    <x v="0"/>
  </r>
  <r>
    <x v="1771"/>
    <x v="2"/>
    <n v="6"/>
    <x v="151"/>
    <s v="25-07-2016"/>
    <x v="3"/>
    <x v="2"/>
    <x v="2"/>
    <x v="1"/>
    <n v="1"/>
    <x v="2"/>
    <s v="IL"/>
    <s v="26-07-2016"/>
    <n v="436"/>
    <n v="401"/>
    <n v="91.972477064220186"/>
    <n v="4.1238532110091741"/>
    <n v="1798"/>
    <n v="5.8096330275229358"/>
    <n v="735"/>
    <n v="2533"/>
    <n v="97"/>
    <x v="1"/>
    <x v="8"/>
    <x v="84"/>
    <x v="0"/>
  </r>
  <r>
    <x v="1772"/>
    <x v="0"/>
    <n v="5"/>
    <x v="162"/>
    <s v="01-03-2016"/>
    <x v="1"/>
    <x v="19"/>
    <x v="19"/>
    <x v="0"/>
    <n v="1"/>
    <x v="19"/>
    <s v="WI"/>
    <s v="02-03-2016"/>
    <n v="1146"/>
    <n v="473"/>
    <n v="41.273996509598604"/>
    <n v="1.0287958115183247"/>
    <n v="1179"/>
    <n v="1.4703315881326353"/>
    <n v="506"/>
    <n v="1685"/>
    <n v="94"/>
    <x v="1"/>
    <x v="7"/>
    <x v="84"/>
    <x v="0"/>
  </r>
  <r>
    <x v="1773"/>
    <x v="0"/>
    <n v="2"/>
    <x v="146"/>
    <s v="28-04-2016"/>
    <x v="0"/>
    <x v="11"/>
    <x v="11"/>
    <x v="2"/>
    <n v="1"/>
    <x v="11"/>
    <s v="MI"/>
    <s v="29-04-2016"/>
    <n v="898"/>
    <n v="313"/>
    <n v="34.855233853006681"/>
    <n v="5.4253897550111363"/>
    <n v="4872"/>
    <n v="6.3975501113585747"/>
    <n v="873"/>
    <n v="5745"/>
    <n v="72"/>
    <x v="2"/>
    <x v="5"/>
    <x v="84"/>
    <x v="0"/>
  </r>
  <r>
    <x v="1774"/>
    <x v="0"/>
    <n v="1"/>
    <x v="206"/>
    <s v="07-05-2016"/>
    <x v="7"/>
    <x v="15"/>
    <x v="15"/>
    <x v="4"/>
    <n v="1"/>
    <x v="15"/>
    <s v="IL"/>
    <s v="08-05-2016"/>
    <n v="1167"/>
    <n v="627"/>
    <n v="53.727506426735218"/>
    <n v="6.2193658954584405"/>
    <n v="7258"/>
    <n v="10.025706940874036"/>
    <n v="4442"/>
    <n v="11700"/>
    <n v="82"/>
    <x v="1"/>
    <x v="5"/>
    <x v="84"/>
    <x v="0"/>
  </r>
  <r>
    <x v="1775"/>
    <x v="2"/>
    <n v="5"/>
    <x v="147"/>
    <s v="13-03-2016"/>
    <x v="1"/>
    <x v="12"/>
    <x v="12"/>
    <x v="3"/>
    <n v="1"/>
    <x v="12"/>
    <s v="MI"/>
    <s v="14-03-2016"/>
    <n v="536"/>
    <n v="536"/>
    <n v="100"/>
    <n v="5.8638059701492535"/>
    <n v="3143"/>
    <n v="7.1921641791044779"/>
    <n v="712"/>
    <n v="3855"/>
    <n v="98"/>
    <x v="1"/>
    <x v="0"/>
    <x v="84"/>
    <x v="0"/>
  </r>
  <r>
    <x v="1776"/>
    <x v="0"/>
    <n v="4"/>
    <x v="136"/>
    <s v="04-07-2016"/>
    <x v="3"/>
    <x v="5"/>
    <x v="5"/>
    <x v="3"/>
    <n v="1"/>
    <x v="5"/>
    <s v="IA"/>
    <s v="05-07-2016"/>
    <n v="379"/>
    <n v="379"/>
    <n v="100"/>
    <n v="6.9366754617414248"/>
    <n v="2629"/>
    <n v="1.7361477572559367"/>
    <n v="-1971"/>
    <n v="658"/>
    <n v="93"/>
    <x v="1"/>
    <x v="0"/>
    <x v="84"/>
    <x v="0"/>
  </r>
  <r>
    <x v="1777"/>
    <x v="0"/>
    <n v="1"/>
    <x v="221"/>
    <s v="17-02-2016"/>
    <x v="2"/>
    <x v="17"/>
    <x v="17"/>
    <x v="3"/>
    <n v="1"/>
    <x v="17"/>
    <s v="OH"/>
    <s v="17-02-2016"/>
    <n v="682"/>
    <n v="664"/>
    <n v="97.360703812316714"/>
    <n v="3.3475073313782993"/>
    <n v="2283"/>
    <n v="9.7624633431085037"/>
    <n v="4375"/>
    <n v="6658"/>
    <n v="81"/>
    <x v="1"/>
    <x v="7"/>
    <x v="85"/>
    <x v="1"/>
  </r>
  <r>
    <x v="1778"/>
    <x v="2"/>
    <n v="1"/>
    <x v="154"/>
    <s v="30-04-2016"/>
    <x v="0"/>
    <x v="9"/>
    <x v="9"/>
    <x v="3"/>
    <n v="1"/>
    <x v="9"/>
    <s v="IN"/>
    <s v="01-05-2016"/>
    <n v="454"/>
    <n v="397"/>
    <n v="87.444933920704841"/>
    <n v="11.548458149779735"/>
    <n v="5243"/>
    <n v="21.720264317180618"/>
    <n v="4618"/>
    <n v="9861"/>
    <n v="84"/>
    <x v="2"/>
    <x v="3"/>
    <x v="84"/>
    <x v="0"/>
  </r>
  <r>
    <x v="1779"/>
    <x v="0"/>
    <n v="5"/>
    <x v="54"/>
    <s v="09-06-2016"/>
    <x v="6"/>
    <x v="19"/>
    <x v="19"/>
    <x v="0"/>
    <n v="1"/>
    <x v="19"/>
    <s v="WI"/>
    <s v="10-06-2016"/>
    <n v="1000"/>
    <n v="704"/>
    <n v="70.399999999999991"/>
    <n v="3.1520000000000001"/>
    <n v="3152"/>
    <n v="3.931"/>
    <n v="779"/>
    <n v="3931"/>
    <n v="71"/>
    <x v="1"/>
    <x v="3"/>
    <x v="84"/>
    <x v="0"/>
  </r>
  <r>
    <x v="1780"/>
    <x v="0"/>
    <n v="3"/>
    <x v="277"/>
    <s v="26-02-2016"/>
    <x v="2"/>
    <x v="18"/>
    <x v="18"/>
    <x v="1"/>
    <n v="1"/>
    <x v="18"/>
    <s v="IN"/>
    <s v="26-02-2016"/>
    <n v="985"/>
    <n v="254"/>
    <n v="25.786802030456851"/>
    <n v="0.75736040609137056"/>
    <n v="746"/>
    <n v="1.549238578680203"/>
    <n v="780"/>
    <n v="1526"/>
    <n v="85"/>
    <x v="1"/>
    <x v="8"/>
    <x v="85"/>
    <x v="1"/>
  </r>
  <r>
    <x v="1781"/>
    <x v="2"/>
    <n v="6"/>
    <x v="264"/>
    <s v="26-05-2016"/>
    <x v="7"/>
    <x v="11"/>
    <x v="11"/>
    <x v="2"/>
    <n v="1"/>
    <x v="11"/>
    <s v="MI"/>
    <s v="27-05-2016"/>
    <n v="545"/>
    <n v="545"/>
    <n v="100"/>
    <n v="11.803669724770643"/>
    <n v="6433"/>
    <n v="12.31743119266055"/>
    <n v="280"/>
    <n v="6713"/>
    <n v="51"/>
    <x v="1"/>
    <x v="5"/>
    <x v="84"/>
    <x v="0"/>
  </r>
  <r>
    <x v="1782"/>
    <x v="0"/>
    <n v="6"/>
    <x v="208"/>
    <s v="26-01-2016"/>
    <x v="4"/>
    <x v="10"/>
    <x v="10"/>
    <x v="1"/>
    <n v="1"/>
    <x v="10"/>
    <s v="IL"/>
    <s v="27-01-2016"/>
    <n v="835"/>
    <n v="724"/>
    <n v="86.706586826347305"/>
    <n v="5.9293413173652691"/>
    <n v="4951"/>
    <n v="6.1856287425149699"/>
    <n v="214"/>
    <n v="5165"/>
    <n v="69"/>
    <x v="2"/>
    <x v="0"/>
    <x v="84"/>
    <x v="0"/>
  </r>
  <r>
    <x v="1783"/>
    <x v="2"/>
    <n v="3"/>
    <x v="209"/>
    <s v="15-06-2016"/>
    <x v="6"/>
    <x v="22"/>
    <x v="22"/>
    <x v="0"/>
    <n v="1"/>
    <x v="22"/>
    <s v="IL"/>
    <s v="16-06-2016"/>
    <n v="836"/>
    <n v="251"/>
    <n v="30.023923444976074"/>
    <n v="9.5466507177033488"/>
    <n v="7981"/>
    <n v="10.011961722488039"/>
    <n v="389"/>
    <n v="8370"/>
    <n v="83"/>
    <x v="1"/>
    <x v="7"/>
    <x v="84"/>
    <x v="0"/>
  </r>
  <r>
    <x v="1784"/>
    <x v="2"/>
    <n v="6"/>
    <x v="317"/>
    <s v="03-02-2016"/>
    <x v="2"/>
    <x v="23"/>
    <x v="23"/>
    <x v="1"/>
    <n v="1"/>
    <x v="23"/>
    <s v="WI"/>
    <s v="03-02-2016"/>
    <n v="885"/>
    <n v="599"/>
    <n v="67.683615819209038"/>
    <n v="7.7694915254237289"/>
    <n v="6876"/>
    <n v="7.9039548022598867"/>
    <n v="119"/>
    <n v="6995"/>
    <n v="66"/>
    <x v="1"/>
    <x v="0"/>
    <x v="85"/>
    <x v="1"/>
  </r>
  <r>
    <x v="1785"/>
    <x v="2"/>
    <n v="2"/>
    <x v="258"/>
    <s v="15-03-2016"/>
    <x v="1"/>
    <x v="0"/>
    <x v="0"/>
    <x v="0"/>
    <n v="1"/>
    <x v="0"/>
    <s v="MI"/>
    <s v="16-03-2016"/>
    <n v="1072"/>
    <n v="692"/>
    <n v="64.552238805970148"/>
    <n v="1.3843283582089552"/>
    <n v="1484"/>
    <n v="1.7863805970149254"/>
    <n v="431"/>
    <n v="1915"/>
    <n v="83"/>
    <x v="1"/>
    <x v="2"/>
    <x v="84"/>
    <x v="0"/>
  </r>
  <r>
    <x v="1786"/>
    <x v="0"/>
    <n v="2"/>
    <x v="75"/>
    <s v="22-06-2016"/>
    <x v="6"/>
    <x v="1"/>
    <x v="1"/>
    <x v="1"/>
    <n v="1"/>
    <x v="1"/>
    <s v="WI"/>
    <s v="23-06-2016"/>
    <n v="1060"/>
    <n v="787"/>
    <n v="74.245283018867923"/>
    <n v="7.9754716981132079"/>
    <n v="8454"/>
    <n v="8.2273584905660382"/>
    <n v="267"/>
    <n v="8721"/>
    <n v="85"/>
    <x v="1"/>
    <x v="4"/>
    <x v="84"/>
    <x v="0"/>
  </r>
  <r>
    <x v="1787"/>
    <x v="0"/>
    <n v="3"/>
    <x v="222"/>
    <s v="10-05-2016"/>
    <x v="7"/>
    <x v="11"/>
    <x v="11"/>
    <x v="2"/>
    <n v="1"/>
    <x v="11"/>
    <s v="MI"/>
    <s v="11-05-2016"/>
    <n v="1062"/>
    <n v="514"/>
    <n v="48.399246704331453"/>
    <n v="5.8775894538606401"/>
    <n v="6242"/>
    <n v="6.2146892655367232"/>
    <n v="358"/>
    <n v="6600"/>
    <n v="62"/>
    <x v="1"/>
    <x v="2"/>
    <x v="84"/>
    <x v="0"/>
  </r>
  <r>
    <x v="1788"/>
    <x v="0"/>
    <n v="3"/>
    <x v="270"/>
    <s v="01-01-2016"/>
    <x v="4"/>
    <x v="6"/>
    <x v="6"/>
    <x v="4"/>
    <n v="1"/>
    <x v="6"/>
    <s v="IN"/>
    <s v="02-01-2016"/>
    <n v="365"/>
    <n v="365"/>
    <n v="100"/>
    <n v="12.232876712328768"/>
    <n v="4465"/>
    <n v="13.61917808219178"/>
    <n v="506"/>
    <n v="4971"/>
    <n v="72"/>
    <x v="1"/>
    <x v="3"/>
    <x v="84"/>
    <x v="0"/>
  </r>
  <r>
    <x v="1789"/>
    <x v="2"/>
    <n v="1"/>
    <x v="76"/>
    <s v="27-03-2016"/>
    <x v="1"/>
    <x v="7"/>
    <x v="7"/>
    <x v="5"/>
    <n v="1"/>
    <x v="7"/>
    <s v="WI"/>
    <s v="28-03-2016"/>
    <n v="599"/>
    <n v="439"/>
    <n v="73.288814691151913"/>
    <n v="4.7762938230383973"/>
    <n v="2861"/>
    <n v="11.79966611018364"/>
    <n v="4207"/>
    <n v="7068"/>
    <n v="59"/>
    <x v="1"/>
    <x v="7"/>
    <x v="84"/>
    <x v="0"/>
  </r>
  <r>
    <x v="1790"/>
    <x v="0"/>
    <n v="1"/>
    <x v="325"/>
    <s v="11-07-2016"/>
    <x v="3"/>
    <x v="22"/>
    <x v="22"/>
    <x v="0"/>
    <n v="1"/>
    <x v="22"/>
    <s v="IL"/>
    <s v="11-07-2016"/>
    <n v="819"/>
    <n v="318"/>
    <n v="38.827838827838832"/>
    <n v="9.0818070818070815"/>
    <n v="7438"/>
    <n v="14.774114774114775"/>
    <n v="4662"/>
    <n v="12100"/>
    <n v="75"/>
    <x v="1"/>
    <x v="1"/>
    <x v="85"/>
    <x v="1"/>
  </r>
  <r>
    <x v="1791"/>
    <x v="2"/>
    <n v="4"/>
    <x v="32"/>
    <s v="16-05-2016"/>
    <x v="7"/>
    <x v="0"/>
    <x v="0"/>
    <x v="0"/>
    <n v="1"/>
    <x v="0"/>
    <s v="MI"/>
    <s v="17-05-2016"/>
    <n v="970"/>
    <n v="578"/>
    <n v="59.587628865979383"/>
    <n v="6.815463917525773"/>
    <n v="6611"/>
    <n v="4.8587628865979378"/>
    <n v="-1898"/>
    <n v="4713"/>
    <n v="81"/>
    <x v="1"/>
    <x v="3"/>
    <x v="84"/>
    <x v="0"/>
  </r>
  <r>
    <x v="1792"/>
    <x v="2"/>
    <n v="4"/>
    <x v="164"/>
    <s v="11-04-2016"/>
    <x v="0"/>
    <x v="20"/>
    <x v="20"/>
    <x v="1"/>
    <n v="1"/>
    <x v="20"/>
    <s v="IL"/>
    <s v="12-04-2016"/>
    <n v="266"/>
    <n v="266"/>
    <n v="100"/>
    <n v="13.537593984962406"/>
    <n v="3601"/>
    <n v="5.8421052631578947"/>
    <n v="-2047"/>
    <n v="1554"/>
    <n v="54"/>
    <x v="1"/>
    <x v="6"/>
    <x v="84"/>
    <x v="0"/>
  </r>
  <r>
    <x v="1793"/>
    <x v="0"/>
    <n v="4"/>
    <x v="34"/>
    <s v="03-07-2016"/>
    <x v="3"/>
    <x v="3"/>
    <x v="3"/>
    <x v="2"/>
    <n v="1"/>
    <x v="3"/>
    <s v="IL"/>
    <s v="04-07-2016"/>
    <n v="598"/>
    <n v="598"/>
    <n v="100"/>
    <n v="4.8745819397993309"/>
    <n v="2915"/>
    <n v="1.8712374581939799"/>
    <n v="-1796"/>
    <n v="1119"/>
    <n v="71"/>
    <x v="1"/>
    <x v="9"/>
    <x v="84"/>
    <x v="0"/>
  </r>
  <r>
    <x v="1794"/>
    <x v="2"/>
    <n v="6"/>
    <x v="211"/>
    <s v="04-01-2016"/>
    <x v="4"/>
    <x v="10"/>
    <x v="10"/>
    <x v="1"/>
    <n v="1"/>
    <x v="10"/>
    <s v="IL"/>
    <s v="05-01-2016"/>
    <n v="909"/>
    <n v="551"/>
    <n v="60.616061606160621"/>
    <n v="0.65456545654565457"/>
    <n v="595"/>
    <n v="1.3399339933993399"/>
    <n v="623"/>
    <n v="1218"/>
    <n v="96"/>
    <x v="1"/>
    <x v="2"/>
    <x v="84"/>
    <x v="0"/>
  </r>
  <r>
    <x v="1795"/>
    <x v="2"/>
    <n v="4"/>
    <x v="59"/>
    <s v="05-06-2016"/>
    <x v="6"/>
    <x v="6"/>
    <x v="6"/>
    <x v="4"/>
    <n v="1"/>
    <x v="6"/>
    <s v="IN"/>
    <s v="06-06-2016"/>
    <n v="375"/>
    <n v="234"/>
    <n v="62.4"/>
    <n v="14.189333333333334"/>
    <n v="5321"/>
    <n v="8.4586666666666659"/>
    <n v="-2149"/>
    <n v="3172"/>
    <n v="78"/>
    <x v="1"/>
    <x v="3"/>
    <x v="84"/>
    <x v="0"/>
  </r>
  <r>
    <x v="1796"/>
    <x v="0"/>
    <n v="5"/>
    <x v="60"/>
    <s v="14-08-2016"/>
    <x v="5"/>
    <x v="16"/>
    <x v="16"/>
    <x v="4"/>
    <n v="1"/>
    <x v="16"/>
    <s v="MI"/>
    <s v="15-08-2016"/>
    <n v="1074"/>
    <n v="500"/>
    <n v="46.554934823091251"/>
    <n v="5.0409683426443204"/>
    <n v="5414"/>
    <n v="5.2579143389199254"/>
    <n v="233"/>
    <n v="5647"/>
    <n v="76"/>
    <x v="1"/>
    <x v="3"/>
    <x v="84"/>
    <x v="0"/>
  </r>
  <r>
    <x v="1797"/>
    <x v="0"/>
    <n v="1"/>
    <x v="78"/>
    <s v="08-01-2016"/>
    <x v="4"/>
    <x v="14"/>
    <x v="14"/>
    <x v="1"/>
    <n v="1"/>
    <x v="14"/>
    <s v="IL"/>
    <s v="09-01-2016"/>
    <n v="735"/>
    <n v="458"/>
    <n v="62.31292517006802"/>
    <n v="6.0027210884353739"/>
    <n v="4412"/>
    <n v="12.242176870748299"/>
    <n v="4586"/>
    <n v="8998"/>
    <n v="85"/>
    <x v="1"/>
    <x v="0"/>
    <x v="84"/>
    <x v="0"/>
  </r>
  <r>
    <x v="1798"/>
    <x v="2"/>
    <n v="3"/>
    <x v="227"/>
    <s v="05-03-2016"/>
    <x v="1"/>
    <x v="21"/>
    <x v="21"/>
    <x v="2"/>
    <n v="1"/>
    <x v="21"/>
    <s v="IL"/>
    <s v="06-03-2016"/>
    <n v="1094"/>
    <n v="354"/>
    <n v="32.358318098720289"/>
    <n v="7.7321755027422308"/>
    <n v="8459"/>
    <n v="8.0603290676416819"/>
    <n v="359"/>
    <n v="8818"/>
    <n v="52"/>
    <x v="1"/>
    <x v="1"/>
    <x v="84"/>
    <x v="0"/>
  </r>
  <r>
    <x v="1799"/>
    <x v="0"/>
    <n v="5"/>
    <x v="214"/>
    <s v="24-05-2016"/>
    <x v="7"/>
    <x v="18"/>
    <x v="18"/>
    <x v="1"/>
    <n v="1"/>
    <x v="18"/>
    <s v="IN"/>
    <s v="25-05-2016"/>
    <n v="558"/>
    <n v="453"/>
    <n v="81.182795698924721"/>
    <n v="12.439068100358423"/>
    <n v="6941"/>
    <n v="13.077060931899641"/>
    <n v="356"/>
    <n v="7297"/>
    <n v="83"/>
    <x v="1"/>
    <x v="3"/>
    <x v="84"/>
    <x v="0"/>
  </r>
  <r>
    <x v="1800"/>
    <x v="0"/>
    <n v="3"/>
    <x v="168"/>
    <s v="14-05-2016"/>
    <x v="7"/>
    <x v="16"/>
    <x v="16"/>
    <x v="4"/>
    <n v="1"/>
    <x v="16"/>
    <s v="MI"/>
    <s v="15-05-2016"/>
    <n v="684"/>
    <n v="455"/>
    <n v="66.520467836257311"/>
    <n v="8.9137426900584789"/>
    <n v="6097"/>
    <n v="9.0994152046783618"/>
    <n v="127"/>
    <n v="6224"/>
    <n v="59"/>
    <x v="1"/>
    <x v="0"/>
    <x v="84"/>
    <x v="0"/>
  </r>
  <r>
    <x v="1801"/>
    <x v="0"/>
    <n v="5"/>
    <x v="99"/>
    <s v="09-01-2016"/>
    <x v="4"/>
    <x v="12"/>
    <x v="12"/>
    <x v="3"/>
    <n v="1"/>
    <x v="12"/>
    <s v="MI"/>
    <s v="10-01-2016"/>
    <n v="941"/>
    <n v="290"/>
    <n v="30.818278427205104"/>
    <n v="2.6036131774707756"/>
    <n v="2450"/>
    <n v="3.0573857598299683"/>
    <n v="427"/>
    <n v="2877"/>
    <n v="78"/>
    <x v="1"/>
    <x v="2"/>
    <x v="84"/>
    <x v="0"/>
  </r>
  <r>
    <x v="1802"/>
    <x v="0"/>
    <n v="2"/>
    <x v="0"/>
    <s v="21-04-2016"/>
    <x v="0"/>
    <x v="0"/>
    <x v="0"/>
    <x v="0"/>
    <n v="1"/>
    <x v="0"/>
    <s v="MI"/>
    <s v="22-04-2016"/>
    <n v="529"/>
    <n v="529"/>
    <n v="100"/>
    <n v="14.500945179584122"/>
    <n v="7671"/>
    <n v="14.86578449905482"/>
    <n v="193"/>
    <n v="7864"/>
    <n v="93"/>
    <x v="1"/>
    <x v="0"/>
    <x v="84"/>
    <x v="0"/>
  </r>
  <r>
    <x v="1803"/>
    <x v="0"/>
    <n v="6"/>
    <x v="306"/>
    <s v="07-08-2016"/>
    <x v="5"/>
    <x v="6"/>
    <x v="6"/>
    <x v="4"/>
    <n v="1"/>
    <x v="6"/>
    <s v="IN"/>
    <s v="08-08-2016"/>
    <n v="742"/>
    <n v="417"/>
    <n v="56.199460916442042"/>
    <n v="6.6159029649595684"/>
    <n v="4909"/>
    <n v="7.4663072776280321"/>
    <n v="631"/>
    <n v="5540"/>
    <n v="93"/>
    <x v="1"/>
    <x v="3"/>
    <x v="84"/>
    <x v="0"/>
  </r>
  <r>
    <x v="1804"/>
    <x v="0"/>
    <n v="1"/>
    <x v="115"/>
    <s v="24-01-2016"/>
    <x v="4"/>
    <x v="8"/>
    <x v="8"/>
    <x v="3"/>
    <n v="1"/>
    <x v="8"/>
    <s v="OH"/>
    <s v="25-01-2016"/>
    <n v="842"/>
    <n v="566"/>
    <n v="67.220902612826606"/>
    <n v="1.4144893111638954"/>
    <n v="1191"/>
    <n v="6.725653206650831"/>
    <n v="4472"/>
    <n v="5663"/>
    <n v="60"/>
    <x v="1"/>
    <x v="3"/>
    <x v="84"/>
    <x v="0"/>
  </r>
  <r>
    <x v="1805"/>
    <x v="2"/>
    <n v="5"/>
    <x v="63"/>
    <s v="07-07-2016"/>
    <x v="3"/>
    <x v="10"/>
    <x v="10"/>
    <x v="1"/>
    <n v="1"/>
    <x v="10"/>
    <s v="IL"/>
    <s v="08-07-2016"/>
    <n v="824"/>
    <n v="432"/>
    <n v="52.427184466019419"/>
    <n v="9.2293689320388346"/>
    <n v="7605"/>
    <n v="10.243932038834952"/>
    <n v="836"/>
    <n v="8441"/>
    <n v="99"/>
    <x v="2"/>
    <x v="5"/>
    <x v="84"/>
    <x v="0"/>
  </r>
  <r>
    <x v="1806"/>
    <x v="0"/>
    <n v="2"/>
    <x v="2"/>
    <s v="04-08-2016"/>
    <x v="5"/>
    <x v="2"/>
    <x v="2"/>
    <x v="1"/>
    <n v="1"/>
    <x v="2"/>
    <s v="IL"/>
    <s v="05-08-2016"/>
    <n v="1193"/>
    <n v="433"/>
    <n v="36.295054484492873"/>
    <n v="3.6797988264878456"/>
    <n v="4390"/>
    <n v="4.169321039396479"/>
    <n v="584"/>
    <n v="4974"/>
    <n v="74"/>
    <x v="1"/>
    <x v="7"/>
    <x v="84"/>
    <x v="0"/>
  </r>
  <r>
    <x v="1807"/>
    <x v="1"/>
    <n v="5"/>
    <x v="324"/>
    <s v="07-05-2016"/>
    <x v="7"/>
    <x v="17"/>
    <x v="17"/>
    <x v="3"/>
    <m/>
    <x v="17"/>
    <s v="OH"/>
    <s v="08-05-2016"/>
    <n v="469"/>
    <n v="264"/>
    <n v="56.289978678038381"/>
    <n v="13.183368869936034"/>
    <n v="6183"/>
    <n v="13.49680170575693"/>
    <n v="147"/>
    <n v="6330"/>
    <n v="75"/>
    <x v="1"/>
    <x v="5"/>
    <x v="8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68BB4-D135-4A22-81A6-5E71646D4231}" name="PivotTable3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D10:E11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5">
        <item x="11"/>
        <item x="5"/>
        <item x="14"/>
        <item x="6"/>
        <item x="7"/>
        <item x="15"/>
        <item x="9"/>
        <item x="13"/>
        <item x="19"/>
        <item x="17"/>
        <item x="21"/>
        <item x="22"/>
        <item sd="0" x="23"/>
        <item x="12"/>
        <item x="8"/>
        <item x="4"/>
        <item x="3"/>
        <item x="0"/>
        <item x="18"/>
        <item x="2"/>
        <item x="1"/>
        <item x="20"/>
        <item x="10"/>
        <item x="16"/>
        <item t="default"/>
      </items>
    </pivotField>
    <pivotField showAll="0"/>
    <pivotField dataField="1" showAll="0"/>
    <pivotField axis="axisRow" showAll="0">
      <items count="25">
        <item x="7"/>
        <item x="12"/>
        <item x="20"/>
        <item x="13"/>
        <item x="5"/>
        <item x="8"/>
        <item x="16"/>
        <item x="15"/>
        <item x="6"/>
        <item x="11"/>
        <item x="1"/>
        <item x="18"/>
        <item x="21"/>
        <item x="4"/>
        <item x="0"/>
        <item x="23"/>
        <item x="19"/>
        <item x="9"/>
        <item x="2"/>
        <item x="22"/>
        <item x="14"/>
        <item x="10"/>
        <item x="3"/>
        <item x="17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</pivotFields>
  <rowFields count="2">
    <field x="7"/>
    <field x="10"/>
  </rowFields>
  <rowItems count="1">
    <i>
      <x v="12"/>
    </i>
  </rowItems>
  <colItems count="1">
    <i/>
  </colItems>
  <dataFields count="1">
    <dataField name="Average of ShipDays" fld="9" subtotal="average" baseField="5" baseItem="0" numFmtId="4"/>
  </dataFields>
  <formats count="10">
    <format dxfId="98">
      <pivotArea type="all" dataOnly="0" outline="0" fieldPosition="0"/>
    </format>
    <format dxfId="99">
      <pivotArea outline="0" collapsedLevelsAreSubtotals="1" fieldPosition="0"/>
    </format>
    <format dxfId="100">
      <pivotArea field="7" type="button" dataOnly="0" labelOnly="1" outline="0" axis="axisRow" fieldPosition="0"/>
    </format>
    <format dxfId="101">
      <pivotArea dataOnly="0" labelOnly="1" fieldPosition="0">
        <references count="1">
          <reference field="7" count="1">
            <x v="12"/>
          </reference>
        </references>
      </pivotArea>
    </format>
    <format dxfId="10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7" type="button" dataOnly="0" labelOnly="1" outline="0" axis="axisRow" fieldPosition="0"/>
    </format>
    <format dxfId="48">
      <pivotArea dataOnly="0" labelOnly="1" fieldPosition="0">
        <references count="1">
          <reference field="7" count="1">
            <x v="12"/>
          </reference>
        </references>
      </pivotArea>
    </format>
    <format dxfId="47">
      <pivotArea dataOnly="0" labelOnly="1" outline="0" axis="axisValues" fieldPosition="0"/>
    </format>
  </formats>
  <pivotTableStyleInfo showRowHeaders="1" showColHeaders="1" showRowStripes="0" showColStripes="0" showLastColumn="1"/>
  <filters count="1">
    <filter fld="7" type="count" evalOrder="-1" id="1" iMeasureFld="0">
      <autoFilter ref="A1">
        <filterColumn colId="0">
          <top10 top="0"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1B2D1-BC62-40DB-B760-716513A2F212}" name="PivotTable3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10:C11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25">
        <item sd="0" x="11"/>
        <item sd="0" x="5"/>
        <item sd="0" x="14"/>
        <item sd="0" x="6"/>
        <item x="7"/>
        <item x="15"/>
        <item x="9"/>
        <item x="13"/>
        <item sd="0" x="19"/>
        <item x="17"/>
        <item x="21"/>
        <item x="22"/>
        <item x="23"/>
        <item x="12"/>
        <item sd="0" x="8"/>
        <item x="4"/>
        <item x="3"/>
        <item sd="0" x="0"/>
        <item x="18"/>
        <item sd="0" x="2"/>
        <item x="1"/>
        <item sd="0" x="20"/>
        <item sd="0" x="10"/>
        <item sd="0" x="16"/>
        <item t="default"/>
      </items>
    </pivotField>
    <pivotField showAll="0"/>
    <pivotField dataField="1" showAll="0"/>
    <pivotField axis="axisRow" showAll="0">
      <items count="25">
        <item x="7"/>
        <item x="12"/>
        <item x="20"/>
        <item x="13"/>
        <item x="5"/>
        <item x="8"/>
        <item x="16"/>
        <item x="15"/>
        <item x="6"/>
        <item x="11"/>
        <item x="1"/>
        <item x="18"/>
        <item x="21"/>
        <item x="4"/>
        <item x="0"/>
        <item x="23"/>
        <item x="19"/>
        <item x="9"/>
        <item x="2"/>
        <item x="22"/>
        <item x="14"/>
        <item x="10"/>
        <item x="3"/>
        <item x="17"/>
        <item t="default"/>
      </items>
    </pivotField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</pivotFields>
  <rowFields count="2">
    <field x="7"/>
    <field x="10"/>
  </rowFields>
  <rowItems count="1">
    <i>
      <x v="19"/>
    </i>
  </rowItems>
  <colItems count="1">
    <i/>
  </colItems>
  <dataFields count="1">
    <dataField name="Average of ShipDays" fld="9" subtotal="average" baseField="5" baseItem="0" numFmtId="4"/>
  </dataFields>
  <formats count="10">
    <format dxfId="103">
      <pivotArea type="all" dataOnly="0" outline="0" fieldPosition="0"/>
    </format>
    <format dxfId="104">
      <pivotArea outline="0" collapsedLevelsAreSubtotals="1" fieldPosition="0"/>
    </format>
    <format dxfId="105">
      <pivotArea field="7" type="button" dataOnly="0" labelOnly="1" outline="0" axis="axisRow" fieldPosition="0"/>
    </format>
    <format dxfId="106">
      <pivotArea dataOnly="0" labelOnly="1" fieldPosition="0">
        <references count="1">
          <reference field="7" count="1">
            <x v="19"/>
          </reference>
        </references>
      </pivotArea>
    </format>
    <format dxfId="107">
      <pivotArea dataOnly="0" labelOnly="1" outline="0" axis="axisValues" fieldPosition="0"/>
    </format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7" type="button" dataOnly="0" labelOnly="1" outline="0" axis="axisRow" fieldPosition="0"/>
    </format>
    <format dxfId="43">
      <pivotArea dataOnly="0" labelOnly="1" fieldPosition="0">
        <references count="1">
          <reference field="7" count="1">
            <x v="19"/>
          </reference>
        </references>
      </pivotArea>
    </format>
    <format dxfId="42">
      <pivotArea dataOnly="0" labelOnly="1" outline="0" axis="axisValues" fieldPosition="0"/>
    </format>
  </formats>
  <pivotTableStyleInfo showRowHeaders="1" showColHeaders="1" showRowStripes="0" showColStripes="0" showLastColumn="1"/>
  <filters count="1">
    <filter fld="7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1D8C0-74FD-41B3-86DC-28BEE1A19542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5:C26" firstHeaderRow="0" firstDataRow="1" firstDataCol="0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dataField="1" showAll="0"/>
    <pivotField showAll="0"/>
    <pivotField numFmtId="2" showAll="0"/>
    <pivotField dataField="1"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venue" fld="20" baseField="0" baseItem="0"/>
    <dataField name="Sum of ShippingCost" fld="17" baseField="0" baseItem="0"/>
  </dataFields>
  <formats count="11">
    <format dxfId="108">
      <pivotArea type="all" dataOnly="0" outline="0" fieldPosition="0"/>
    </format>
    <format dxfId="109">
      <pivotArea outline="0" collapsedLevelsAreSubtotals="1" fieldPosition="0"/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1">
      <pivotArea type="all" dataOnly="0" outline="0" fieldPosition="0"/>
    </format>
    <format dxfId="112">
      <pivotArea outline="0" collapsedLevelsAreSubtotals="1" fieldPosition="0"/>
    </format>
    <format dxfId="1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4">
      <pivotArea type="all" dataOnly="0" outline="0" fieldPosition="0"/>
    </format>
    <format dxfId="115">
      <pivotArea outline="0" collapsedLevelsAreSubtotals="1" fieldPosition="0"/>
    </format>
    <format dxfId="1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A0E07-4FDF-4A5F-8B77-CACF0AFD2E63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:D20" firstHeaderRow="0" firstDataRow="1" firstDataCol="1"/>
  <pivotFields count="26"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ipID" fld="0" subtotal="count" baseField="1" baseItem="0"/>
    <dataField name="Average of ShipDays" fld="9" subtotal="average" baseField="1" baseItem="0" numFmtId="4"/>
  </dataFields>
  <formats count="12">
    <format dxfId="117">
      <pivotArea type="all" dataOnly="0" outline="0" fieldPosition="0"/>
    </format>
    <format dxfId="118">
      <pivotArea outline="0" collapsedLevelsAreSubtotals="1" fieldPosition="0"/>
    </format>
    <format dxfId="119">
      <pivotArea field="1" type="button" dataOnly="0" labelOnly="1" outline="0" axis="axisRow" fieldPosition="0"/>
    </format>
    <format dxfId="120">
      <pivotArea dataOnly="0" labelOnly="1" fieldPosition="0">
        <references count="1">
          <reference field="1" count="0"/>
        </references>
      </pivotArea>
    </format>
    <format dxfId="121">
      <pivotArea dataOnly="0" labelOnly="1" grandRow="1" outline="0" fieldPosition="0"/>
    </format>
    <format dxfId="1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3">
      <pivotArea type="all" dataOnly="0" outline="0" fieldPosition="0"/>
    </format>
    <format dxfId="53">
      <pivotArea field="1" type="button" dataOnly="0" labelOnly="1" outline="0" axis="axisRow" fieldPosition="0"/>
    </format>
    <format dxfId="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1">
      <pivotArea outline="0" collapsedLevelsAreSubtotals="1" fieldPosition="0"/>
    </format>
    <format dxfId="40">
      <pivotArea dataOnly="0" labelOnly="1" fieldPosition="0">
        <references count="1">
          <reference field="1" count="0"/>
        </references>
      </pivotArea>
    </format>
    <format dxfId="39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43248-E945-41D3-BC4E-A7500E276B2E}" name="PivotTable2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M155:O158" firstHeaderRow="0" firstDataRow="1" firstDataCol="1"/>
  <pivotFields count="26">
    <pivotField showAll="0">
      <items count="1809">
        <item x="885"/>
        <item x="1143"/>
        <item x="633"/>
        <item x="1527"/>
        <item x="886"/>
        <item x="634"/>
        <item x="635"/>
        <item x="887"/>
        <item x="0"/>
        <item x="531"/>
        <item x="440"/>
        <item x="1"/>
        <item x="1528"/>
        <item x="1529"/>
        <item x="636"/>
        <item x="131"/>
        <item x="441"/>
        <item x="1144"/>
        <item x="1145"/>
        <item x="1530"/>
        <item x="1146"/>
        <item x="1147"/>
        <item x="1148"/>
        <item x="1149"/>
        <item x="637"/>
        <item x="2"/>
        <item x="339"/>
        <item x="132"/>
        <item x="1531"/>
        <item x="1532"/>
        <item x="1150"/>
        <item x="1151"/>
        <item x="340"/>
        <item x="341"/>
        <item x="888"/>
        <item x="638"/>
        <item x="889"/>
        <item x="890"/>
        <item x="891"/>
        <item x="1152"/>
        <item x="1153"/>
        <item x="3"/>
        <item x="342"/>
        <item x="133"/>
        <item x="226"/>
        <item x="532"/>
        <item x="1533"/>
        <item x="639"/>
        <item x="1534"/>
        <item x="4"/>
        <item x="134"/>
        <item x="1154"/>
        <item x="892"/>
        <item x="640"/>
        <item x="893"/>
        <item x="641"/>
        <item x="642"/>
        <item x="643"/>
        <item x="1155"/>
        <item x="227"/>
        <item x="533"/>
        <item x="135"/>
        <item x="343"/>
        <item x="644"/>
        <item x="894"/>
        <item x="442"/>
        <item x="443"/>
        <item x="645"/>
        <item x="1156"/>
        <item x="1535"/>
        <item x="646"/>
        <item x="1157"/>
        <item x="534"/>
        <item x="136"/>
        <item x="344"/>
        <item x="535"/>
        <item x="137"/>
        <item x="647"/>
        <item x="1807"/>
        <item x="1536"/>
        <item x="536"/>
        <item x="444"/>
        <item x="648"/>
        <item x="895"/>
        <item x="1537"/>
        <item x="1538"/>
        <item x="1158"/>
        <item x="896"/>
        <item x="1159"/>
        <item x="1539"/>
        <item x="649"/>
        <item x="445"/>
        <item x="537"/>
        <item x="228"/>
        <item x="138"/>
        <item x="229"/>
        <item x="1540"/>
        <item x="1160"/>
        <item x="897"/>
        <item x="650"/>
        <item x="538"/>
        <item x="345"/>
        <item x="651"/>
        <item x="1541"/>
        <item x="1542"/>
        <item x="1543"/>
        <item x="652"/>
        <item x="898"/>
        <item x="899"/>
        <item x="5"/>
        <item x="539"/>
        <item x="346"/>
        <item x="6"/>
        <item x="1161"/>
        <item x="1544"/>
        <item x="1162"/>
        <item x="1163"/>
        <item x="230"/>
        <item x="7"/>
        <item x="1164"/>
        <item x="653"/>
        <item x="900"/>
        <item x="1165"/>
        <item x="654"/>
        <item x="655"/>
        <item x="656"/>
        <item x="1545"/>
        <item x="657"/>
        <item x="8"/>
        <item x="347"/>
        <item x="348"/>
        <item x="349"/>
        <item x="901"/>
        <item x="902"/>
        <item x="658"/>
        <item x="231"/>
        <item x="9"/>
        <item x="903"/>
        <item x="1166"/>
        <item x="904"/>
        <item x="905"/>
        <item x="1167"/>
        <item x="1546"/>
        <item x="906"/>
        <item x="1168"/>
        <item x="139"/>
        <item x="540"/>
        <item x="232"/>
        <item x="350"/>
        <item x="351"/>
        <item x="1169"/>
        <item x="1170"/>
        <item x="1547"/>
        <item x="10"/>
        <item x="352"/>
        <item x="1171"/>
        <item x="1172"/>
        <item x="1548"/>
        <item x="659"/>
        <item x="907"/>
        <item x="1173"/>
        <item x="1174"/>
        <item x="660"/>
        <item x="446"/>
        <item x="233"/>
        <item x="140"/>
        <item x="11"/>
        <item x="1549"/>
        <item x="1175"/>
        <item x="1176"/>
        <item x="141"/>
        <item x="541"/>
        <item x="1177"/>
        <item x="661"/>
        <item x="662"/>
        <item x="1178"/>
        <item x="663"/>
        <item x="1179"/>
        <item x="664"/>
        <item x="542"/>
        <item x="353"/>
        <item x="142"/>
        <item x="234"/>
        <item x="1180"/>
        <item x="1550"/>
        <item x="1551"/>
        <item x="1552"/>
        <item x="354"/>
        <item x="543"/>
        <item x="1553"/>
        <item x="665"/>
        <item x="1181"/>
        <item x="1554"/>
        <item x="666"/>
        <item x="667"/>
        <item x="447"/>
        <item x="544"/>
        <item x="143"/>
        <item x="448"/>
        <item x="355"/>
        <item x="1182"/>
        <item x="908"/>
        <item x="909"/>
        <item x="545"/>
        <item x="12"/>
        <item x="668"/>
        <item x="1183"/>
        <item x="1184"/>
        <item x="1555"/>
        <item x="910"/>
        <item x="1556"/>
        <item x="1185"/>
        <item x="1557"/>
        <item x="669"/>
        <item x="449"/>
        <item x="450"/>
        <item x="356"/>
        <item x="144"/>
        <item x="1186"/>
        <item x="911"/>
        <item x="670"/>
        <item x="671"/>
        <item x="13"/>
        <item x="912"/>
        <item x="1187"/>
        <item x="672"/>
        <item x="1188"/>
        <item x="913"/>
        <item x="673"/>
        <item x="674"/>
        <item x="451"/>
        <item x="357"/>
        <item x="546"/>
        <item x="235"/>
        <item x="14"/>
        <item x="1189"/>
        <item x="675"/>
        <item x="1190"/>
        <item x="1191"/>
        <item x="236"/>
        <item x="145"/>
        <item x="1192"/>
        <item x="914"/>
        <item x="1558"/>
        <item x="676"/>
        <item x="677"/>
        <item x="1193"/>
        <item x="678"/>
        <item x="547"/>
        <item x="146"/>
        <item x="237"/>
        <item x="452"/>
        <item x="238"/>
        <item x="1194"/>
        <item x="1195"/>
        <item x="679"/>
        <item x="548"/>
        <item x="453"/>
        <item x="915"/>
        <item x="680"/>
        <item x="1196"/>
        <item x="1197"/>
        <item x="1198"/>
        <item x="681"/>
        <item x="1199"/>
        <item x="1559"/>
        <item x="1200"/>
        <item x="549"/>
        <item x="454"/>
        <item x="239"/>
        <item x="550"/>
        <item x="15"/>
        <item x="1201"/>
        <item x="1202"/>
        <item x="1203"/>
        <item x="916"/>
        <item x="16"/>
        <item x="682"/>
        <item x="917"/>
        <item x="1560"/>
        <item x="683"/>
        <item x="1561"/>
        <item x="1204"/>
        <item x="918"/>
        <item x="240"/>
        <item x="241"/>
        <item x="551"/>
        <item x="455"/>
        <item x="552"/>
        <item x="1562"/>
        <item x="919"/>
        <item x="1205"/>
        <item x="684"/>
        <item x="17"/>
        <item x="242"/>
        <item x="685"/>
        <item x="920"/>
        <item x="686"/>
        <item x="921"/>
        <item x="1206"/>
        <item x="1207"/>
        <item x="1563"/>
        <item x="922"/>
        <item x="18"/>
        <item x="19"/>
        <item x="243"/>
        <item x="456"/>
        <item x="457"/>
        <item x="923"/>
        <item x="1564"/>
        <item x="1208"/>
        <item x="20"/>
        <item x="553"/>
        <item x="687"/>
        <item x="1565"/>
        <item x="924"/>
        <item x="1209"/>
        <item x="1210"/>
        <item x="1566"/>
        <item x="1211"/>
        <item x="358"/>
        <item x="21"/>
        <item x="458"/>
        <item x="359"/>
        <item x="244"/>
        <item x="1567"/>
        <item x="688"/>
        <item x="925"/>
        <item x="926"/>
        <item x="22"/>
        <item x="147"/>
        <item x="1568"/>
        <item x="1212"/>
        <item x="689"/>
        <item x="927"/>
        <item x="1569"/>
        <item x="690"/>
        <item x="691"/>
        <item x="245"/>
        <item x="148"/>
        <item x="149"/>
        <item x="360"/>
        <item x="246"/>
        <item x="1213"/>
        <item x="1570"/>
        <item x="1571"/>
        <item x="692"/>
        <item x="247"/>
        <item x="150"/>
        <item x="1214"/>
        <item x="693"/>
        <item x="928"/>
        <item x="1215"/>
        <item x="1572"/>
        <item x="1216"/>
        <item x="459"/>
        <item x="460"/>
        <item x="554"/>
        <item x="555"/>
        <item x="248"/>
        <item x="1217"/>
        <item x="1218"/>
        <item x="1219"/>
        <item x="1573"/>
        <item x="249"/>
        <item x="556"/>
        <item x="1220"/>
        <item x="1221"/>
        <item x="929"/>
        <item x="694"/>
        <item x="1222"/>
        <item x="930"/>
        <item x="1223"/>
        <item x="931"/>
        <item x="932"/>
        <item x="361"/>
        <item x="362"/>
        <item x="250"/>
        <item x="363"/>
        <item x="557"/>
        <item x="1224"/>
        <item x="695"/>
        <item x="696"/>
        <item x="1225"/>
        <item x="364"/>
        <item x="151"/>
        <item x="1226"/>
        <item x="697"/>
        <item x="1574"/>
        <item x="698"/>
        <item x="1575"/>
        <item x="1576"/>
        <item x="1227"/>
        <item x="1228"/>
        <item x="933"/>
        <item x="461"/>
        <item x="365"/>
        <item x="23"/>
        <item x="24"/>
        <item x="558"/>
        <item x="1229"/>
        <item x="934"/>
        <item x="1230"/>
        <item x="935"/>
        <item x="559"/>
        <item x="152"/>
        <item x="1231"/>
        <item x="699"/>
        <item x="1577"/>
        <item x="1232"/>
        <item x="936"/>
        <item x="700"/>
        <item x="1578"/>
        <item x="1233"/>
        <item x="25"/>
        <item x="26"/>
        <item x="251"/>
        <item x="366"/>
        <item x="252"/>
        <item x="1579"/>
        <item x="1580"/>
        <item x="1581"/>
        <item x="1582"/>
        <item x="367"/>
        <item x="27"/>
        <item x="701"/>
        <item x="937"/>
        <item x="938"/>
        <item x="1234"/>
        <item x="1583"/>
        <item x="1235"/>
        <item x="1584"/>
        <item x="1236"/>
        <item x="368"/>
        <item x="462"/>
        <item x="153"/>
        <item x="154"/>
        <item x="560"/>
        <item x="1237"/>
        <item x="939"/>
        <item x="702"/>
        <item x="155"/>
        <item x="28"/>
        <item x="940"/>
        <item x="703"/>
        <item x="704"/>
        <item x="1238"/>
        <item x="1239"/>
        <item x="1240"/>
        <item x="705"/>
        <item x="1241"/>
        <item x="369"/>
        <item x="253"/>
        <item x="254"/>
        <item x="463"/>
        <item x="1242"/>
        <item x="706"/>
        <item x="1243"/>
        <item x="1585"/>
        <item x="255"/>
        <item x="29"/>
        <item x="1244"/>
        <item x="707"/>
        <item x="1245"/>
        <item x="1246"/>
        <item x="1586"/>
        <item x="1247"/>
        <item x="1587"/>
        <item x="1248"/>
        <item x="464"/>
        <item x="370"/>
        <item x="156"/>
        <item x="465"/>
        <item x="157"/>
        <item x="1249"/>
        <item x="941"/>
        <item x="1250"/>
        <item x="1251"/>
        <item x="371"/>
        <item x="1252"/>
        <item x="708"/>
        <item x="1253"/>
        <item x="942"/>
        <item x="1588"/>
        <item x="1589"/>
        <item x="709"/>
        <item x="1590"/>
        <item x="1254"/>
        <item x="158"/>
        <item x="561"/>
        <item x="562"/>
        <item x="159"/>
        <item x="1255"/>
        <item x="710"/>
        <item x="563"/>
        <item x="466"/>
        <item x="1256"/>
        <item x="711"/>
        <item x="943"/>
        <item x="712"/>
        <item x="944"/>
        <item x="945"/>
        <item x="1257"/>
        <item x="713"/>
        <item x="372"/>
        <item x="160"/>
        <item x="373"/>
        <item x="161"/>
        <item x="564"/>
        <item x="1591"/>
        <item x="1592"/>
        <item x="1593"/>
        <item x="1594"/>
        <item x="374"/>
        <item x="30"/>
        <item x="1258"/>
        <item x="946"/>
        <item x="714"/>
        <item x="947"/>
        <item x="948"/>
        <item x="1595"/>
        <item x="1596"/>
        <item x="1259"/>
        <item x="467"/>
        <item x="375"/>
        <item x="31"/>
        <item x="32"/>
        <item x="1260"/>
        <item x="1597"/>
        <item x="715"/>
        <item x="949"/>
        <item x="256"/>
        <item x="33"/>
        <item x="1261"/>
        <item x="1262"/>
        <item x="716"/>
        <item x="950"/>
        <item x="1263"/>
        <item x="951"/>
        <item x="952"/>
        <item x="34"/>
        <item x="376"/>
        <item x="257"/>
        <item x="1264"/>
        <item x="953"/>
        <item x="1265"/>
        <item x="717"/>
        <item x="35"/>
        <item x="1598"/>
        <item x="954"/>
        <item x="955"/>
        <item x="1599"/>
        <item x="1266"/>
        <item x="1600"/>
        <item x="718"/>
        <item x="956"/>
        <item x="1267"/>
        <item x="36"/>
        <item x="565"/>
        <item x="162"/>
        <item x="163"/>
        <item x="258"/>
        <item x="1601"/>
        <item x="957"/>
        <item x="1268"/>
        <item x="1269"/>
        <item x="377"/>
        <item x="259"/>
        <item x="719"/>
        <item x="1602"/>
        <item x="1270"/>
        <item x="1603"/>
        <item x="1271"/>
        <item x="1272"/>
        <item x="720"/>
        <item x="1604"/>
        <item x="1273"/>
        <item x="164"/>
        <item x="165"/>
        <item x="260"/>
        <item x="261"/>
        <item x="1605"/>
        <item x="721"/>
        <item x="1606"/>
        <item x="1274"/>
        <item x="468"/>
        <item x="469"/>
        <item x="1275"/>
        <item x="958"/>
        <item x="959"/>
        <item x="960"/>
        <item x="1276"/>
        <item x="1607"/>
        <item x="1277"/>
        <item x="1278"/>
        <item x="566"/>
        <item x="378"/>
        <item x="567"/>
        <item x="37"/>
        <item x="38"/>
        <item x="1279"/>
        <item x="961"/>
        <item x="962"/>
        <item x="722"/>
        <item x="262"/>
        <item x="470"/>
        <item x="1280"/>
        <item x="1281"/>
        <item x="963"/>
        <item x="723"/>
        <item x="964"/>
        <item x="965"/>
        <item x="1608"/>
        <item x="1282"/>
        <item x="39"/>
        <item x="40"/>
        <item x="41"/>
        <item x="263"/>
        <item x="471"/>
        <item x="1609"/>
        <item x="966"/>
        <item x="967"/>
        <item x="724"/>
        <item x="166"/>
        <item x="725"/>
        <item x="1283"/>
        <item x="968"/>
        <item x="1610"/>
        <item x="969"/>
        <item x="1284"/>
        <item x="726"/>
        <item x="727"/>
        <item x="1285"/>
        <item x="472"/>
        <item x="42"/>
        <item x="379"/>
        <item x="43"/>
        <item x="44"/>
        <item x="1286"/>
        <item x="1287"/>
        <item x="970"/>
        <item x="264"/>
        <item x="265"/>
        <item x="728"/>
        <item x="1288"/>
        <item x="971"/>
        <item x="972"/>
        <item x="729"/>
        <item x="973"/>
        <item x="1289"/>
        <item x="1611"/>
        <item x="1612"/>
        <item x="45"/>
        <item x="473"/>
        <item x="568"/>
        <item x="46"/>
        <item x="47"/>
        <item x="1290"/>
        <item x="1291"/>
        <item x="974"/>
        <item x="474"/>
        <item x="48"/>
        <item x="1292"/>
        <item x="730"/>
        <item x="1613"/>
        <item x="1614"/>
        <item x="975"/>
        <item x="976"/>
        <item x="977"/>
        <item x="731"/>
        <item x="1293"/>
        <item x="569"/>
        <item x="570"/>
        <item x="380"/>
        <item x="1294"/>
        <item x="1295"/>
        <item x="732"/>
        <item x="1296"/>
        <item x="49"/>
        <item x="571"/>
        <item x="1297"/>
        <item x="978"/>
        <item x="979"/>
        <item x="733"/>
        <item x="1615"/>
        <item x="1616"/>
        <item x="1617"/>
        <item x="734"/>
        <item x="50"/>
        <item x="475"/>
        <item x="266"/>
        <item x="167"/>
        <item x="476"/>
        <item x="1298"/>
        <item x="735"/>
        <item x="1299"/>
        <item x="477"/>
        <item x="168"/>
        <item x="1300"/>
        <item x="980"/>
        <item x="1618"/>
        <item x="1619"/>
        <item x="1620"/>
        <item x="1301"/>
        <item x="1302"/>
        <item x="1303"/>
        <item x="736"/>
        <item x="572"/>
        <item x="381"/>
        <item x="573"/>
        <item x="169"/>
        <item x="382"/>
        <item x="1304"/>
        <item x="1305"/>
        <item x="1621"/>
        <item x="267"/>
        <item x="574"/>
        <item x="1622"/>
        <item x="981"/>
        <item x="1623"/>
        <item x="982"/>
        <item x="737"/>
        <item x="983"/>
        <item x="1306"/>
        <item x="984"/>
        <item x="478"/>
        <item x="51"/>
        <item x="268"/>
        <item x="575"/>
        <item x="383"/>
        <item x="738"/>
        <item x="1624"/>
        <item x="479"/>
        <item x="384"/>
        <item x="1307"/>
        <item x="1308"/>
        <item x="1625"/>
        <item x="739"/>
        <item x="1626"/>
        <item x="1309"/>
        <item x="740"/>
        <item x="480"/>
        <item x="170"/>
        <item x="269"/>
        <item x="270"/>
        <item x="576"/>
        <item x="1627"/>
        <item x="1310"/>
        <item x="985"/>
        <item x="171"/>
        <item x="741"/>
        <item x="1311"/>
        <item x="742"/>
        <item x="743"/>
        <item x="986"/>
        <item x="1628"/>
        <item x="744"/>
        <item x="1312"/>
        <item x="172"/>
        <item x="385"/>
        <item x="577"/>
        <item x="386"/>
        <item x="578"/>
        <item x="1629"/>
        <item x="1313"/>
        <item x="987"/>
        <item x="1630"/>
        <item x="52"/>
        <item x="173"/>
        <item x="745"/>
        <item x="1631"/>
        <item x="988"/>
        <item x="746"/>
        <item x="1314"/>
        <item x="1632"/>
        <item x="989"/>
        <item x="747"/>
        <item x="1315"/>
        <item x="53"/>
        <item x="54"/>
        <item x="271"/>
        <item x="55"/>
        <item x="1316"/>
        <item x="1633"/>
        <item x="990"/>
        <item x="1317"/>
        <item x="387"/>
        <item x="481"/>
        <item x="991"/>
        <item x="1634"/>
        <item x="992"/>
        <item x="993"/>
        <item x="748"/>
        <item x="749"/>
        <item x="1318"/>
        <item x="388"/>
        <item x="272"/>
        <item x="579"/>
        <item x="273"/>
        <item x="389"/>
        <item x="1635"/>
        <item x="750"/>
        <item x="994"/>
        <item x="751"/>
        <item x="580"/>
        <item x="995"/>
        <item x="752"/>
        <item x="753"/>
        <item x="996"/>
        <item x="1636"/>
        <item x="1319"/>
        <item x="1320"/>
        <item x="754"/>
        <item x="581"/>
        <item x="482"/>
        <item x="174"/>
        <item x="56"/>
        <item x="274"/>
        <item x="1637"/>
        <item x="755"/>
        <item x="57"/>
        <item x="390"/>
        <item x="1321"/>
        <item x="1322"/>
        <item x="1638"/>
        <item x="1639"/>
        <item x="997"/>
        <item x="1323"/>
        <item x="998"/>
        <item x="756"/>
        <item x="757"/>
        <item x="175"/>
        <item x="58"/>
        <item x="483"/>
        <item x="176"/>
        <item x="275"/>
        <item x="1640"/>
        <item x="1641"/>
        <item x="999"/>
        <item x="758"/>
        <item x="276"/>
        <item x="277"/>
        <item x="1000"/>
        <item x="1001"/>
        <item x="1642"/>
        <item x="759"/>
        <item x="1643"/>
        <item x="1324"/>
        <item x="1325"/>
        <item x="760"/>
        <item x="1326"/>
        <item x="484"/>
        <item x="278"/>
        <item x="59"/>
        <item x="485"/>
        <item x="60"/>
        <item x="1327"/>
        <item x="761"/>
        <item x="1644"/>
        <item x="1328"/>
        <item x="61"/>
        <item x="762"/>
        <item x="1329"/>
        <item x="1645"/>
        <item x="1646"/>
        <item x="763"/>
        <item x="1330"/>
        <item x="764"/>
        <item x="1331"/>
        <item x="1332"/>
        <item x="582"/>
        <item x="391"/>
        <item x="392"/>
        <item x="279"/>
        <item x="1647"/>
        <item x="1333"/>
        <item x="1648"/>
        <item x="1002"/>
        <item x="583"/>
        <item x="486"/>
        <item x="765"/>
        <item x="766"/>
        <item x="1649"/>
        <item x="1003"/>
        <item x="767"/>
        <item x="1650"/>
        <item x="1004"/>
        <item x="1651"/>
        <item x="62"/>
        <item x="487"/>
        <item x="488"/>
        <item x="280"/>
        <item x="393"/>
        <item x="1652"/>
        <item x="768"/>
        <item x="1005"/>
        <item x="769"/>
        <item x="584"/>
        <item x="585"/>
        <item x="1334"/>
        <item x="1653"/>
        <item x="770"/>
        <item x="1006"/>
        <item x="1007"/>
        <item x="1008"/>
        <item x="1335"/>
        <item x="1654"/>
        <item x="1336"/>
        <item x="489"/>
        <item x="63"/>
        <item x="490"/>
        <item x="586"/>
        <item x="64"/>
        <item x="1337"/>
        <item x="1338"/>
        <item x="1655"/>
        <item x="1339"/>
        <item x="281"/>
        <item x="282"/>
        <item x="1340"/>
        <item x="1656"/>
        <item x="771"/>
        <item x="1341"/>
        <item x="772"/>
        <item x="773"/>
        <item x="1657"/>
        <item x="1342"/>
        <item x="774"/>
        <item x="177"/>
        <item x="491"/>
        <item x="587"/>
        <item x="1343"/>
        <item x="775"/>
        <item x="1009"/>
        <item x="588"/>
        <item x="65"/>
        <item x="1344"/>
        <item x="1345"/>
        <item x="776"/>
        <item x="1010"/>
        <item x="1658"/>
        <item x="1659"/>
        <item x="1660"/>
        <item x="1011"/>
        <item x="178"/>
        <item x="394"/>
        <item x="395"/>
        <item x="283"/>
        <item x="1346"/>
        <item x="1661"/>
        <item x="777"/>
        <item x="1662"/>
        <item x="589"/>
        <item x="778"/>
        <item x="1663"/>
        <item x="779"/>
        <item x="1664"/>
        <item x="1347"/>
        <item x="1665"/>
        <item x="1012"/>
        <item x="492"/>
        <item x="66"/>
        <item x="590"/>
        <item x="493"/>
        <item x="1666"/>
        <item x="1667"/>
        <item x="1013"/>
        <item x="67"/>
        <item x="284"/>
        <item x="1348"/>
        <item x="1349"/>
        <item x="1668"/>
        <item x="780"/>
        <item x="1350"/>
        <item x="781"/>
        <item x="1351"/>
        <item x="782"/>
        <item x="494"/>
        <item x="396"/>
        <item x="285"/>
        <item x="68"/>
        <item x="69"/>
        <item x="1669"/>
        <item x="1014"/>
        <item x="783"/>
        <item x="1015"/>
        <item x="286"/>
        <item x="495"/>
        <item x="1352"/>
        <item x="784"/>
        <item x="1670"/>
        <item x="1353"/>
        <item x="1671"/>
        <item x="785"/>
        <item x="1354"/>
        <item x="496"/>
        <item x="70"/>
        <item x="497"/>
        <item x="71"/>
        <item x="1672"/>
        <item x="1355"/>
        <item x="1356"/>
        <item x="1357"/>
        <item x="287"/>
        <item x="1016"/>
        <item x="1358"/>
        <item x="1017"/>
        <item x="1018"/>
        <item x="786"/>
        <item x="787"/>
        <item x="1359"/>
        <item x="1360"/>
        <item x="788"/>
        <item x="288"/>
        <item x="179"/>
        <item x="498"/>
        <item x="591"/>
        <item x="289"/>
        <item x="1673"/>
        <item x="1361"/>
        <item x="789"/>
        <item x="1019"/>
        <item x="72"/>
        <item x="592"/>
        <item x="1020"/>
        <item x="1362"/>
        <item x="1363"/>
        <item x="1021"/>
        <item x="1364"/>
        <item x="1674"/>
        <item x="1365"/>
        <item x="1675"/>
        <item x="1022"/>
        <item x="180"/>
        <item x="593"/>
        <item x="1676"/>
        <item x="790"/>
        <item x="1366"/>
        <item x="1023"/>
        <item x="594"/>
        <item x="595"/>
        <item x="1367"/>
        <item x="1368"/>
        <item x="1024"/>
        <item x="1369"/>
        <item x="1370"/>
        <item x="1371"/>
        <item x="1372"/>
        <item x="1025"/>
        <item x="181"/>
        <item x="73"/>
        <item x="74"/>
        <item x="75"/>
        <item x="1373"/>
        <item x="1677"/>
        <item x="1374"/>
        <item x="1375"/>
        <item x="290"/>
        <item x="596"/>
        <item x="1376"/>
        <item x="1678"/>
        <item x="1377"/>
        <item x="1679"/>
        <item x="1378"/>
        <item x="791"/>
        <item x="1026"/>
        <item x="1379"/>
        <item x="182"/>
        <item x="76"/>
        <item x="291"/>
        <item x="597"/>
        <item x="1027"/>
        <item x="1380"/>
        <item x="1028"/>
        <item x="183"/>
        <item x="184"/>
        <item x="1381"/>
        <item x="1382"/>
        <item x="1029"/>
        <item x="792"/>
        <item x="1680"/>
        <item x="793"/>
        <item x="1383"/>
        <item x="1030"/>
        <item x="794"/>
        <item x="77"/>
        <item x="185"/>
        <item x="397"/>
        <item x="398"/>
        <item x="1681"/>
        <item x="795"/>
        <item x="1031"/>
        <item x="1384"/>
        <item x="499"/>
        <item x="399"/>
        <item x="1032"/>
        <item x="1682"/>
        <item x="1033"/>
        <item x="796"/>
        <item x="797"/>
        <item x="1683"/>
        <item x="1684"/>
        <item x="1385"/>
        <item x="78"/>
        <item x="292"/>
        <item x="400"/>
        <item x="500"/>
        <item x="1386"/>
        <item x="798"/>
        <item x="1685"/>
        <item x="1686"/>
        <item x="293"/>
        <item x="79"/>
        <item x="1034"/>
        <item x="799"/>
        <item x="800"/>
        <item x="1687"/>
        <item x="1035"/>
        <item x="1036"/>
        <item x="1037"/>
        <item x="1038"/>
        <item x="186"/>
        <item x="401"/>
        <item x="598"/>
        <item x="294"/>
        <item x="295"/>
        <item x="1387"/>
        <item x="1688"/>
        <item x="1388"/>
        <item x="1389"/>
        <item x="296"/>
        <item x="80"/>
        <item x="801"/>
        <item x="802"/>
        <item x="1039"/>
        <item x="1390"/>
        <item x="1040"/>
        <item x="1041"/>
        <item x="803"/>
        <item x="1391"/>
        <item x="187"/>
        <item x="188"/>
        <item x="599"/>
        <item x="297"/>
        <item x="402"/>
        <item x="1392"/>
        <item x="804"/>
        <item x="1689"/>
        <item x="600"/>
        <item x="81"/>
        <item x="1042"/>
        <item x="1043"/>
        <item x="1393"/>
        <item x="1690"/>
        <item x="805"/>
        <item x="1394"/>
        <item x="1395"/>
        <item x="1691"/>
        <item x="1044"/>
        <item x="601"/>
        <item x="602"/>
        <item x="82"/>
        <item x="501"/>
        <item x="83"/>
        <item x="1396"/>
        <item x="1397"/>
        <item x="1398"/>
        <item x="1045"/>
        <item x="298"/>
        <item x="299"/>
        <item x="1399"/>
        <item x="1046"/>
        <item x="1692"/>
        <item x="1693"/>
        <item x="1694"/>
        <item x="1047"/>
        <item x="1048"/>
        <item x="1400"/>
        <item x="1401"/>
        <item x="502"/>
        <item x="403"/>
        <item x="84"/>
        <item x="85"/>
        <item x="503"/>
        <item x="1402"/>
        <item x="1403"/>
        <item x="1049"/>
        <item x="1404"/>
        <item x="86"/>
        <item x="300"/>
        <item x="1050"/>
        <item x="1405"/>
        <item x="1051"/>
        <item x="1052"/>
        <item x="1406"/>
        <item x="1695"/>
        <item x="1696"/>
        <item x="1407"/>
        <item x="87"/>
        <item x="603"/>
        <item x="504"/>
        <item x="505"/>
        <item x="1697"/>
        <item x="1053"/>
        <item x="1054"/>
        <item x="1408"/>
        <item x="189"/>
        <item x="190"/>
        <item x="806"/>
        <item x="807"/>
        <item x="1409"/>
        <item x="1055"/>
        <item x="808"/>
        <item x="1056"/>
        <item x="1057"/>
        <item x="1058"/>
        <item x="809"/>
        <item x="404"/>
        <item x="191"/>
        <item x="301"/>
        <item x="604"/>
        <item x="605"/>
        <item x="1410"/>
        <item x="1411"/>
        <item x="810"/>
        <item x="405"/>
        <item x="302"/>
        <item x="811"/>
        <item x="1059"/>
        <item x="812"/>
        <item x="1412"/>
        <item x="1698"/>
        <item x="1060"/>
        <item x="813"/>
        <item x="814"/>
        <item x="606"/>
        <item x="88"/>
        <item x="192"/>
        <item x="89"/>
        <item x="1699"/>
        <item x="1413"/>
        <item x="1700"/>
        <item x="815"/>
        <item x="90"/>
        <item x="193"/>
        <item x="1414"/>
        <item x="1415"/>
        <item x="1061"/>
        <item x="1416"/>
        <item x="1417"/>
        <item x="1418"/>
        <item x="1062"/>
        <item x="1701"/>
        <item x="1063"/>
        <item x="506"/>
        <item x="1419"/>
        <item x="1420"/>
        <item x="1702"/>
        <item x="1703"/>
        <item x="406"/>
        <item x="507"/>
        <item x="1064"/>
        <item x="816"/>
        <item x="1065"/>
        <item x="1421"/>
        <item x="1422"/>
        <item x="1704"/>
        <item x="1066"/>
        <item x="1067"/>
        <item x="1705"/>
        <item x="194"/>
        <item x="91"/>
        <item x="303"/>
        <item x="304"/>
        <item x="305"/>
        <item x="1706"/>
        <item x="1423"/>
        <item x="1424"/>
        <item x="92"/>
        <item x="93"/>
        <item x="1425"/>
        <item x="817"/>
        <item x="1707"/>
        <item x="818"/>
        <item x="1708"/>
        <item x="819"/>
        <item x="1068"/>
        <item x="1709"/>
        <item x="820"/>
        <item x="306"/>
        <item x="195"/>
        <item x="307"/>
        <item x="1710"/>
        <item x="821"/>
        <item x="1069"/>
        <item x="1426"/>
        <item x="94"/>
        <item x="308"/>
        <item x="822"/>
        <item x="1711"/>
        <item x="1712"/>
        <item x="1427"/>
        <item x="1713"/>
        <item x="1428"/>
        <item x="1429"/>
        <item x="1714"/>
        <item x="1430"/>
        <item x="309"/>
        <item x="95"/>
        <item x="96"/>
        <item x="407"/>
        <item x="97"/>
        <item x="1431"/>
        <item x="1070"/>
        <item x="1071"/>
        <item x="1715"/>
        <item x="98"/>
        <item x="196"/>
        <item x="1432"/>
        <item x="823"/>
        <item x="1433"/>
        <item x="1716"/>
        <item x="1717"/>
        <item x="824"/>
        <item x="1072"/>
        <item x="1073"/>
        <item x="310"/>
        <item x="508"/>
        <item x="509"/>
        <item x="1718"/>
        <item x="1074"/>
        <item x="825"/>
        <item x="1719"/>
        <item x="99"/>
        <item x="197"/>
        <item x="1075"/>
        <item x="1720"/>
        <item x="1721"/>
        <item x="1076"/>
        <item x="1434"/>
        <item x="1435"/>
        <item x="1077"/>
        <item x="1436"/>
        <item x="1078"/>
        <item x="100"/>
        <item x="607"/>
        <item x="101"/>
        <item x="510"/>
        <item x="408"/>
        <item x="1722"/>
        <item x="1079"/>
        <item x="1723"/>
        <item x="1724"/>
        <item x="511"/>
        <item x="608"/>
        <item x="1080"/>
        <item x="1081"/>
        <item x="826"/>
        <item x="1437"/>
        <item x="1082"/>
        <item x="1725"/>
        <item x="1726"/>
        <item x="1083"/>
        <item x="827"/>
        <item x="311"/>
        <item x="409"/>
        <item x="609"/>
        <item x="102"/>
        <item x="312"/>
        <item x="1727"/>
        <item x="1728"/>
        <item x="1729"/>
        <item x="1730"/>
        <item x="410"/>
        <item x="411"/>
        <item x="1731"/>
        <item x="1084"/>
        <item x="1732"/>
        <item x="1085"/>
        <item x="1733"/>
        <item x="1086"/>
        <item x="828"/>
        <item x="829"/>
        <item x="610"/>
        <item x="313"/>
        <item x="412"/>
        <item x="413"/>
        <item x="198"/>
        <item x="1438"/>
        <item x="1734"/>
        <item x="1735"/>
        <item x="103"/>
        <item x="1087"/>
        <item x="1088"/>
        <item x="830"/>
        <item x="1439"/>
        <item x="1736"/>
        <item x="1737"/>
        <item x="1738"/>
        <item x="831"/>
        <item x="414"/>
        <item x="512"/>
        <item x="104"/>
        <item x="611"/>
        <item x="415"/>
        <item x="1739"/>
        <item x="1440"/>
        <item x="1441"/>
        <item x="1442"/>
        <item x="314"/>
        <item x="1443"/>
        <item x="1444"/>
        <item x="1740"/>
        <item x="1089"/>
        <item x="1741"/>
        <item x="1445"/>
        <item x="1742"/>
        <item x="1446"/>
        <item x="416"/>
        <item x="199"/>
        <item x="315"/>
        <item x="1743"/>
        <item x="1447"/>
        <item x="1744"/>
        <item x="1448"/>
        <item x="417"/>
        <item x="200"/>
        <item x="1090"/>
        <item x="832"/>
        <item x="1449"/>
        <item x="833"/>
        <item x="834"/>
        <item x="835"/>
        <item x="836"/>
        <item x="1091"/>
        <item x="837"/>
        <item x="201"/>
        <item x="513"/>
        <item x="202"/>
        <item x="418"/>
        <item x="1450"/>
        <item x="1745"/>
        <item x="1092"/>
        <item x="1451"/>
        <item x="316"/>
        <item x="105"/>
        <item x="1452"/>
        <item x="1453"/>
        <item x="1454"/>
        <item x="1746"/>
        <item x="1455"/>
        <item x="1456"/>
        <item x="1457"/>
        <item x="1747"/>
        <item x="1458"/>
        <item x="612"/>
        <item x="203"/>
        <item x="106"/>
        <item x="107"/>
        <item x="108"/>
        <item x="1459"/>
        <item x="838"/>
        <item x="1093"/>
        <item x="204"/>
        <item x="419"/>
        <item x="1748"/>
        <item x="1749"/>
        <item x="1460"/>
        <item x="1750"/>
        <item x="1094"/>
        <item x="1095"/>
        <item x="1751"/>
        <item x="1752"/>
        <item x="317"/>
        <item x="109"/>
        <item x="205"/>
        <item x="613"/>
        <item x="206"/>
        <item x="1461"/>
        <item x="839"/>
        <item x="840"/>
        <item x="110"/>
        <item x="420"/>
        <item x="841"/>
        <item x="1096"/>
        <item x="1753"/>
        <item x="1462"/>
        <item x="1463"/>
        <item x="842"/>
        <item x="1464"/>
        <item x="1465"/>
        <item x="1466"/>
        <item x="514"/>
        <item x="318"/>
        <item x="111"/>
        <item x="319"/>
        <item x="1467"/>
        <item x="1754"/>
        <item x="1755"/>
        <item x="1756"/>
        <item x="207"/>
        <item x="1468"/>
        <item x="1097"/>
        <item x="1469"/>
        <item x="843"/>
        <item x="1470"/>
        <item x="1471"/>
        <item x="1098"/>
        <item x="1757"/>
        <item x="1472"/>
        <item x="320"/>
        <item x="112"/>
        <item x="113"/>
        <item x="208"/>
        <item x="321"/>
        <item x="1758"/>
        <item x="844"/>
        <item x="1099"/>
        <item x="1473"/>
        <item x="114"/>
        <item x="515"/>
        <item x="1474"/>
        <item x="1100"/>
        <item x="1101"/>
        <item x="1102"/>
        <item x="1103"/>
        <item x="1475"/>
        <item x="1759"/>
        <item x="1476"/>
        <item x="1477"/>
        <item x="516"/>
        <item x="115"/>
        <item x="322"/>
        <item x="421"/>
        <item x="614"/>
        <item x="1760"/>
        <item x="1478"/>
        <item x="1104"/>
        <item x="845"/>
        <item x="209"/>
        <item x="116"/>
        <item x="1761"/>
        <item x="1105"/>
        <item x="1106"/>
        <item x="1762"/>
        <item x="1107"/>
        <item x="1763"/>
        <item x="1108"/>
        <item x="1479"/>
        <item x="422"/>
        <item x="517"/>
        <item x="518"/>
        <item x="519"/>
        <item x="615"/>
        <item x="1480"/>
        <item x="1109"/>
        <item x="1481"/>
        <item x="210"/>
        <item x="117"/>
        <item x="846"/>
        <item x="1482"/>
        <item x="847"/>
        <item x="1110"/>
        <item x="1111"/>
        <item x="1112"/>
        <item x="1113"/>
        <item x="1114"/>
        <item x="1483"/>
        <item x="323"/>
        <item x="423"/>
        <item x="211"/>
        <item x="424"/>
        <item x="212"/>
        <item x="848"/>
        <item x="849"/>
        <item x="616"/>
        <item x="1484"/>
        <item x="1485"/>
        <item x="850"/>
        <item x="851"/>
        <item x="1115"/>
        <item x="1764"/>
        <item x="1765"/>
        <item x="1766"/>
        <item x="520"/>
        <item x="118"/>
        <item x="425"/>
        <item x="426"/>
        <item x="1486"/>
        <item x="852"/>
        <item x="1116"/>
        <item x="617"/>
        <item x="618"/>
        <item x="1487"/>
        <item x="853"/>
        <item x="1117"/>
        <item x="1767"/>
        <item x="854"/>
        <item x="1118"/>
        <item x="1119"/>
        <item x="1120"/>
        <item x="619"/>
        <item x="427"/>
        <item x="620"/>
        <item x="213"/>
        <item x="1488"/>
        <item x="855"/>
        <item x="1121"/>
        <item x="1122"/>
        <item x="621"/>
        <item x="1768"/>
        <item x="1769"/>
        <item x="856"/>
        <item x="857"/>
        <item x="1489"/>
        <item x="1490"/>
        <item x="1123"/>
        <item x="1491"/>
        <item x="521"/>
        <item x="428"/>
        <item x="429"/>
        <item x="622"/>
        <item x="119"/>
        <item x="1492"/>
        <item x="858"/>
        <item x="1770"/>
        <item x="623"/>
        <item x="214"/>
        <item x="859"/>
        <item x="860"/>
        <item x="1124"/>
        <item x="861"/>
        <item x="862"/>
        <item x="1771"/>
        <item x="863"/>
        <item x="1772"/>
        <item x="1493"/>
        <item x="324"/>
        <item x="325"/>
        <item x="326"/>
        <item x="120"/>
        <item x="327"/>
        <item x="1773"/>
        <item x="864"/>
        <item x="1774"/>
        <item x="1494"/>
        <item x="624"/>
        <item x="121"/>
        <item x="1775"/>
        <item x="1495"/>
        <item x="1125"/>
        <item x="865"/>
        <item x="1496"/>
        <item x="1497"/>
        <item x="122"/>
        <item x="522"/>
        <item x="328"/>
        <item x="329"/>
        <item x="523"/>
        <item x="866"/>
        <item x="1498"/>
        <item x="430"/>
        <item x="215"/>
        <item x="867"/>
        <item x="868"/>
        <item x="1776"/>
        <item x="1126"/>
        <item x="1499"/>
        <item x="1127"/>
        <item x="1500"/>
        <item x="1777"/>
        <item x="123"/>
        <item x="216"/>
        <item x="330"/>
        <item x="431"/>
        <item x="1778"/>
        <item x="1779"/>
        <item x="217"/>
        <item x="432"/>
        <item x="1780"/>
        <item x="869"/>
        <item x="1781"/>
        <item x="1501"/>
        <item x="870"/>
        <item x="871"/>
        <item x="1128"/>
        <item x="331"/>
        <item x="332"/>
        <item x="524"/>
        <item x="333"/>
        <item x="124"/>
        <item x="1782"/>
        <item x="1783"/>
        <item x="1502"/>
        <item x="218"/>
        <item x="219"/>
        <item x="1784"/>
        <item x="1785"/>
        <item x="872"/>
        <item x="1129"/>
        <item x="873"/>
        <item x="1786"/>
        <item x="1787"/>
        <item x="1788"/>
        <item x="874"/>
        <item x="125"/>
        <item x="625"/>
        <item x="525"/>
        <item x="433"/>
        <item x="626"/>
        <item x="1503"/>
        <item x="1789"/>
        <item x="1130"/>
        <item x="1504"/>
        <item x="220"/>
        <item x="126"/>
        <item x="1790"/>
        <item x="1505"/>
        <item x="1131"/>
        <item x="1791"/>
        <item x="1506"/>
        <item x="1132"/>
        <item x="1507"/>
        <item x="221"/>
        <item x="526"/>
        <item x="434"/>
        <item x="334"/>
        <item x="335"/>
        <item x="1508"/>
        <item x="1509"/>
        <item x="1510"/>
        <item x="1792"/>
        <item x="336"/>
        <item x="875"/>
        <item x="1793"/>
        <item x="1794"/>
        <item x="1133"/>
        <item x="1134"/>
        <item x="1511"/>
        <item x="876"/>
        <item x="1135"/>
        <item x="1512"/>
        <item x="127"/>
        <item x="222"/>
        <item x="627"/>
        <item x="223"/>
        <item x="435"/>
        <item x="1513"/>
        <item x="1795"/>
        <item x="877"/>
        <item x="1796"/>
        <item x="527"/>
        <item x="628"/>
        <item x="1514"/>
        <item x="1136"/>
        <item x="1515"/>
        <item x="878"/>
        <item x="879"/>
        <item x="1516"/>
        <item x="880"/>
        <item x="1797"/>
        <item x="1517"/>
        <item x="436"/>
        <item x="224"/>
        <item x="629"/>
        <item x="528"/>
        <item x="1518"/>
        <item x="1798"/>
        <item x="1799"/>
        <item x="1519"/>
        <item x="529"/>
        <item x="128"/>
        <item x="1137"/>
        <item x="1800"/>
        <item x="1520"/>
        <item x="1521"/>
        <item x="881"/>
        <item x="1522"/>
        <item x="1801"/>
        <item x="882"/>
        <item x="1523"/>
        <item x="225"/>
        <item x="337"/>
        <item x="437"/>
        <item x="129"/>
        <item x="338"/>
        <item x="883"/>
        <item x="1524"/>
        <item x="1802"/>
        <item x="630"/>
        <item x="438"/>
        <item x="1138"/>
        <item x="1139"/>
        <item x="1525"/>
        <item x="1803"/>
        <item x="1140"/>
        <item x="884"/>
        <item x="1804"/>
        <item x="1526"/>
        <item x="1141"/>
        <item x="631"/>
        <item x="439"/>
        <item x="632"/>
        <item x="530"/>
        <item x="1805"/>
        <item x="1142"/>
        <item x="1806"/>
        <item x="13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" showAll="0"/>
    <pivotField numFmtId="2" showAll="0"/>
    <pivotField showAll="0"/>
    <pivotField numFmtId="2" showAll="0"/>
    <pivotField numFmtId="1"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Average of Actual Delivery Days" fld="24" subtotal="average" baseField="1" baseItem="0" numFmtId="4"/>
    <dataField name="Average of ShipDays" fld="9" subtotal="average" baseField="1" baseItem="0" numFmtId="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D6AC2C-0C89-402D-888F-1301382A02A5}" name="PivotTable2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184:D188" firstHeaderRow="1" firstDataRow="2" firstDataCol="1"/>
  <pivotFields count="26">
    <pivotField showAll="0"/>
    <pivotField axis="axisRow" dataField="1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5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2" showAll="0"/>
    <pivotField showAll="0"/>
    <pivotField numFmtId="2" showAll="0"/>
    <pivotField numFmtId="1"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3">
    <i>
      <x v="1"/>
    </i>
    <i>
      <x/>
    </i>
    <i>
      <x v="2"/>
    </i>
  </rowItems>
  <colFields count="1">
    <field x="25"/>
  </colFields>
  <colItems count="2">
    <i>
      <x/>
    </i>
    <i>
      <x v="1"/>
    </i>
  </colItems>
  <dataFields count="1">
    <dataField name="Count of ShipperID" fld="1" subtotal="count" baseField="1" baseItem="0"/>
  </dataFields>
  <formats count="7">
    <format dxfId="97">
      <pivotArea type="origin" dataOnly="0" labelOnly="1" outline="0" fieldPosition="0"/>
    </format>
    <format dxfId="96">
      <pivotArea field="25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1" type="button" dataOnly="0" labelOnly="1" outline="0" axis="axisRow" fieldPosition="0"/>
    </format>
    <format dxfId="93">
      <pivotArea dataOnly="0" labelOnly="1" fieldPosition="0">
        <references count="1">
          <reference field="25" count="0"/>
        </references>
      </pivotArea>
    </format>
    <format dxfId="1">
      <pivotArea outline="0" collapsedLevelsAreSubtotals="1" fieldPosition="0"/>
    </format>
    <format dxfId="0">
      <pivotArea dataOnly="0" labelOnly="1" fieldPosition="0">
        <references count="1">
          <reference field="1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BA3BE-C691-49D1-9994-B03293C0BDBB}" name="PivotTable2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B168:D179" firstHeaderRow="1" firstDataRow="2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2" showAll="0"/>
    <pivotField showAll="0"/>
    <pivotField numFmtId="2" showAll="0"/>
    <pivotField numFmtId="1" showAll="0"/>
    <pivotField showAll="0"/>
    <pivotField showAll="0"/>
    <pivotField showAll="0"/>
    <pivotField axis="axisRow" showAll="0">
      <items count="11">
        <item x="4"/>
        <item x="9"/>
        <item x="6"/>
        <item x="0"/>
        <item x="8"/>
        <item x="7"/>
        <item x="3"/>
        <item x="2"/>
        <item x="5"/>
        <item x="1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2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25"/>
  </colFields>
  <colItems count="2">
    <i>
      <x/>
    </i>
    <i>
      <x v="1"/>
    </i>
  </colItems>
  <dataFields count="1">
    <dataField name="Count of TripID" fld="0" subtotal="count" baseField="23" baseItem="0"/>
  </dataFields>
  <formats count="7">
    <format dxfId="92">
      <pivotArea type="origin" dataOnly="0" labelOnly="1" outline="0" fieldPosition="0"/>
    </format>
    <format dxfId="91">
      <pivotArea field="25" type="button" dataOnly="0" labelOnly="1" outline="0" axis="axisCol" fieldPosition="0"/>
    </format>
    <format dxfId="90">
      <pivotArea type="topRight" dataOnly="0" labelOnly="1" outline="0" fieldPosition="0"/>
    </format>
    <format dxfId="89">
      <pivotArea field="23" type="button" dataOnly="0" labelOnly="1" outline="0" axis="axisRow" fieldPosition="0"/>
    </format>
    <format dxfId="88">
      <pivotArea dataOnly="0" labelOnly="1" fieldPosition="0">
        <references count="1">
          <reference field="25" count="0"/>
        </references>
      </pivotArea>
    </format>
    <format dxfId="3">
      <pivotArea outline="0" collapsedLevelsAreSubtotals="1" fieldPosition="0"/>
    </format>
    <format dxfId="2">
      <pivotArea dataOnly="0" labelOnly="1" fieldPosition="0">
        <references count="1">
          <reference field="23" count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ACCCE-2E2D-42F2-BFE8-18B4F6C0E294}" name="PivotTable2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B155:D159" firstHeaderRow="1" firstDataRow="2" firstDataCol="1"/>
  <pivotFields count="26">
    <pivotField showAll="0">
      <items count="1809">
        <item x="885"/>
        <item x="1143"/>
        <item x="633"/>
        <item x="1527"/>
        <item x="886"/>
        <item x="634"/>
        <item x="635"/>
        <item x="887"/>
        <item x="0"/>
        <item x="531"/>
        <item x="440"/>
        <item x="1"/>
        <item x="1528"/>
        <item x="1529"/>
        <item x="636"/>
        <item x="131"/>
        <item x="441"/>
        <item x="1144"/>
        <item x="1145"/>
        <item x="1530"/>
        <item x="1146"/>
        <item x="1147"/>
        <item x="1148"/>
        <item x="1149"/>
        <item x="637"/>
        <item x="2"/>
        <item x="339"/>
        <item x="132"/>
        <item x="1531"/>
        <item x="1532"/>
        <item x="1150"/>
        <item x="1151"/>
        <item x="340"/>
        <item x="341"/>
        <item x="888"/>
        <item x="638"/>
        <item x="889"/>
        <item x="890"/>
        <item x="891"/>
        <item x="1152"/>
        <item x="1153"/>
        <item x="3"/>
        <item x="342"/>
        <item x="133"/>
        <item x="226"/>
        <item x="532"/>
        <item x="1533"/>
        <item x="639"/>
        <item x="1534"/>
        <item x="4"/>
        <item x="134"/>
        <item x="1154"/>
        <item x="892"/>
        <item x="640"/>
        <item x="893"/>
        <item x="641"/>
        <item x="642"/>
        <item x="643"/>
        <item x="1155"/>
        <item x="227"/>
        <item x="533"/>
        <item x="135"/>
        <item x="343"/>
        <item x="644"/>
        <item x="894"/>
        <item x="442"/>
        <item x="443"/>
        <item x="645"/>
        <item x="1156"/>
        <item x="1535"/>
        <item x="646"/>
        <item x="1157"/>
        <item x="534"/>
        <item x="136"/>
        <item x="344"/>
        <item x="535"/>
        <item x="137"/>
        <item x="647"/>
        <item x="1807"/>
        <item x="1536"/>
        <item x="536"/>
        <item x="444"/>
        <item x="648"/>
        <item x="895"/>
        <item x="1537"/>
        <item x="1538"/>
        <item x="1158"/>
        <item x="896"/>
        <item x="1159"/>
        <item x="1539"/>
        <item x="649"/>
        <item x="445"/>
        <item x="537"/>
        <item x="228"/>
        <item x="138"/>
        <item x="229"/>
        <item x="1540"/>
        <item x="1160"/>
        <item x="897"/>
        <item x="650"/>
        <item x="538"/>
        <item x="345"/>
        <item x="651"/>
        <item x="1541"/>
        <item x="1542"/>
        <item x="1543"/>
        <item x="652"/>
        <item x="898"/>
        <item x="899"/>
        <item x="5"/>
        <item x="539"/>
        <item x="346"/>
        <item x="6"/>
        <item x="1161"/>
        <item x="1544"/>
        <item x="1162"/>
        <item x="1163"/>
        <item x="230"/>
        <item x="7"/>
        <item x="1164"/>
        <item x="653"/>
        <item x="900"/>
        <item x="1165"/>
        <item x="654"/>
        <item x="655"/>
        <item x="656"/>
        <item x="1545"/>
        <item x="657"/>
        <item x="8"/>
        <item x="347"/>
        <item x="348"/>
        <item x="349"/>
        <item x="901"/>
        <item x="902"/>
        <item x="658"/>
        <item x="231"/>
        <item x="9"/>
        <item x="903"/>
        <item x="1166"/>
        <item x="904"/>
        <item x="905"/>
        <item x="1167"/>
        <item x="1546"/>
        <item x="906"/>
        <item x="1168"/>
        <item x="139"/>
        <item x="540"/>
        <item x="232"/>
        <item x="350"/>
        <item x="351"/>
        <item x="1169"/>
        <item x="1170"/>
        <item x="1547"/>
        <item x="10"/>
        <item x="352"/>
        <item x="1171"/>
        <item x="1172"/>
        <item x="1548"/>
        <item x="659"/>
        <item x="907"/>
        <item x="1173"/>
        <item x="1174"/>
        <item x="660"/>
        <item x="446"/>
        <item x="233"/>
        <item x="140"/>
        <item x="11"/>
        <item x="1549"/>
        <item x="1175"/>
        <item x="1176"/>
        <item x="141"/>
        <item x="541"/>
        <item x="1177"/>
        <item x="661"/>
        <item x="662"/>
        <item x="1178"/>
        <item x="663"/>
        <item x="1179"/>
        <item x="664"/>
        <item x="542"/>
        <item x="353"/>
        <item x="142"/>
        <item x="234"/>
        <item x="1180"/>
        <item x="1550"/>
        <item x="1551"/>
        <item x="1552"/>
        <item x="354"/>
        <item x="543"/>
        <item x="1553"/>
        <item x="665"/>
        <item x="1181"/>
        <item x="1554"/>
        <item x="666"/>
        <item x="667"/>
        <item x="447"/>
        <item x="544"/>
        <item x="143"/>
        <item x="448"/>
        <item x="355"/>
        <item x="1182"/>
        <item x="908"/>
        <item x="909"/>
        <item x="545"/>
        <item x="12"/>
        <item x="668"/>
        <item x="1183"/>
        <item x="1184"/>
        <item x="1555"/>
        <item x="910"/>
        <item x="1556"/>
        <item x="1185"/>
        <item x="1557"/>
        <item x="669"/>
        <item x="449"/>
        <item x="450"/>
        <item x="356"/>
        <item x="144"/>
        <item x="1186"/>
        <item x="911"/>
        <item x="670"/>
        <item x="671"/>
        <item x="13"/>
        <item x="912"/>
        <item x="1187"/>
        <item x="672"/>
        <item x="1188"/>
        <item x="913"/>
        <item x="673"/>
        <item x="674"/>
        <item x="451"/>
        <item x="357"/>
        <item x="546"/>
        <item x="235"/>
        <item x="14"/>
        <item x="1189"/>
        <item x="675"/>
        <item x="1190"/>
        <item x="1191"/>
        <item x="236"/>
        <item x="145"/>
        <item x="1192"/>
        <item x="914"/>
        <item x="1558"/>
        <item x="676"/>
        <item x="677"/>
        <item x="1193"/>
        <item x="678"/>
        <item x="547"/>
        <item x="146"/>
        <item x="237"/>
        <item x="452"/>
        <item x="238"/>
        <item x="1194"/>
        <item x="1195"/>
        <item x="679"/>
        <item x="548"/>
        <item x="453"/>
        <item x="915"/>
        <item x="680"/>
        <item x="1196"/>
        <item x="1197"/>
        <item x="1198"/>
        <item x="681"/>
        <item x="1199"/>
        <item x="1559"/>
        <item x="1200"/>
        <item x="549"/>
        <item x="454"/>
        <item x="239"/>
        <item x="550"/>
        <item x="15"/>
        <item x="1201"/>
        <item x="1202"/>
        <item x="1203"/>
        <item x="916"/>
        <item x="16"/>
        <item x="682"/>
        <item x="917"/>
        <item x="1560"/>
        <item x="683"/>
        <item x="1561"/>
        <item x="1204"/>
        <item x="918"/>
        <item x="240"/>
        <item x="241"/>
        <item x="551"/>
        <item x="455"/>
        <item x="552"/>
        <item x="1562"/>
        <item x="919"/>
        <item x="1205"/>
        <item x="684"/>
        <item x="17"/>
        <item x="242"/>
        <item x="685"/>
        <item x="920"/>
        <item x="686"/>
        <item x="921"/>
        <item x="1206"/>
        <item x="1207"/>
        <item x="1563"/>
        <item x="922"/>
        <item x="18"/>
        <item x="19"/>
        <item x="243"/>
        <item x="456"/>
        <item x="457"/>
        <item x="923"/>
        <item x="1564"/>
        <item x="1208"/>
        <item x="20"/>
        <item x="553"/>
        <item x="687"/>
        <item x="1565"/>
        <item x="924"/>
        <item x="1209"/>
        <item x="1210"/>
        <item x="1566"/>
        <item x="1211"/>
        <item x="358"/>
        <item x="21"/>
        <item x="458"/>
        <item x="359"/>
        <item x="244"/>
        <item x="1567"/>
        <item x="688"/>
        <item x="925"/>
        <item x="926"/>
        <item x="22"/>
        <item x="147"/>
        <item x="1568"/>
        <item x="1212"/>
        <item x="689"/>
        <item x="927"/>
        <item x="1569"/>
        <item x="690"/>
        <item x="691"/>
        <item x="245"/>
        <item x="148"/>
        <item x="149"/>
        <item x="360"/>
        <item x="246"/>
        <item x="1213"/>
        <item x="1570"/>
        <item x="1571"/>
        <item x="692"/>
        <item x="247"/>
        <item x="150"/>
        <item x="1214"/>
        <item x="693"/>
        <item x="928"/>
        <item x="1215"/>
        <item x="1572"/>
        <item x="1216"/>
        <item x="459"/>
        <item x="460"/>
        <item x="554"/>
        <item x="555"/>
        <item x="248"/>
        <item x="1217"/>
        <item x="1218"/>
        <item x="1219"/>
        <item x="1573"/>
        <item x="249"/>
        <item x="556"/>
        <item x="1220"/>
        <item x="1221"/>
        <item x="929"/>
        <item x="694"/>
        <item x="1222"/>
        <item x="930"/>
        <item x="1223"/>
        <item x="931"/>
        <item x="932"/>
        <item x="361"/>
        <item x="362"/>
        <item x="250"/>
        <item x="363"/>
        <item x="557"/>
        <item x="1224"/>
        <item x="695"/>
        <item x="696"/>
        <item x="1225"/>
        <item x="364"/>
        <item x="151"/>
        <item x="1226"/>
        <item x="697"/>
        <item x="1574"/>
        <item x="698"/>
        <item x="1575"/>
        <item x="1576"/>
        <item x="1227"/>
        <item x="1228"/>
        <item x="933"/>
        <item x="461"/>
        <item x="365"/>
        <item x="23"/>
        <item x="24"/>
        <item x="558"/>
        <item x="1229"/>
        <item x="934"/>
        <item x="1230"/>
        <item x="935"/>
        <item x="559"/>
        <item x="152"/>
        <item x="1231"/>
        <item x="699"/>
        <item x="1577"/>
        <item x="1232"/>
        <item x="936"/>
        <item x="700"/>
        <item x="1578"/>
        <item x="1233"/>
        <item x="25"/>
        <item x="26"/>
        <item x="251"/>
        <item x="366"/>
        <item x="252"/>
        <item x="1579"/>
        <item x="1580"/>
        <item x="1581"/>
        <item x="1582"/>
        <item x="367"/>
        <item x="27"/>
        <item x="701"/>
        <item x="937"/>
        <item x="938"/>
        <item x="1234"/>
        <item x="1583"/>
        <item x="1235"/>
        <item x="1584"/>
        <item x="1236"/>
        <item x="368"/>
        <item x="462"/>
        <item x="153"/>
        <item x="154"/>
        <item x="560"/>
        <item x="1237"/>
        <item x="939"/>
        <item x="702"/>
        <item x="155"/>
        <item x="28"/>
        <item x="940"/>
        <item x="703"/>
        <item x="704"/>
        <item x="1238"/>
        <item x="1239"/>
        <item x="1240"/>
        <item x="705"/>
        <item x="1241"/>
        <item x="369"/>
        <item x="253"/>
        <item x="254"/>
        <item x="463"/>
        <item x="1242"/>
        <item x="706"/>
        <item x="1243"/>
        <item x="1585"/>
        <item x="255"/>
        <item x="29"/>
        <item x="1244"/>
        <item x="707"/>
        <item x="1245"/>
        <item x="1246"/>
        <item x="1586"/>
        <item x="1247"/>
        <item x="1587"/>
        <item x="1248"/>
        <item x="464"/>
        <item x="370"/>
        <item x="156"/>
        <item x="465"/>
        <item x="157"/>
        <item x="1249"/>
        <item x="941"/>
        <item x="1250"/>
        <item x="1251"/>
        <item x="371"/>
        <item x="1252"/>
        <item x="708"/>
        <item x="1253"/>
        <item x="942"/>
        <item x="1588"/>
        <item x="1589"/>
        <item x="709"/>
        <item x="1590"/>
        <item x="1254"/>
        <item x="158"/>
        <item x="561"/>
        <item x="562"/>
        <item x="159"/>
        <item x="1255"/>
        <item x="710"/>
        <item x="563"/>
        <item x="466"/>
        <item x="1256"/>
        <item x="711"/>
        <item x="943"/>
        <item x="712"/>
        <item x="944"/>
        <item x="945"/>
        <item x="1257"/>
        <item x="713"/>
        <item x="372"/>
        <item x="160"/>
        <item x="373"/>
        <item x="161"/>
        <item x="564"/>
        <item x="1591"/>
        <item x="1592"/>
        <item x="1593"/>
        <item x="1594"/>
        <item x="374"/>
        <item x="30"/>
        <item x="1258"/>
        <item x="946"/>
        <item x="714"/>
        <item x="947"/>
        <item x="948"/>
        <item x="1595"/>
        <item x="1596"/>
        <item x="1259"/>
        <item x="467"/>
        <item x="375"/>
        <item x="31"/>
        <item x="32"/>
        <item x="1260"/>
        <item x="1597"/>
        <item x="715"/>
        <item x="949"/>
        <item x="256"/>
        <item x="33"/>
        <item x="1261"/>
        <item x="1262"/>
        <item x="716"/>
        <item x="950"/>
        <item x="1263"/>
        <item x="951"/>
        <item x="952"/>
        <item x="34"/>
        <item x="376"/>
        <item x="257"/>
        <item x="1264"/>
        <item x="953"/>
        <item x="1265"/>
        <item x="717"/>
        <item x="35"/>
        <item x="1598"/>
        <item x="954"/>
        <item x="955"/>
        <item x="1599"/>
        <item x="1266"/>
        <item x="1600"/>
        <item x="718"/>
        <item x="956"/>
        <item x="1267"/>
        <item x="36"/>
        <item x="565"/>
        <item x="162"/>
        <item x="163"/>
        <item x="258"/>
        <item x="1601"/>
        <item x="957"/>
        <item x="1268"/>
        <item x="1269"/>
        <item x="377"/>
        <item x="259"/>
        <item x="719"/>
        <item x="1602"/>
        <item x="1270"/>
        <item x="1603"/>
        <item x="1271"/>
        <item x="1272"/>
        <item x="720"/>
        <item x="1604"/>
        <item x="1273"/>
        <item x="164"/>
        <item x="165"/>
        <item x="260"/>
        <item x="261"/>
        <item x="1605"/>
        <item x="721"/>
        <item x="1606"/>
        <item x="1274"/>
        <item x="468"/>
        <item x="469"/>
        <item x="1275"/>
        <item x="958"/>
        <item x="959"/>
        <item x="960"/>
        <item x="1276"/>
        <item x="1607"/>
        <item x="1277"/>
        <item x="1278"/>
        <item x="566"/>
        <item x="378"/>
        <item x="567"/>
        <item x="37"/>
        <item x="38"/>
        <item x="1279"/>
        <item x="961"/>
        <item x="962"/>
        <item x="722"/>
        <item x="262"/>
        <item x="470"/>
        <item x="1280"/>
        <item x="1281"/>
        <item x="963"/>
        <item x="723"/>
        <item x="964"/>
        <item x="965"/>
        <item x="1608"/>
        <item x="1282"/>
        <item x="39"/>
        <item x="40"/>
        <item x="41"/>
        <item x="263"/>
        <item x="471"/>
        <item x="1609"/>
        <item x="966"/>
        <item x="967"/>
        <item x="724"/>
        <item x="166"/>
        <item x="725"/>
        <item x="1283"/>
        <item x="968"/>
        <item x="1610"/>
        <item x="969"/>
        <item x="1284"/>
        <item x="726"/>
        <item x="727"/>
        <item x="1285"/>
        <item x="472"/>
        <item x="42"/>
        <item x="379"/>
        <item x="43"/>
        <item x="44"/>
        <item x="1286"/>
        <item x="1287"/>
        <item x="970"/>
        <item x="264"/>
        <item x="265"/>
        <item x="728"/>
        <item x="1288"/>
        <item x="971"/>
        <item x="972"/>
        <item x="729"/>
        <item x="973"/>
        <item x="1289"/>
        <item x="1611"/>
        <item x="1612"/>
        <item x="45"/>
        <item x="473"/>
        <item x="568"/>
        <item x="46"/>
        <item x="47"/>
        <item x="1290"/>
        <item x="1291"/>
        <item x="974"/>
        <item x="474"/>
        <item x="48"/>
        <item x="1292"/>
        <item x="730"/>
        <item x="1613"/>
        <item x="1614"/>
        <item x="975"/>
        <item x="976"/>
        <item x="977"/>
        <item x="731"/>
        <item x="1293"/>
        <item x="569"/>
        <item x="570"/>
        <item x="380"/>
        <item x="1294"/>
        <item x="1295"/>
        <item x="732"/>
        <item x="1296"/>
        <item x="49"/>
        <item x="571"/>
        <item x="1297"/>
        <item x="978"/>
        <item x="979"/>
        <item x="733"/>
        <item x="1615"/>
        <item x="1616"/>
        <item x="1617"/>
        <item x="734"/>
        <item x="50"/>
        <item x="475"/>
        <item x="266"/>
        <item x="167"/>
        <item x="476"/>
        <item x="1298"/>
        <item x="735"/>
        <item x="1299"/>
        <item x="477"/>
        <item x="168"/>
        <item x="1300"/>
        <item x="980"/>
        <item x="1618"/>
        <item x="1619"/>
        <item x="1620"/>
        <item x="1301"/>
        <item x="1302"/>
        <item x="1303"/>
        <item x="736"/>
        <item x="572"/>
        <item x="381"/>
        <item x="573"/>
        <item x="169"/>
        <item x="382"/>
        <item x="1304"/>
        <item x="1305"/>
        <item x="1621"/>
        <item x="267"/>
        <item x="574"/>
        <item x="1622"/>
        <item x="981"/>
        <item x="1623"/>
        <item x="982"/>
        <item x="737"/>
        <item x="983"/>
        <item x="1306"/>
        <item x="984"/>
        <item x="478"/>
        <item x="51"/>
        <item x="268"/>
        <item x="575"/>
        <item x="383"/>
        <item x="738"/>
        <item x="1624"/>
        <item x="479"/>
        <item x="384"/>
        <item x="1307"/>
        <item x="1308"/>
        <item x="1625"/>
        <item x="739"/>
        <item x="1626"/>
        <item x="1309"/>
        <item x="740"/>
        <item x="480"/>
        <item x="170"/>
        <item x="269"/>
        <item x="270"/>
        <item x="576"/>
        <item x="1627"/>
        <item x="1310"/>
        <item x="985"/>
        <item x="171"/>
        <item x="741"/>
        <item x="1311"/>
        <item x="742"/>
        <item x="743"/>
        <item x="986"/>
        <item x="1628"/>
        <item x="744"/>
        <item x="1312"/>
        <item x="172"/>
        <item x="385"/>
        <item x="577"/>
        <item x="386"/>
        <item x="578"/>
        <item x="1629"/>
        <item x="1313"/>
        <item x="987"/>
        <item x="1630"/>
        <item x="52"/>
        <item x="173"/>
        <item x="745"/>
        <item x="1631"/>
        <item x="988"/>
        <item x="746"/>
        <item x="1314"/>
        <item x="1632"/>
        <item x="989"/>
        <item x="747"/>
        <item x="1315"/>
        <item x="53"/>
        <item x="54"/>
        <item x="271"/>
        <item x="55"/>
        <item x="1316"/>
        <item x="1633"/>
        <item x="990"/>
        <item x="1317"/>
        <item x="387"/>
        <item x="481"/>
        <item x="991"/>
        <item x="1634"/>
        <item x="992"/>
        <item x="993"/>
        <item x="748"/>
        <item x="749"/>
        <item x="1318"/>
        <item x="388"/>
        <item x="272"/>
        <item x="579"/>
        <item x="273"/>
        <item x="389"/>
        <item x="1635"/>
        <item x="750"/>
        <item x="994"/>
        <item x="751"/>
        <item x="580"/>
        <item x="995"/>
        <item x="752"/>
        <item x="753"/>
        <item x="996"/>
        <item x="1636"/>
        <item x="1319"/>
        <item x="1320"/>
        <item x="754"/>
        <item x="581"/>
        <item x="482"/>
        <item x="174"/>
        <item x="56"/>
        <item x="274"/>
        <item x="1637"/>
        <item x="755"/>
        <item x="57"/>
        <item x="390"/>
        <item x="1321"/>
        <item x="1322"/>
        <item x="1638"/>
        <item x="1639"/>
        <item x="997"/>
        <item x="1323"/>
        <item x="998"/>
        <item x="756"/>
        <item x="757"/>
        <item x="175"/>
        <item x="58"/>
        <item x="483"/>
        <item x="176"/>
        <item x="275"/>
        <item x="1640"/>
        <item x="1641"/>
        <item x="999"/>
        <item x="758"/>
        <item x="276"/>
        <item x="277"/>
        <item x="1000"/>
        <item x="1001"/>
        <item x="1642"/>
        <item x="759"/>
        <item x="1643"/>
        <item x="1324"/>
        <item x="1325"/>
        <item x="760"/>
        <item x="1326"/>
        <item x="484"/>
        <item x="278"/>
        <item x="59"/>
        <item x="485"/>
        <item x="60"/>
        <item x="1327"/>
        <item x="761"/>
        <item x="1644"/>
        <item x="1328"/>
        <item x="61"/>
        <item x="762"/>
        <item x="1329"/>
        <item x="1645"/>
        <item x="1646"/>
        <item x="763"/>
        <item x="1330"/>
        <item x="764"/>
        <item x="1331"/>
        <item x="1332"/>
        <item x="582"/>
        <item x="391"/>
        <item x="392"/>
        <item x="279"/>
        <item x="1647"/>
        <item x="1333"/>
        <item x="1648"/>
        <item x="1002"/>
        <item x="583"/>
        <item x="486"/>
        <item x="765"/>
        <item x="766"/>
        <item x="1649"/>
        <item x="1003"/>
        <item x="767"/>
        <item x="1650"/>
        <item x="1004"/>
        <item x="1651"/>
        <item x="62"/>
        <item x="487"/>
        <item x="488"/>
        <item x="280"/>
        <item x="393"/>
        <item x="1652"/>
        <item x="768"/>
        <item x="1005"/>
        <item x="769"/>
        <item x="584"/>
        <item x="585"/>
        <item x="1334"/>
        <item x="1653"/>
        <item x="770"/>
        <item x="1006"/>
        <item x="1007"/>
        <item x="1008"/>
        <item x="1335"/>
        <item x="1654"/>
        <item x="1336"/>
        <item x="489"/>
        <item x="63"/>
        <item x="490"/>
        <item x="586"/>
        <item x="64"/>
        <item x="1337"/>
        <item x="1338"/>
        <item x="1655"/>
        <item x="1339"/>
        <item x="281"/>
        <item x="282"/>
        <item x="1340"/>
        <item x="1656"/>
        <item x="771"/>
        <item x="1341"/>
        <item x="772"/>
        <item x="773"/>
        <item x="1657"/>
        <item x="1342"/>
        <item x="774"/>
        <item x="177"/>
        <item x="491"/>
        <item x="587"/>
        <item x="1343"/>
        <item x="775"/>
        <item x="1009"/>
        <item x="588"/>
        <item x="65"/>
        <item x="1344"/>
        <item x="1345"/>
        <item x="776"/>
        <item x="1010"/>
        <item x="1658"/>
        <item x="1659"/>
        <item x="1660"/>
        <item x="1011"/>
        <item x="178"/>
        <item x="394"/>
        <item x="395"/>
        <item x="283"/>
        <item x="1346"/>
        <item x="1661"/>
        <item x="777"/>
        <item x="1662"/>
        <item x="589"/>
        <item x="778"/>
        <item x="1663"/>
        <item x="779"/>
        <item x="1664"/>
        <item x="1347"/>
        <item x="1665"/>
        <item x="1012"/>
        <item x="492"/>
        <item x="66"/>
        <item x="590"/>
        <item x="493"/>
        <item x="1666"/>
        <item x="1667"/>
        <item x="1013"/>
        <item x="67"/>
        <item x="284"/>
        <item x="1348"/>
        <item x="1349"/>
        <item x="1668"/>
        <item x="780"/>
        <item x="1350"/>
        <item x="781"/>
        <item x="1351"/>
        <item x="782"/>
        <item x="494"/>
        <item x="396"/>
        <item x="285"/>
        <item x="68"/>
        <item x="69"/>
        <item x="1669"/>
        <item x="1014"/>
        <item x="783"/>
        <item x="1015"/>
        <item x="286"/>
        <item x="495"/>
        <item x="1352"/>
        <item x="784"/>
        <item x="1670"/>
        <item x="1353"/>
        <item x="1671"/>
        <item x="785"/>
        <item x="1354"/>
        <item x="496"/>
        <item x="70"/>
        <item x="497"/>
        <item x="71"/>
        <item x="1672"/>
        <item x="1355"/>
        <item x="1356"/>
        <item x="1357"/>
        <item x="287"/>
        <item x="1016"/>
        <item x="1358"/>
        <item x="1017"/>
        <item x="1018"/>
        <item x="786"/>
        <item x="787"/>
        <item x="1359"/>
        <item x="1360"/>
        <item x="788"/>
        <item x="288"/>
        <item x="179"/>
        <item x="498"/>
        <item x="591"/>
        <item x="289"/>
        <item x="1673"/>
        <item x="1361"/>
        <item x="789"/>
        <item x="1019"/>
        <item x="72"/>
        <item x="592"/>
        <item x="1020"/>
        <item x="1362"/>
        <item x="1363"/>
        <item x="1021"/>
        <item x="1364"/>
        <item x="1674"/>
        <item x="1365"/>
        <item x="1675"/>
        <item x="1022"/>
        <item x="180"/>
        <item x="593"/>
        <item x="1676"/>
        <item x="790"/>
        <item x="1366"/>
        <item x="1023"/>
        <item x="594"/>
        <item x="595"/>
        <item x="1367"/>
        <item x="1368"/>
        <item x="1024"/>
        <item x="1369"/>
        <item x="1370"/>
        <item x="1371"/>
        <item x="1372"/>
        <item x="1025"/>
        <item x="181"/>
        <item x="73"/>
        <item x="74"/>
        <item x="75"/>
        <item x="1373"/>
        <item x="1677"/>
        <item x="1374"/>
        <item x="1375"/>
        <item x="290"/>
        <item x="596"/>
        <item x="1376"/>
        <item x="1678"/>
        <item x="1377"/>
        <item x="1679"/>
        <item x="1378"/>
        <item x="791"/>
        <item x="1026"/>
        <item x="1379"/>
        <item x="182"/>
        <item x="76"/>
        <item x="291"/>
        <item x="597"/>
        <item x="1027"/>
        <item x="1380"/>
        <item x="1028"/>
        <item x="183"/>
        <item x="184"/>
        <item x="1381"/>
        <item x="1382"/>
        <item x="1029"/>
        <item x="792"/>
        <item x="1680"/>
        <item x="793"/>
        <item x="1383"/>
        <item x="1030"/>
        <item x="794"/>
        <item x="77"/>
        <item x="185"/>
        <item x="397"/>
        <item x="398"/>
        <item x="1681"/>
        <item x="795"/>
        <item x="1031"/>
        <item x="1384"/>
        <item x="499"/>
        <item x="399"/>
        <item x="1032"/>
        <item x="1682"/>
        <item x="1033"/>
        <item x="796"/>
        <item x="797"/>
        <item x="1683"/>
        <item x="1684"/>
        <item x="1385"/>
        <item x="78"/>
        <item x="292"/>
        <item x="400"/>
        <item x="500"/>
        <item x="1386"/>
        <item x="798"/>
        <item x="1685"/>
        <item x="1686"/>
        <item x="293"/>
        <item x="79"/>
        <item x="1034"/>
        <item x="799"/>
        <item x="800"/>
        <item x="1687"/>
        <item x="1035"/>
        <item x="1036"/>
        <item x="1037"/>
        <item x="1038"/>
        <item x="186"/>
        <item x="401"/>
        <item x="598"/>
        <item x="294"/>
        <item x="295"/>
        <item x="1387"/>
        <item x="1688"/>
        <item x="1388"/>
        <item x="1389"/>
        <item x="296"/>
        <item x="80"/>
        <item x="801"/>
        <item x="802"/>
        <item x="1039"/>
        <item x="1390"/>
        <item x="1040"/>
        <item x="1041"/>
        <item x="803"/>
        <item x="1391"/>
        <item x="187"/>
        <item x="188"/>
        <item x="599"/>
        <item x="297"/>
        <item x="402"/>
        <item x="1392"/>
        <item x="804"/>
        <item x="1689"/>
        <item x="600"/>
        <item x="81"/>
        <item x="1042"/>
        <item x="1043"/>
        <item x="1393"/>
        <item x="1690"/>
        <item x="805"/>
        <item x="1394"/>
        <item x="1395"/>
        <item x="1691"/>
        <item x="1044"/>
        <item x="601"/>
        <item x="602"/>
        <item x="82"/>
        <item x="501"/>
        <item x="83"/>
        <item x="1396"/>
        <item x="1397"/>
        <item x="1398"/>
        <item x="1045"/>
        <item x="298"/>
        <item x="299"/>
        <item x="1399"/>
        <item x="1046"/>
        <item x="1692"/>
        <item x="1693"/>
        <item x="1694"/>
        <item x="1047"/>
        <item x="1048"/>
        <item x="1400"/>
        <item x="1401"/>
        <item x="502"/>
        <item x="403"/>
        <item x="84"/>
        <item x="85"/>
        <item x="503"/>
        <item x="1402"/>
        <item x="1403"/>
        <item x="1049"/>
        <item x="1404"/>
        <item x="86"/>
        <item x="300"/>
        <item x="1050"/>
        <item x="1405"/>
        <item x="1051"/>
        <item x="1052"/>
        <item x="1406"/>
        <item x="1695"/>
        <item x="1696"/>
        <item x="1407"/>
        <item x="87"/>
        <item x="603"/>
        <item x="504"/>
        <item x="505"/>
        <item x="1697"/>
        <item x="1053"/>
        <item x="1054"/>
        <item x="1408"/>
        <item x="189"/>
        <item x="190"/>
        <item x="806"/>
        <item x="807"/>
        <item x="1409"/>
        <item x="1055"/>
        <item x="808"/>
        <item x="1056"/>
        <item x="1057"/>
        <item x="1058"/>
        <item x="809"/>
        <item x="404"/>
        <item x="191"/>
        <item x="301"/>
        <item x="604"/>
        <item x="605"/>
        <item x="1410"/>
        <item x="1411"/>
        <item x="810"/>
        <item x="405"/>
        <item x="302"/>
        <item x="811"/>
        <item x="1059"/>
        <item x="812"/>
        <item x="1412"/>
        <item x="1698"/>
        <item x="1060"/>
        <item x="813"/>
        <item x="814"/>
        <item x="606"/>
        <item x="88"/>
        <item x="192"/>
        <item x="89"/>
        <item x="1699"/>
        <item x="1413"/>
        <item x="1700"/>
        <item x="815"/>
        <item x="90"/>
        <item x="193"/>
        <item x="1414"/>
        <item x="1415"/>
        <item x="1061"/>
        <item x="1416"/>
        <item x="1417"/>
        <item x="1418"/>
        <item x="1062"/>
        <item x="1701"/>
        <item x="1063"/>
        <item x="506"/>
        <item x="1419"/>
        <item x="1420"/>
        <item x="1702"/>
        <item x="1703"/>
        <item x="406"/>
        <item x="507"/>
        <item x="1064"/>
        <item x="816"/>
        <item x="1065"/>
        <item x="1421"/>
        <item x="1422"/>
        <item x="1704"/>
        <item x="1066"/>
        <item x="1067"/>
        <item x="1705"/>
        <item x="194"/>
        <item x="91"/>
        <item x="303"/>
        <item x="304"/>
        <item x="305"/>
        <item x="1706"/>
        <item x="1423"/>
        <item x="1424"/>
        <item x="92"/>
        <item x="93"/>
        <item x="1425"/>
        <item x="817"/>
        <item x="1707"/>
        <item x="818"/>
        <item x="1708"/>
        <item x="819"/>
        <item x="1068"/>
        <item x="1709"/>
        <item x="820"/>
        <item x="306"/>
        <item x="195"/>
        <item x="307"/>
        <item x="1710"/>
        <item x="821"/>
        <item x="1069"/>
        <item x="1426"/>
        <item x="94"/>
        <item x="308"/>
        <item x="822"/>
        <item x="1711"/>
        <item x="1712"/>
        <item x="1427"/>
        <item x="1713"/>
        <item x="1428"/>
        <item x="1429"/>
        <item x="1714"/>
        <item x="1430"/>
        <item x="309"/>
        <item x="95"/>
        <item x="96"/>
        <item x="407"/>
        <item x="97"/>
        <item x="1431"/>
        <item x="1070"/>
        <item x="1071"/>
        <item x="1715"/>
        <item x="98"/>
        <item x="196"/>
        <item x="1432"/>
        <item x="823"/>
        <item x="1433"/>
        <item x="1716"/>
        <item x="1717"/>
        <item x="824"/>
        <item x="1072"/>
        <item x="1073"/>
        <item x="310"/>
        <item x="508"/>
        <item x="509"/>
        <item x="1718"/>
        <item x="1074"/>
        <item x="825"/>
        <item x="1719"/>
        <item x="99"/>
        <item x="197"/>
        <item x="1075"/>
        <item x="1720"/>
        <item x="1721"/>
        <item x="1076"/>
        <item x="1434"/>
        <item x="1435"/>
        <item x="1077"/>
        <item x="1436"/>
        <item x="1078"/>
        <item x="100"/>
        <item x="607"/>
        <item x="101"/>
        <item x="510"/>
        <item x="408"/>
        <item x="1722"/>
        <item x="1079"/>
        <item x="1723"/>
        <item x="1724"/>
        <item x="511"/>
        <item x="608"/>
        <item x="1080"/>
        <item x="1081"/>
        <item x="826"/>
        <item x="1437"/>
        <item x="1082"/>
        <item x="1725"/>
        <item x="1726"/>
        <item x="1083"/>
        <item x="827"/>
        <item x="311"/>
        <item x="409"/>
        <item x="609"/>
        <item x="102"/>
        <item x="312"/>
        <item x="1727"/>
        <item x="1728"/>
        <item x="1729"/>
        <item x="1730"/>
        <item x="410"/>
        <item x="411"/>
        <item x="1731"/>
        <item x="1084"/>
        <item x="1732"/>
        <item x="1085"/>
        <item x="1733"/>
        <item x="1086"/>
        <item x="828"/>
        <item x="829"/>
        <item x="610"/>
        <item x="313"/>
        <item x="412"/>
        <item x="413"/>
        <item x="198"/>
        <item x="1438"/>
        <item x="1734"/>
        <item x="1735"/>
        <item x="103"/>
        <item x="1087"/>
        <item x="1088"/>
        <item x="830"/>
        <item x="1439"/>
        <item x="1736"/>
        <item x="1737"/>
        <item x="1738"/>
        <item x="831"/>
        <item x="414"/>
        <item x="512"/>
        <item x="104"/>
        <item x="611"/>
        <item x="415"/>
        <item x="1739"/>
        <item x="1440"/>
        <item x="1441"/>
        <item x="1442"/>
        <item x="314"/>
        <item x="1443"/>
        <item x="1444"/>
        <item x="1740"/>
        <item x="1089"/>
        <item x="1741"/>
        <item x="1445"/>
        <item x="1742"/>
        <item x="1446"/>
        <item x="416"/>
        <item x="199"/>
        <item x="315"/>
        <item x="1743"/>
        <item x="1447"/>
        <item x="1744"/>
        <item x="1448"/>
        <item x="417"/>
        <item x="200"/>
        <item x="1090"/>
        <item x="832"/>
        <item x="1449"/>
        <item x="833"/>
        <item x="834"/>
        <item x="835"/>
        <item x="836"/>
        <item x="1091"/>
        <item x="837"/>
        <item x="201"/>
        <item x="513"/>
        <item x="202"/>
        <item x="418"/>
        <item x="1450"/>
        <item x="1745"/>
        <item x="1092"/>
        <item x="1451"/>
        <item x="316"/>
        <item x="105"/>
        <item x="1452"/>
        <item x="1453"/>
        <item x="1454"/>
        <item x="1746"/>
        <item x="1455"/>
        <item x="1456"/>
        <item x="1457"/>
        <item x="1747"/>
        <item x="1458"/>
        <item x="612"/>
        <item x="203"/>
        <item x="106"/>
        <item x="107"/>
        <item x="108"/>
        <item x="1459"/>
        <item x="838"/>
        <item x="1093"/>
        <item x="204"/>
        <item x="419"/>
        <item x="1748"/>
        <item x="1749"/>
        <item x="1460"/>
        <item x="1750"/>
        <item x="1094"/>
        <item x="1095"/>
        <item x="1751"/>
        <item x="1752"/>
        <item x="317"/>
        <item x="109"/>
        <item x="205"/>
        <item x="613"/>
        <item x="206"/>
        <item x="1461"/>
        <item x="839"/>
        <item x="840"/>
        <item x="110"/>
        <item x="420"/>
        <item x="841"/>
        <item x="1096"/>
        <item x="1753"/>
        <item x="1462"/>
        <item x="1463"/>
        <item x="842"/>
        <item x="1464"/>
        <item x="1465"/>
        <item x="1466"/>
        <item x="514"/>
        <item x="318"/>
        <item x="111"/>
        <item x="319"/>
        <item x="1467"/>
        <item x="1754"/>
        <item x="1755"/>
        <item x="1756"/>
        <item x="207"/>
        <item x="1468"/>
        <item x="1097"/>
        <item x="1469"/>
        <item x="843"/>
        <item x="1470"/>
        <item x="1471"/>
        <item x="1098"/>
        <item x="1757"/>
        <item x="1472"/>
        <item x="320"/>
        <item x="112"/>
        <item x="113"/>
        <item x="208"/>
        <item x="321"/>
        <item x="1758"/>
        <item x="844"/>
        <item x="1099"/>
        <item x="1473"/>
        <item x="114"/>
        <item x="515"/>
        <item x="1474"/>
        <item x="1100"/>
        <item x="1101"/>
        <item x="1102"/>
        <item x="1103"/>
        <item x="1475"/>
        <item x="1759"/>
        <item x="1476"/>
        <item x="1477"/>
        <item x="516"/>
        <item x="115"/>
        <item x="322"/>
        <item x="421"/>
        <item x="614"/>
        <item x="1760"/>
        <item x="1478"/>
        <item x="1104"/>
        <item x="845"/>
        <item x="209"/>
        <item x="116"/>
        <item x="1761"/>
        <item x="1105"/>
        <item x="1106"/>
        <item x="1762"/>
        <item x="1107"/>
        <item x="1763"/>
        <item x="1108"/>
        <item x="1479"/>
        <item x="422"/>
        <item x="517"/>
        <item x="518"/>
        <item x="519"/>
        <item x="615"/>
        <item x="1480"/>
        <item x="1109"/>
        <item x="1481"/>
        <item x="210"/>
        <item x="117"/>
        <item x="846"/>
        <item x="1482"/>
        <item x="847"/>
        <item x="1110"/>
        <item x="1111"/>
        <item x="1112"/>
        <item x="1113"/>
        <item x="1114"/>
        <item x="1483"/>
        <item x="323"/>
        <item x="423"/>
        <item x="211"/>
        <item x="424"/>
        <item x="212"/>
        <item x="848"/>
        <item x="849"/>
        <item x="616"/>
        <item x="1484"/>
        <item x="1485"/>
        <item x="850"/>
        <item x="851"/>
        <item x="1115"/>
        <item x="1764"/>
        <item x="1765"/>
        <item x="1766"/>
        <item x="520"/>
        <item x="118"/>
        <item x="425"/>
        <item x="426"/>
        <item x="1486"/>
        <item x="852"/>
        <item x="1116"/>
        <item x="617"/>
        <item x="618"/>
        <item x="1487"/>
        <item x="853"/>
        <item x="1117"/>
        <item x="1767"/>
        <item x="854"/>
        <item x="1118"/>
        <item x="1119"/>
        <item x="1120"/>
        <item x="619"/>
        <item x="427"/>
        <item x="620"/>
        <item x="213"/>
        <item x="1488"/>
        <item x="855"/>
        <item x="1121"/>
        <item x="1122"/>
        <item x="621"/>
        <item x="1768"/>
        <item x="1769"/>
        <item x="856"/>
        <item x="857"/>
        <item x="1489"/>
        <item x="1490"/>
        <item x="1123"/>
        <item x="1491"/>
        <item x="521"/>
        <item x="428"/>
        <item x="429"/>
        <item x="622"/>
        <item x="119"/>
        <item x="1492"/>
        <item x="858"/>
        <item x="1770"/>
        <item x="623"/>
        <item x="214"/>
        <item x="859"/>
        <item x="860"/>
        <item x="1124"/>
        <item x="861"/>
        <item x="862"/>
        <item x="1771"/>
        <item x="863"/>
        <item x="1772"/>
        <item x="1493"/>
        <item x="324"/>
        <item x="325"/>
        <item x="326"/>
        <item x="120"/>
        <item x="327"/>
        <item x="1773"/>
        <item x="864"/>
        <item x="1774"/>
        <item x="1494"/>
        <item x="624"/>
        <item x="121"/>
        <item x="1775"/>
        <item x="1495"/>
        <item x="1125"/>
        <item x="865"/>
        <item x="1496"/>
        <item x="1497"/>
        <item x="122"/>
        <item x="522"/>
        <item x="328"/>
        <item x="329"/>
        <item x="523"/>
        <item x="866"/>
        <item x="1498"/>
        <item x="430"/>
        <item x="215"/>
        <item x="867"/>
        <item x="868"/>
        <item x="1776"/>
        <item x="1126"/>
        <item x="1499"/>
        <item x="1127"/>
        <item x="1500"/>
        <item x="1777"/>
        <item x="123"/>
        <item x="216"/>
        <item x="330"/>
        <item x="431"/>
        <item x="1778"/>
        <item x="1779"/>
        <item x="217"/>
        <item x="432"/>
        <item x="1780"/>
        <item x="869"/>
        <item x="1781"/>
        <item x="1501"/>
        <item x="870"/>
        <item x="871"/>
        <item x="1128"/>
        <item x="331"/>
        <item x="332"/>
        <item x="524"/>
        <item x="333"/>
        <item x="124"/>
        <item x="1782"/>
        <item x="1783"/>
        <item x="1502"/>
        <item x="218"/>
        <item x="219"/>
        <item x="1784"/>
        <item x="1785"/>
        <item x="872"/>
        <item x="1129"/>
        <item x="873"/>
        <item x="1786"/>
        <item x="1787"/>
        <item x="1788"/>
        <item x="874"/>
        <item x="125"/>
        <item x="625"/>
        <item x="525"/>
        <item x="433"/>
        <item x="626"/>
        <item x="1503"/>
        <item x="1789"/>
        <item x="1130"/>
        <item x="1504"/>
        <item x="220"/>
        <item x="126"/>
        <item x="1790"/>
        <item x="1505"/>
        <item x="1131"/>
        <item x="1791"/>
        <item x="1506"/>
        <item x="1132"/>
        <item x="1507"/>
        <item x="221"/>
        <item x="526"/>
        <item x="434"/>
        <item x="334"/>
        <item x="335"/>
        <item x="1508"/>
        <item x="1509"/>
        <item x="1510"/>
        <item x="1792"/>
        <item x="336"/>
        <item x="875"/>
        <item x="1793"/>
        <item x="1794"/>
        <item x="1133"/>
        <item x="1134"/>
        <item x="1511"/>
        <item x="876"/>
        <item x="1135"/>
        <item x="1512"/>
        <item x="127"/>
        <item x="222"/>
        <item x="627"/>
        <item x="223"/>
        <item x="435"/>
        <item x="1513"/>
        <item x="1795"/>
        <item x="877"/>
        <item x="1796"/>
        <item x="527"/>
        <item x="628"/>
        <item x="1514"/>
        <item x="1136"/>
        <item x="1515"/>
        <item x="878"/>
        <item x="879"/>
        <item x="1516"/>
        <item x="880"/>
        <item x="1797"/>
        <item x="1517"/>
        <item x="436"/>
        <item x="224"/>
        <item x="629"/>
        <item x="528"/>
        <item x="1518"/>
        <item x="1798"/>
        <item x="1799"/>
        <item x="1519"/>
        <item x="529"/>
        <item x="128"/>
        <item x="1137"/>
        <item x="1800"/>
        <item x="1520"/>
        <item x="1521"/>
        <item x="881"/>
        <item x="1522"/>
        <item x="1801"/>
        <item x="882"/>
        <item x="1523"/>
        <item x="225"/>
        <item x="337"/>
        <item x="437"/>
        <item x="129"/>
        <item x="338"/>
        <item x="883"/>
        <item x="1524"/>
        <item x="1802"/>
        <item x="630"/>
        <item x="438"/>
        <item x="1138"/>
        <item x="1139"/>
        <item x="1525"/>
        <item x="1803"/>
        <item x="1140"/>
        <item x="884"/>
        <item x="1804"/>
        <item x="1526"/>
        <item x="1141"/>
        <item x="631"/>
        <item x="439"/>
        <item x="632"/>
        <item x="530"/>
        <item x="1805"/>
        <item x="1142"/>
        <item x="1806"/>
        <item x="130"/>
        <item t="default"/>
      </items>
    </pivotField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5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2" showAll="0"/>
    <pivotField showAll="0"/>
    <pivotField numFmtId="2" showAll="0"/>
    <pivotField numFmtId="1" showAll="0"/>
    <pivotField showAll="0"/>
    <pivotField showAll="0"/>
    <pivotField showAll="0"/>
    <pivotField showAll="0"/>
    <pivotField showAll="0">
      <items count="87">
        <item x="29"/>
        <item x="78"/>
        <item x="34"/>
        <item x="66"/>
        <item x="55"/>
        <item x="30"/>
        <item x="22"/>
        <item x="47"/>
        <item x="12"/>
        <item x="62"/>
        <item x="79"/>
        <item x="6"/>
        <item x="49"/>
        <item x="13"/>
        <item x="27"/>
        <item x="67"/>
        <item x="40"/>
        <item x="65"/>
        <item x="68"/>
        <item x="81"/>
        <item x="42"/>
        <item x="3"/>
        <item x="57"/>
        <item x="60"/>
        <item x="51"/>
        <item x="56"/>
        <item x="61"/>
        <item x="35"/>
        <item x="26"/>
        <item x="50"/>
        <item x="58"/>
        <item x="77"/>
        <item x="31"/>
        <item x="69"/>
        <item x="38"/>
        <item x="72"/>
        <item x="59"/>
        <item x="82"/>
        <item x="44"/>
        <item x="70"/>
        <item x="46"/>
        <item x="39"/>
        <item x="73"/>
        <item x="17"/>
        <item x="33"/>
        <item x="9"/>
        <item x="63"/>
        <item x="85"/>
        <item x="84"/>
        <item x="76"/>
        <item x="64"/>
        <item x="1"/>
        <item x="41"/>
        <item x="28"/>
        <item x="4"/>
        <item x="5"/>
        <item x="2"/>
        <item x="0"/>
        <item x="24"/>
        <item x="23"/>
        <item x="15"/>
        <item x="25"/>
        <item x="80"/>
        <item x="48"/>
        <item x="43"/>
        <item x="36"/>
        <item x="32"/>
        <item x="53"/>
        <item x="19"/>
        <item x="11"/>
        <item x="10"/>
        <item x="83"/>
        <item x="45"/>
        <item x="54"/>
        <item x="16"/>
        <item x="20"/>
        <item x="52"/>
        <item x="7"/>
        <item x="18"/>
        <item x="75"/>
        <item x="74"/>
        <item x="37"/>
        <item x="21"/>
        <item x="14"/>
        <item x="71"/>
        <item x="8"/>
        <item t="default"/>
      </items>
    </pivotField>
    <pivotField axis="axisCol" dataField="1" showAll="0">
      <items count="3">
        <item x="1"/>
        <item x="0"/>
        <item t="default"/>
      </items>
    </pivotField>
  </pivotFields>
  <rowFields count="1">
    <field x="1"/>
  </rowFields>
  <rowItems count="3">
    <i>
      <x v="1"/>
    </i>
    <i>
      <x/>
    </i>
    <i>
      <x v="2"/>
    </i>
  </rowItems>
  <colFields count="1">
    <field x="25"/>
  </colFields>
  <colItems count="2">
    <i>
      <x/>
    </i>
    <i>
      <x v="1"/>
    </i>
  </colItems>
  <dataFields count="1">
    <dataField name="Count of Delayed ship" fld="25" subtotal="count" baseField="1" baseItem="0"/>
  </dataFields>
  <formats count="6">
    <format dxfId="87">
      <pivotArea type="origin" dataOnly="0" labelOnly="1" outline="0" fieldPosition="0"/>
    </format>
    <format dxfId="86">
      <pivotArea field="25" type="button" dataOnly="0" labelOnly="1" outline="0" axis="axisCol" fieldPosition="0"/>
    </format>
    <format dxfId="85">
      <pivotArea type="topRight" dataOnly="0" labelOnly="1" outline="0" fieldPosition="0"/>
    </format>
    <format dxfId="84">
      <pivotArea field="1" type="button" dataOnly="0" labelOnly="1" outline="0" axis="axisRow" fieldPosition="0"/>
    </format>
    <format dxfId="83">
      <pivotArea dataOnly="0" labelOnly="1" fieldPosition="0">
        <references count="1">
          <reference field="25" count="0"/>
        </references>
      </pivotArea>
    </format>
    <format dxfId="4">
      <pivotArea dataOnly="0" fieldPosition="0">
        <references count="1">
          <reference field="1" count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523B5-87FF-4279-A9CE-EBD08AB86353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140:C149" firstHeaderRow="1" firstDataRow="1" firstDataCol="1"/>
  <pivotFields count="26">
    <pivotField showAll="0"/>
    <pivotField showAll="0"/>
    <pivotField showAll="0"/>
    <pivotField showAll="0"/>
    <pivotField showAll="0"/>
    <pivotField axis="axisRow" showAll="0" sortType="ascending">
      <items count="17">
        <item m="1" x="15"/>
        <item m="1" x="9"/>
        <item m="1" x="13"/>
        <item m="1" x="10"/>
        <item m="1" x="8"/>
        <item m="1" x="11"/>
        <item m="1" x="12"/>
        <item m="1" x="14"/>
        <item x="0"/>
        <item x="5"/>
        <item x="2"/>
        <item x="4"/>
        <item x="3"/>
        <item x="6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2" showAll="0"/>
    <pivotField dataField="1" showAll="0"/>
    <pivotField numFmtId="2" showAll="0"/>
    <pivotField numFmtI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 v="14"/>
    </i>
    <i>
      <x v="10"/>
    </i>
    <i>
      <x v="12"/>
    </i>
    <i>
      <x v="15"/>
    </i>
    <i>
      <x v="9"/>
    </i>
    <i>
      <x v="11"/>
    </i>
    <i>
      <x v="8"/>
    </i>
    <i>
      <x v="13"/>
    </i>
    <i t="grand">
      <x/>
    </i>
  </rowItems>
  <colItems count="1">
    <i/>
  </colItems>
  <dataFields count="1">
    <dataField name="Average of ShippingCost" fld="17" subtotal="average" baseField="5" baseItem="8" numFmtId="4"/>
  </dataFields>
  <formats count="5">
    <format dxfId="82">
      <pivotArea field="5" type="button" dataOnly="0" labelOnly="1" outline="0" axis="axisRow" fieldPosition="0"/>
    </format>
    <format dxfId="81">
      <pivotArea dataOnly="0" labelOnly="1" outline="0" axis="axisValues" fieldPosition="0"/>
    </format>
    <format dxfId="7">
      <pivotArea outline="0" collapsedLevelsAreSubtotals="1" fieldPosition="0"/>
    </format>
    <format dxfId="6">
      <pivotArea dataOnly="0" labelOnly="1" fieldPosition="0">
        <references count="1">
          <reference field="5" count="0"/>
        </references>
      </pivotArea>
    </format>
    <format dxfId="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41BCF-0455-4D8A-9B2F-93474BD88150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26:C135" firstHeaderRow="1" firstDataRow="1" firstDataCol="1"/>
  <pivotFields count="26">
    <pivotField showAll="0"/>
    <pivotField dataField="1" showAll="0"/>
    <pivotField showAll="0"/>
    <pivotField showAll="0"/>
    <pivotField showAll="0"/>
    <pivotField axis="axisRow" showAll="0" sortType="descending">
      <items count="17">
        <item m="1" x="15"/>
        <item m="1" x="9"/>
        <item m="1" x="13"/>
        <item m="1" x="10"/>
        <item m="1" x="8"/>
        <item m="1" x="11"/>
        <item m="1" x="12"/>
        <item m="1" x="14"/>
        <item x="7"/>
        <item x="2"/>
        <item x="0"/>
        <item x="6"/>
        <item x="3"/>
        <item x="1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2" showAll="0"/>
    <pivotField showAll="0"/>
    <pivotField numFmtId="2" showAll="0"/>
    <pivotField numFmtI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9">
    <i>
      <x v="11"/>
    </i>
    <i>
      <x v="12"/>
    </i>
    <i>
      <x v="13"/>
    </i>
    <i>
      <x v="14"/>
    </i>
    <i>
      <x v="8"/>
    </i>
    <i>
      <x v="9"/>
    </i>
    <i>
      <x v="10"/>
    </i>
    <i>
      <x v="15"/>
    </i>
    <i t="grand">
      <x/>
    </i>
  </rowItems>
  <colItems count="1">
    <i/>
  </colItems>
  <dataFields count="1">
    <dataField name="Sum of ShipperID" fld="1" baseField="0" baseItem="0"/>
  </dataFields>
  <formats count="5">
    <format dxfId="80">
      <pivotArea field="5" type="button" dataOnly="0" labelOnly="1" outline="0" axis="axisRow" fieldPosition="0"/>
    </format>
    <format dxfId="79">
      <pivotArea dataOnly="0" labelOnly="1" outline="0" axis="axisValues" fieldPosition="0"/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5" count="0"/>
        </references>
      </pivotArea>
    </format>
    <format dxfId="8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C0436-206C-4EBE-93C2-79536AA6E977}" name="PivotTable1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>
  <location ref="B113:C121" firstHeaderRow="1" firstDataRow="1" firstDataCol="1"/>
  <pivotFields count="26">
    <pivotField showAll="0"/>
    <pivotField dataField="1" showAll="0"/>
    <pivotField showAll="0"/>
    <pivotField showAll="0"/>
    <pivotField showAll="0"/>
    <pivotField axis="axisRow" showAll="0" sortType="descending">
      <items count="17">
        <item m="1" x="15"/>
        <item m="1" x="9"/>
        <item m="1" x="13"/>
        <item m="1" x="10"/>
        <item m="1" x="8"/>
        <item m="1" x="11"/>
        <item m="1" x="12"/>
        <item m="1" x="14"/>
        <item x="7"/>
        <item x="2"/>
        <item x="0"/>
        <item x="6"/>
        <item x="3"/>
        <item x="1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2" showAll="0"/>
    <pivotField showAll="0"/>
    <pivotField numFmtId="2" showAll="0"/>
    <pivotField numFmtI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 v="14"/>
    </i>
    <i>
      <x v="13"/>
    </i>
    <i>
      <x v="11"/>
    </i>
    <i>
      <x v="8"/>
    </i>
    <i>
      <x v="12"/>
    </i>
    <i>
      <x v="10"/>
    </i>
    <i>
      <x v="9"/>
    </i>
    <i>
      <x v="15"/>
    </i>
  </rowItems>
  <colItems count="1">
    <i/>
  </colItems>
  <dataFields count="1">
    <dataField name="Count of ShipperID" fld="1" subtotal="count" baseField="5" baseItem="0"/>
  </dataFields>
  <formats count="4">
    <format dxfId="78">
      <pivotArea field="5" type="button" dataOnly="0" labelOnly="1" outline="0" axis="axisRow" fieldPosition="0"/>
    </format>
    <format dxfId="77">
      <pivotArea dataOnly="0" labelOnly="1" outline="0" axis="axisValues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5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A5B47-61A5-449B-9211-32EB1A6C04EA}" name="PivotTable1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108:C109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axis="axisRow" dataField="1" showAll="0" measureFilter="1" sortType="descending">
      <items count="25">
        <item x="11"/>
        <item x="5"/>
        <item x="14"/>
        <item x="6"/>
        <item x="7"/>
        <item x="15"/>
        <item x="9"/>
        <item x="13"/>
        <item x="19"/>
        <item x="17"/>
        <item x="21"/>
        <item x="22"/>
        <item x="23"/>
        <item x="12"/>
        <item x="8"/>
        <item x="4"/>
        <item x="3"/>
        <item x="0"/>
        <item x="18"/>
        <item x="2"/>
        <item x="1"/>
        <item x="20"/>
        <item x="10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2"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">
    <i>
      <x v="5"/>
    </i>
  </rowItems>
  <colItems count="1">
    <i/>
  </colItems>
  <dataFields count="1">
    <dataField name="Count of Route" fld="6" subtotal="count" baseField="0" baseItem="0"/>
  </dataFields>
  <formats count="4">
    <format dxfId="76">
      <pivotArea field="6" type="button" dataOnly="0" labelOnly="1" outline="0" axis="axisRow" fieldPosition="0"/>
    </format>
    <format dxfId="75">
      <pivotArea dataOnly="0" labelOnly="1" outline="0" axis="axisValues" fieldPosition="0"/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6" count="1">
            <x v="5"/>
          </reference>
        </references>
      </pivotArea>
    </format>
  </formats>
  <pivotTableStyleInfo showRowHeaders="1" showColHeaders="1" showRowStripes="0" showColStripes="0" showLastColumn="1"/>
  <filters count="1">
    <filter fld="6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9C1E17-B96A-4553-B401-1F7CD1DD3C2F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7:D104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0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2" showAll="0"/>
    <pivotField dataField="1" showAll="0"/>
    <pivotField numFmtId="2" showAll="0"/>
    <pivotField numFmtId="2" showAll="0"/>
    <pivotField dataField="1" showAll="0"/>
    <pivotField showAll="0"/>
    <pivotField showAll="0"/>
    <pivotField showAll="0"/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20" baseField="0" baseItem="0"/>
    <dataField name="Sum of ShippingCost" fld="17" baseField="0" baseItem="0"/>
  </dataFields>
  <formats count="5">
    <format dxfId="74">
      <pivotArea field="8" type="button" dataOnly="0" labelOnly="1" outline="0" axis="axisRow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outline="0" collapsedLevelsAreSubtotals="1" fieldPosition="0"/>
    </format>
    <format dxfId="16">
      <pivotArea dataOnly="0" labelOnly="1" fieldPosition="0">
        <references count="1">
          <reference field="8" count="0"/>
        </references>
      </pivotArea>
    </format>
    <format dxfId="15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9CAB9-4FF7-461F-A57F-6E5AE725F48D}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92:C93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measureFilter="1">
      <items count="25">
        <item x="7"/>
        <item x="12"/>
        <item x="20"/>
        <item x="13"/>
        <item x="5"/>
        <item x="8"/>
        <item x="16"/>
        <item x="15"/>
        <item x="6"/>
        <item x="11"/>
        <item x="1"/>
        <item x="18"/>
        <item x="21"/>
        <item x="4"/>
        <item x="0"/>
        <item x="23"/>
        <item x="19"/>
        <item x="9"/>
        <item x="2"/>
        <item x="22"/>
        <item x="14"/>
        <item x="10"/>
        <item x="3"/>
        <item x="17"/>
        <item t="default"/>
      </items>
    </pivotField>
    <pivotField showAll="0"/>
    <pivotField showAll="0"/>
    <pivotField showAll="0"/>
    <pivotField showAll="0"/>
    <pivotField numFmtId="1" showAll="0"/>
    <pivotField numFmtId="2"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">
    <i>
      <x v="7"/>
    </i>
  </rowItems>
  <colItems count="1">
    <i/>
  </colItems>
  <dataFields count="1">
    <dataField name="Count of DestinationCity" fld="10" subtotal="count" baseField="0" baseItem="0"/>
  </dataFields>
  <formats count="4">
    <format dxfId="72">
      <pivotArea field="10" type="button" dataOnly="0" labelOnly="1" outline="0" axis="axisRow" fieldPosition="0"/>
    </format>
    <format dxfId="71">
      <pivotArea dataOnly="0" labelOnly="1" outline="0" axis="axisValues" fieldPosition="0"/>
    </format>
    <format dxfId="19">
      <pivotArea outline="0" collapsedLevelsAreSubtotals="1" fieldPosition="0"/>
    </format>
    <format dxfId="18">
      <pivotArea dataOnly="0" labelOnly="1" fieldPosition="0">
        <references count="1">
          <reference field="10" count="1">
            <x v="7"/>
          </reference>
        </references>
      </pivotArea>
    </format>
  </formats>
  <pivotTableStyleInfo showRowHeaders="1" showColHeaders="1" showRowStripes="0" showColStripes="0" showLastColumn="1"/>
  <filters count="1">
    <filter fld="10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1AF4D-18B8-488A-B854-9D5FA56C4DA8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89:C90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axis="axisRow" dataField="1" showAll="0" measureFilter="1">
      <items count="25">
        <item x="11"/>
        <item x="5"/>
        <item x="14"/>
        <item x="6"/>
        <item x="7"/>
        <item x="15"/>
        <item x="9"/>
        <item x="13"/>
        <item x="19"/>
        <item x="17"/>
        <item x="21"/>
        <item x="22"/>
        <item x="23"/>
        <item x="12"/>
        <item x="8"/>
        <item x="4"/>
        <item x="3"/>
        <item x="0"/>
        <item x="18"/>
        <item x="2"/>
        <item x="1"/>
        <item x="20"/>
        <item x="10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2"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">
    <i>
      <x v="5"/>
    </i>
  </rowItems>
  <colItems count="1">
    <i/>
  </colItems>
  <dataFields count="1">
    <dataField name="Count of OriginCity" fld="7" subtotal="count" baseField="0" baseItem="0"/>
  </dataFields>
  <formats count="2">
    <format dxfId="70">
      <pivotArea field="7" type="button" dataOnly="0" labelOnly="1" outline="0" axis="axisRow" fieldPosition="0"/>
    </format>
    <format dxfId="69">
      <pivotArea dataOnly="0" labelOnly="1" outline="0" axis="axisValues" fieldPosition="0"/>
    </format>
  </formats>
  <pivotTableStyleInfo showRowHeaders="1" showColHeaders="1" showRowStripes="0" showColStripes="0" showLastColumn="1"/>
  <filters count="1">
    <filter fld="7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C1093-A192-4177-A82C-4116F9E43097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84:C85" firstHeaderRow="1" firstDataRow="1" firstDataCol="1"/>
  <pivotFields count="26">
    <pivotField showAll="0"/>
    <pivotField dataField="1" showAll="0"/>
    <pivotField showAll="0"/>
    <pivotField axis="axisRow" showAll="0" measureFilter="1" sortType="descending">
      <items count="327">
        <item x="320"/>
        <item x="207"/>
        <item x="175"/>
        <item x="182"/>
        <item x="264"/>
        <item x="229"/>
        <item x="144"/>
        <item x="219"/>
        <item x="201"/>
        <item x="188"/>
        <item x="181"/>
        <item x="2"/>
        <item x="178"/>
        <item x="294"/>
        <item x="87"/>
        <item x="171"/>
        <item x="141"/>
        <item x="309"/>
        <item x="16"/>
        <item x="94"/>
        <item x="250"/>
        <item x="279"/>
        <item x="59"/>
        <item x="202"/>
        <item x="35"/>
        <item x="120"/>
        <item x="97"/>
        <item x="262"/>
        <item x="55"/>
        <item x="112"/>
        <item x="85"/>
        <item x="305"/>
        <item x="89"/>
        <item x="297"/>
        <item x="123"/>
        <item x="23"/>
        <item x="261"/>
        <item x="121"/>
        <item x="130"/>
        <item x="58"/>
        <item x="100"/>
        <item x="148"/>
        <item x="184"/>
        <item x="17"/>
        <item x="242"/>
        <item x="269"/>
        <item x="212"/>
        <item x="20"/>
        <item x="256"/>
        <item x="266"/>
        <item x="34"/>
        <item x="65"/>
        <item x="308"/>
        <item x="263"/>
        <item x="246"/>
        <item x="163"/>
        <item x="285"/>
        <item x="113"/>
        <item x="11"/>
        <item x="276"/>
        <item x="290"/>
        <item x="295"/>
        <item x="170"/>
        <item x="49"/>
        <item x="5"/>
        <item x="8"/>
        <item x="95"/>
        <item x="146"/>
        <item x="51"/>
        <item x="299"/>
        <item x="321"/>
        <item x="208"/>
        <item x="101"/>
        <item x="134"/>
        <item x="241"/>
        <item x="125"/>
        <item x="67"/>
        <item x="15"/>
        <item x="71"/>
        <item x="174"/>
        <item x="204"/>
        <item x="30"/>
        <item x="99"/>
        <item x="277"/>
        <item x="253"/>
        <item x="298"/>
        <item x="110"/>
        <item x="224"/>
        <item x="136"/>
        <item x="240"/>
        <item x="237"/>
        <item x="206"/>
        <item x="214"/>
        <item x="243"/>
        <item x="150"/>
        <item x="173"/>
        <item x="142"/>
        <item x="12"/>
        <item x="106"/>
        <item x="27"/>
        <item x="54"/>
        <item x="324"/>
        <item x="252"/>
        <item x="313"/>
        <item x="13"/>
        <item x="302"/>
        <item x="91"/>
        <item x="265"/>
        <item x="139"/>
        <item x="18"/>
        <item x="211"/>
        <item x="103"/>
        <item x="228"/>
        <item x="31"/>
        <item x="118"/>
        <item x="124"/>
        <item x="310"/>
        <item x="189"/>
        <item x="73"/>
        <item x="42"/>
        <item x="152"/>
        <item x="319"/>
        <item x="143"/>
        <item x="61"/>
        <item x="232"/>
        <item x="98"/>
        <item x="186"/>
        <item x="145"/>
        <item x="314"/>
        <item x="14"/>
        <item x="248"/>
        <item x="57"/>
        <item x="156"/>
        <item x="254"/>
        <item x="183"/>
        <item x="287"/>
        <item x="19"/>
        <item x="45"/>
        <item x="200"/>
        <item x="190"/>
        <item x="165"/>
        <item x="257"/>
        <item x="255"/>
        <item x="205"/>
        <item x="80"/>
        <item x="258"/>
        <item x="312"/>
        <item x="147"/>
        <item x="25"/>
        <item x="318"/>
        <item x="223"/>
        <item x="3"/>
        <item x="128"/>
        <item x="191"/>
        <item x="7"/>
        <item x="108"/>
        <item x="50"/>
        <item x="122"/>
        <item x="32"/>
        <item x="304"/>
        <item x="46"/>
        <item x="76"/>
        <item x="82"/>
        <item x="220"/>
        <item x="306"/>
        <item x="209"/>
        <item x="322"/>
        <item x="167"/>
        <item x="213"/>
        <item x="40"/>
        <item x="135"/>
        <item x="117"/>
        <item x="39"/>
        <item x="137"/>
        <item x="92"/>
        <item x="153"/>
        <item x="317"/>
        <item x="303"/>
        <item x="26"/>
        <item x="307"/>
        <item x="119"/>
        <item x="180"/>
        <item x="164"/>
        <item x="162"/>
        <item x="24"/>
        <item x="280"/>
        <item x="74"/>
        <item x="66"/>
        <item x="154"/>
        <item x="68"/>
        <item x="222"/>
        <item x="169"/>
        <item x="81"/>
        <item x="78"/>
        <item x="218"/>
        <item x="275"/>
        <item x="286"/>
        <item x="127"/>
        <item x="104"/>
        <item x="245"/>
        <item x="289"/>
        <item x="36"/>
        <item x="273"/>
        <item x="83"/>
        <item x="0"/>
        <item x="155"/>
        <item x="22"/>
        <item x="195"/>
        <item x="192"/>
        <item x="296"/>
        <item x="48"/>
        <item x="259"/>
        <item x="176"/>
        <item x="29"/>
        <item x="63"/>
        <item x="84"/>
        <item x="33"/>
        <item x="236"/>
        <item x="62"/>
        <item x="96"/>
        <item x="217"/>
        <item x="28"/>
        <item x="41"/>
        <item x="90"/>
        <item x="247"/>
        <item x="268"/>
        <item x="260"/>
        <item x="230"/>
        <item x="311"/>
        <item x="56"/>
        <item x="10"/>
        <item x="157"/>
        <item x="177"/>
        <item x="235"/>
        <item x="140"/>
        <item x="300"/>
        <item x="159"/>
        <item x="283"/>
        <item x="234"/>
        <item x="1"/>
        <item x="325"/>
        <item x="216"/>
        <item x="149"/>
        <item x="129"/>
        <item x="47"/>
        <item x="115"/>
        <item x="315"/>
        <item x="193"/>
        <item x="168"/>
        <item x="301"/>
        <item x="75"/>
        <item x="102"/>
        <item x="60"/>
        <item x="131"/>
        <item x="239"/>
        <item x="53"/>
        <item x="197"/>
        <item x="9"/>
        <item x="72"/>
        <item x="37"/>
        <item x="126"/>
        <item x="323"/>
        <item x="284"/>
        <item x="185"/>
        <item x="105"/>
        <item x="88"/>
        <item x="199"/>
        <item x="196"/>
        <item x="225"/>
        <item x="270"/>
        <item x="158"/>
        <item x="278"/>
        <item x="172"/>
        <item x="291"/>
        <item x="38"/>
        <item x="227"/>
        <item x="114"/>
        <item x="281"/>
        <item x="293"/>
        <item x="166"/>
        <item x="179"/>
        <item x="271"/>
        <item x="138"/>
        <item x="151"/>
        <item x="21"/>
        <item x="109"/>
        <item x="160"/>
        <item x="64"/>
        <item x="231"/>
        <item x="251"/>
        <item x="6"/>
        <item x="215"/>
        <item x="288"/>
        <item x="116"/>
        <item x="133"/>
        <item x="77"/>
        <item x="107"/>
        <item x="43"/>
        <item x="233"/>
        <item x="226"/>
        <item x="161"/>
        <item x="111"/>
        <item x="187"/>
        <item x="79"/>
        <item x="86"/>
        <item x="272"/>
        <item x="52"/>
        <item x="70"/>
        <item x="198"/>
        <item x="274"/>
        <item x="69"/>
        <item x="316"/>
        <item x="267"/>
        <item x="44"/>
        <item x="292"/>
        <item x="132"/>
        <item x="221"/>
        <item x="282"/>
        <item x="238"/>
        <item x="194"/>
        <item x="203"/>
        <item x="244"/>
        <item x="249"/>
        <item x="4"/>
        <item x="93"/>
        <item x="2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2"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">
    <i>
      <x v="184"/>
    </i>
  </rowItems>
  <colItems count="1">
    <i/>
  </colItems>
  <dataFields count="1">
    <dataField name="Count of ShipperID" fld="1" subtotal="count" baseField="3" baseItem="0"/>
  </dataFields>
  <formats count="4">
    <format dxfId="68">
      <pivotArea field="3" type="button" dataOnly="0" labelOnly="1" outline="0" axis="axisRow" fieldPosition="0"/>
    </format>
    <format dxfId="67">
      <pivotArea dataOnly="0" labelOnly="1" outline="0" axis="axisValues" fieldPosition="0"/>
    </format>
    <format dxfId="21">
      <pivotArea outline="0" collapsedLevelsAreSubtotals="1" fieldPosition="0"/>
    </format>
    <format dxfId="20">
      <pivotArea dataOnly="0" labelOnly="1" fieldPosition="0">
        <references count="1">
          <reference field="3" count="1">
            <x v="184"/>
          </reference>
        </references>
      </pivotArea>
    </format>
  </formats>
  <pivotTableStyleInfo showRowHeaders="1" showColHeaders="1" showRowStripes="0" showColStripes="0" showLastColumn="1"/>
  <filters count="1">
    <filter fld="3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B3E18-3954-4DEA-9B74-6EA2E190579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9:C80" firstHeaderRow="1" firstDataRow="1" firstDataCol="1"/>
  <pivotFields count="26">
    <pivotField showAll="0"/>
    <pivotField showAll="0"/>
    <pivotField showAll="0"/>
    <pivotField axis="axisRow" showAll="0" measureFilter="1" sortType="descending">
      <items count="327">
        <item x="320"/>
        <item x="207"/>
        <item x="175"/>
        <item x="182"/>
        <item x="264"/>
        <item x="229"/>
        <item x="144"/>
        <item x="219"/>
        <item x="201"/>
        <item x="188"/>
        <item x="181"/>
        <item x="2"/>
        <item x="178"/>
        <item x="294"/>
        <item x="87"/>
        <item x="171"/>
        <item x="141"/>
        <item x="309"/>
        <item x="16"/>
        <item x="94"/>
        <item x="250"/>
        <item x="279"/>
        <item x="59"/>
        <item x="202"/>
        <item x="35"/>
        <item x="120"/>
        <item x="97"/>
        <item x="262"/>
        <item x="55"/>
        <item x="112"/>
        <item x="85"/>
        <item x="305"/>
        <item x="89"/>
        <item x="297"/>
        <item x="123"/>
        <item x="23"/>
        <item x="261"/>
        <item x="121"/>
        <item x="130"/>
        <item x="58"/>
        <item x="100"/>
        <item x="148"/>
        <item x="184"/>
        <item x="17"/>
        <item x="242"/>
        <item x="269"/>
        <item x="212"/>
        <item x="20"/>
        <item x="256"/>
        <item x="266"/>
        <item x="34"/>
        <item x="65"/>
        <item x="308"/>
        <item x="263"/>
        <item x="246"/>
        <item x="163"/>
        <item x="285"/>
        <item x="113"/>
        <item x="11"/>
        <item x="276"/>
        <item x="290"/>
        <item x="295"/>
        <item x="170"/>
        <item x="49"/>
        <item x="5"/>
        <item x="8"/>
        <item x="95"/>
        <item x="146"/>
        <item x="51"/>
        <item x="299"/>
        <item x="321"/>
        <item x="208"/>
        <item x="101"/>
        <item x="134"/>
        <item x="241"/>
        <item x="125"/>
        <item x="67"/>
        <item x="15"/>
        <item x="71"/>
        <item x="174"/>
        <item x="204"/>
        <item x="30"/>
        <item x="99"/>
        <item x="277"/>
        <item x="253"/>
        <item x="298"/>
        <item x="110"/>
        <item x="224"/>
        <item x="136"/>
        <item x="240"/>
        <item x="237"/>
        <item x="206"/>
        <item x="214"/>
        <item x="243"/>
        <item x="150"/>
        <item x="173"/>
        <item x="142"/>
        <item x="12"/>
        <item x="106"/>
        <item x="27"/>
        <item x="54"/>
        <item x="324"/>
        <item x="252"/>
        <item x="313"/>
        <item x="13"/>
        <item x="302"/>
        <item x="91"/>
        <item x="265"/>
        <item x="139"/>
        <item x="18"/>
        <item x="211"/>
        <item x="103"/>
        <item x="228"/>
        <item x="31"/>
        <item x="118"/>
        <item x="124"/>
        <item x="310"/>
        <item x="189"/>
        <item x="73"/>
        <item x="42"/>
        <item x="152"/>
        <item x="319"/>
        <item x="143"/>
        <item x="61"/>
        <item x="232"/>
        <item x="98"/>
        <item x="186"/>
        <item x="145"/>
        <item x="314"/>
        <item x="14"/>
        <item x="248"/>
        <item x="57"/>
        <item x="156"/>
        <item x="254"/>
        <item x="183"/>
        <item x="287"/>
        <item x="19"/>
        <item x="45"/>
        <item x="200"/>
        <item x="190"/>
        <item x="165"/>
        <item x="257"/>
        <item x="255"/>
        <item x="205"/>
        <item x="80"/>
        <item x="258"/>
        <item x="312"/>
        <item x="147"/>
        <item x="25"/>
        <item x="318"/>
        <item x="223"/>
        <item x="3"/>
        <item x="128"/>
        <item x="191"/>
        <item x="7"/>
        <item x="108"/>
        <item x="50"/>
        <item x="122"/>
        <item x="32"/>
        <item x="304"/>
        <item x="46"/>
        <item x="76"/>
        <item x="82"/>
        <item x="220"/>
        <item x="306"/>
        <item x="209"/>
        <item x="322"/>
        <item x="167"/>
        <item x="213"/>
        <item x="40"/>
        <item x="135"/>
        <item x="117"/>
        <item x="39"/>
        <item x="137"/>
        <item x="92"/>
        <item x="153"/>
        <item x="317"/>
        <item x="303"/>
        <item x="26"/>
        <item x="307"/>
        <item x="119"/>
        <item x="180"/>
        <item x="164"/>
        <item x="162"/>
        <item x="24"/>
        <item x="280"/>
        <item x="74"/>
        <item x="66"/>
        <item x="154"/>
        <item x="68"/>
        <item x="222"/>
        <item x="169"/>
        <item x="81"/>
        <item x="78"/>
        <item x="218"/>
        <item x="275"/>
        <item x="286"/>
        <item x="127"/>
        <item x="104"/>
        <item x="245"/>
        <item x="289"/>
        <item x="36"/>
        <item x="273"/>
        <item x="83"/>
        <item x="0"/>
        <item x="155"/>
        <item x="22"/>
        <item x="195"/>
        <item x="192"/>
        <item x="296"/>
        <item x="48"/>
        <item x="259"/>
        <item x="176"/>
        <item x="29"/>
        <item x="63"/>
        <item x="84"/>
        <item x="33"/>
        <item x="236"/>
        <item x="62"/>
        <item x="96"/>
        <item x="217"/>
        <item x="28"/>
        <item x="41"/>
        <item x="90"/>
        <item x="247"/>
        <item x="268"/>
        <item x="260"/>
        <item x="230"/>
        <item x="311"/>
        <item x="56"/>
        <item x="10"/>
        <item x="157"/>
        <item x="177"/>
        <item x="235"/>
        <item x="140"/>
        <item x="300"/>
        <item x="159"/>
        <item x="283"/>
        <item x="234"/>
        <item x="1"/>
        <item x="325"/>
        <item x="216"/>
        <item x="149"/>
        <item x="129"/>
        <item x="47"/>
        <item x="115"/>
        <item x="315"/>
        <item x="193"/>
        <item x="168"/>
        <item x="301"/>
        <item x="75"/>
        <item x="102"/>
        <item x="60"/>
        <item x="131"/>
        <item x="239"/>
        <item x="53"/>
        <item x="197"/>
        <item x="9"/>
        <item x="72"/>
        <item x="37"/>
        <item x="126"/>
        <item x="323"/>
        <item x="284"/>
        <item x="185"/>
        <item x="105"/>
        <item x="88"/>
        <item x="199"/>
        <item x="196"/>
        <item x="225"/>
        <item x="270"/>
        <item x="158"/>
        <item x="278"/>
        <item x="172"/>
        <item x="291"/>
        <item x="38"/>
        <item x="227"/>
        <item x="114"/>
        <item x="281"/>
        <item x="293"/>
        <item x="166"/>
        <item x="179"/>
        <item x="271"/>
        <item x="138"/>
        <item x="151"/>
        <item x="21"/>
        <item x="109"/>
        <item x="160"/>
        <item x="64"/>
        <item x="231"/>
        <item x="251"/>
        <item x="6"/>
        <item x="215"/>
        <item x="288"/>
        <item x="116"/>
        <item x="133"/>
        <item x="77"/>
        <item x="107"/>
        <item x="43"/>
        <item x="233"/>
        <item x="226"/>
        <item x="161"/>
        <item x="111"/>
        <item x="187"/>
        <item x="79"/>
        <item x="86"/>
        <item x="272"/>
        <item x="52"/>
        <item x="70"/>
        <item x="198"/>
        <item x="274"/>
        <item x="69"/>
        <item x="316"/>
        <item x="267"/>
        <item x="44"/>
        <item x="292"/>
        <item x="132"/>
        <item x="221"/>
        <item x="282"/>
        <item x="238"/>
        <item x="194"/>
        <item x="203"/>
        <item x="244"/>
        <item x="249"/>
        <item x="4"/>
        <item x="93"/>
        <item x="2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2" showAll="0"/>
    <pivotField showAll="0"/>
    <pivotField numFmtId="2" showAll="0"/>
    <pivotField dataField="1" numFmtId="2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 v="184"/>
    </i>
    <i>
      <x v="253"/>
    </i>
    <i>
      <x v="179"/>
    </i>
    <i>
      <x v="290"/>
    </i>
    <i>
      <x v="217"/>
    </i>
    <i>
      <x v="170"/>
    </i>
    <i>
      <x v="323"/>
    </i>
    <i>
      <x v="99"/>
    </i>
    <i>
      <x v="291"/>
    </i>
    <i>
      <x v="105"/>
    </i>
    <i t="grand">
      <x/>
    </i>
  </rowItems>
  <colItems count="1">
    <i/>
  </colItems>
  <dataFields count="1">
    <dataField name="Sum of Total profit" fld="19" baseField="3" baseItem="184" numFmtId="164"/>
  </dataFields>
  <formats count="5">
    <format dxfId="66">
      <pivotArea field="3" type="button" dataOnly="0" labelOnly="1" outline="0" axis="axisRow" fieldPosition="0"/>
    </format>
    <format dxfId="65">
      <pivotArea dataOnly="0" labelOnly="1" outline="0" axis="axisValues" fieldPosition="0"/>
    </format>
    <format dxfId="24">
      <pivotArea outline="0" collapsedLevelsAreSubtotals="1" fieldPosition="0"/>
    </format>
    <format dxfId="23">
      <pivotArea dataOnly="0" labelOnly="1" fieldPosition="0">
        <references count="1">
          <reference field="3" count="10">
            <x v="99"/>
            <x v="105"/>
            <x v="170"/>
            <x v="179"/>
            <x v="184"/>
            <x v="217"/>
            <x v="253"/>
            <x v="290"/>
            <x v="291"/>
            <x v="323"/>
          </reference>
        </references>
      </pivotArea>
    </format>
    <format dxfId="22">
      <pivotArea dataOnly="0" labelOnly="1" grandRow="1" outline="0" fieldPosition="0"/>
    </format>
  </formats>
  <pivotTableStyleInfo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B9D78-F122-454E-82BC-4FCE1C5134A6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64:C65" firstHeaderRow="1" firstDataRow="1" firstDataCol="1"/>
  <pivotFields count="26">
    <pivotField showAll="0"/>
    <pivotField dataField="1" showAll="0"/>
    <pivotField showAll="0"/>
    <pivotField axis="axisRow" showAll="0" measureFilter="1" sortType="descending">
      <items count="327">
        <item x="320"/>
        <item x="207"/>
        <item x="175"/>
        <item x="182"/>
        <item x="264"/>
        <item x="229"/>
        <item x="144"/>
        <item x="219"/>
        <item x="201"/>
        <item x="188"/>
        <item x="181"/>
        <item x="2"/>
        <item x="178"/>
        <item x="294"/>
        <item x="87"/>
        <item x="171"/>
        <item x="141"/>
        <item x="309"/>
        <item x="16"/>
        <item x="94"/>
        <item x="250"/>
        <item x="279"/>
        <item x="59"/>
        <item x="202"/>
        <item x="35"/>
        <item x="120"/>
        <item x="97"/>
        <item x="262"/>
        <item x="55"/>
        <item x="112"/>
        <item x="85"/>
        <item x="305"/>
        <item x="89"/>
        <item x="297"/>
        <item x="123"/>
        <item x="23"/>
        <item x="261"/>
        <item x="121"/>
        <item x="130"/>
        <item x="58"/>
        <item x="100"/>
        <item x="148"/>
        <item x="184"/>
        <item x="17"/>
        <item x="242"/>
        <item x="269"/>
        <item x="212"/>
        <item x="20"/>
        <item x="256"/>
        <item x="266"/>
        <item x="34"/>
        <item x="65"/>
        <item x="308"/>
        <item x="263"/>
        <item x="246"/>
        <item x="163"/>
        <item x="285"/>
        <item x="113"/>
        <item x="11"/>
        <item x="276"/>
        <item x="290"/>
        <item x="295"/>
        <item x="170"/>
        <item x="49"/>
        <item x="5"/>
        <item x="8"/>
        <item x="95"/>
        <item x="146"/>
        <item x="51"/>
        <item x="299"/>
        <item x="321"/>
        <item x="208"/>
        <item x="101"/>
        <item x="134"/>
        <item x="241"/>
        <item x="125"/>
        <item x="67"/>
        <item x="15"/>
        <item x="71"/>
        <item x="174"/>
        <item x="204"/>
        <item x="30"/>
        <item x="99"/>
        <item x="277"/>
        <item x="253"/>
        <item x="298"/>
        <item x="110"/>
        <item x="224"/>
        <item x="136"/>
        <item x="240"/>
        <item x="237"/>
        <item x="206"/>
        <item x="214"/>
        <item x="243"/>
        <item x="150"/>
        <item x="173"/>
        <item x="142"/>
        <item x="12"/>
        <item x="106"/>
        <item x="27"/>
        <item x="54"/>
        <item x="324"/>
        <item x="252"/>
        <item x="313"/>
        <item x="13"/>
        <item x="302"/>
        <item x="91"/>
        <item x="265"/>
        <item x="139"/>
        <item x="18"/>
        <item x="211"/>
        <item x="103"/>
        <item x="228"/>
        <item x="31"/>
        <item x="118"/>
        <item x="124"/>
        <item x="310"/>
        <item x="189"/>
        <item x="73"/>
        <item x="42"/>
        <item x="152"/>
        <item x="319"/>
        <item x="143"/>
        <item x="61"/>
        <item x="232"/>
        <item x="98"/>
        <item x="186"/>
        <item x="145"/>
        <item x="314"/>
        <item x="14"/>
        <item x="248"/>
        <item x="57"/>
        <item x="156"/>
        <item x="254"/>
        <item x="183"/>
        <item x="287"/>
        <item x="19"/>
        <item x="45"/>
        <item x="200"/>
        <item x="190"/>
        <item x="165"/>
        <item x="257"/>
        <item x="255"/>
        <item x="205"/>
        <item x="80"/>
        <item x="258"/>
        <item x="312"/>
        <item x="147"/>
        <item x="25"/>
        <item x="318"/>
        <item x="223"/>
        <item x="3"/>
        <item x="128"/>
        <item x="191"/>
        <item x="7"/>
        <item x="108"/>
        <item x="50"/>
        <item x="122"/>
        <item x="32"/>
        <item x="304"/>
        <item x="46"/>
        <item x="76"/>
        <item x="82"/>
        <item x="220"/>
        <item x="306"/>
        <item x="209"/>
        <item x="322"/>
        <item x="167"/>
        <item x="213"/>
        <item x="40"/>
        <item x="135"/>
        <item x="117"/>
        <item x="39"/>
        <item x="137"/>
        <item x="92"/>
        <item x="153"/>
        <item x="317"/>
        <item x="303"/>
        <item x="26"/>
        <item x="307"/>
        <item x="119"/>
        <item x="180"/>
        <item x="164"/>
        <item x="162"/>
        <item x="24"/>
        <item x="280"/>
        <item x="74"/>
        <item x="66"/>
        <item x="154"/>
        <item x="68"/>
        <item x="222"/>
        <item x="169"/>
        <item x="81"/>
        <item x="78"/>
        <item x="218"/>
        <item x="275"/>
        <item x="286"/>
        <item x="127"/>
        <item x="104"/>
        <item x="245"/>
        <item x="289"/>
        <item x="36"/>
        <item x="273"/>
        <item x="83"/>
        <item x="0"/>
        <item x="155"/>
        <item x="22"/>
        <item x="195"/>
        <item x="192"/>
        <item x="296"/>
        <item x="48"/>
        <item x="259"/>
        <item x="176"/>
        <item x="29"/>
        <item x="63"/>
        <item x="84"/>
        <item x="33"/>
        <item x="236"/>
        <item x="62"/>
        <item x="96"/>
        <item x="217"/>
        <item x="28"/>
        <item x="41"/>
        <item x="90"/>
        <item x="247"/>
        <item x="268"/>
        <item x="260"/>
        <item x="230"/>
        <item x="311"/>
        <item x="56"/>
        <item x="10"/>
        <item x="157"/>
        <item x="177"/>
        <item x="235"/>
        <item x="140"/>
        <item x="300"/>
        <item x="159"/>
        <item x="283"/>
        <item x="234"/>
        <item x="1"/>
        <item x="325"/>
        <item x="216"/>
        <item x="149"/>
        <item x="129"/>
        <item x="47"/>
        <item x="115"/>
        <item x="315"/>
        <item x="193"/>
        <item x="168"/>
        <item x="301"/>
        <item x="75"/>
        <item x="102"/>
        <item x="60"/>
        <item x="131"/>
        <item x="239"/>
        <item x="53"/>
        <item x="197"/>
        <item x="9"/>
        <item x="72"/>
        <item x="37"/>
        <item x="126"/>
        <item x="323"/>
        <item x="284"/>
        <item x="185"/>
        <item x="105"/>
        <item x="88"/>
        <item x="199"/>
        <item x="196"/>
        <item x="225"/>
        <item x="270"/>
        <item x="158"/>
        <item x="278"/>
        <item x="172"/>
        <item x="291"/>
        <item x="38"/>
        <item x="227"/>
        <item x="114"/>
        <item x="281"/>
        <item x="293"/>
        <item x="166"/>
        <item x="179"/>
        <item x="271"/>
        <item x="138"/>
        <item x="151"/>
        <item x="21"/>
        <item x="109"/>
        <item x="160"/>
        <item x="64"/>
        <item x="231"/>
        <item x="251"/>
        <item x="6"/>
        <item x="215"/>
        <item x="288"/>
        <item x="116"/>
        <item x="133"/>
        <item x="77"/>
        <item x="107"/>
        <item x="43"/>
        <item x="233"/>
        <item x="226"/>
        <item x="161"/>
        <item x="111"/>
        <item x="187"/>
        <item x="79"/>
        <item x="86"/>
        <item x="272"/>
        <item x="52"/>
        <item x="70"/>
        <item x="198"/>
        <item x="274"/>
        <item x="69"/>
        <item x="316"/>
        <item x="267"/>
        <item x="44"/>
        <item x="292"/>
        <item x="132"/>
        <item x="221"/>
        <item x="282"/>
        <item x="238"/>
        <item x="194"/>
        <item x="203"/>
        <item x="244"/>
        <item x="249"/>
        <item x="4"/>
        <item x="93"/>
        <item x="2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2"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">
    <i>
      <x v="184"/>
    </i>
  </rowItems>
  <colItems count="1">
    <i/>
  </colItems>
  <dataFields count="1">
    <dataField name="Count of ShipperID" fld="1" subtotal="count" baseField="3" baseItem="184"/>
  </dataFields>
  <formats count="4">
    <format dxfId="64">
      <pivotArea field="3" type="button" dataOnly="0" labelOnly="1" outline="0" axis="axisRow" fieldPosition="0"/>
    </format>
    <format dxfId="63">
      <pivotArea dataOnly="0" labelOnly="1" outline="0" axis="axisValues" fieldPosition="0"/>
    </format>
    <format dxfId="26">
      <pivotArea outline="0" collapsedLevelsAreSubtotals="1" fieldPosition="0"/>
    </format>
    <format dxfId="25">
      <pivotArea dataOnly="0" labelOnly="1" fieldPosition="0">
        <references count="1">
          <reference field="3" count="1">
            <x v="184"/>
          </reference>
        </references>
      </pivotArea>
    </format>
  </formats>
  <pivotTableStyleInfo showRowHeaders="1" showColHeaders="1" showRowStripes="0" showColStripes="0" showLastColumn="1"/>
  <filters count="1">
    <filter fld="3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48247-C7A9-4B20-861C-A346289DF01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9:B60" firstHeaderRow="1" firstDataRow="1" firstDataCol="0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numFmtId="2"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Load factor" fld="15" subtotal="average" baseField="0" baseItem="0" numFmtId="1"/>
  </dataFields>
  <formats count="2">
    <format dxfId="62">
      <pivotArea dataOnly="0" labelOnly="1" outline="0" axis="axisValues" fieldPosition="0"/>
    </format>
    <format dxfId="27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7414AE-9545-465C-8677-AB42CFA4984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1:C55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2"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apacity" fld="21" subtotal="average" baseField="18" baseItem="0" numFmtId="4"/>
  </dataFields>
  <formats count="5">
    <format dxfId="61">
      <pivotArea field="22" type="button" dataOnly="0" labelOnly="1" outline="0" axis="axisRow" fieldPosition="0"/>
    </format>
    <format dxfId="60">
      <pivotArea dataOnly="0" labelOnly="1" outline="0" axis="axisValues" fieldPosition="0"/>
    </format>
    <format dxfId="30">
      <pivotArea outline="0" collapsedLevelsAreSubtotals="1" fieldPosition="0"/>
    </format>
    <format dxfId="29">
      <pivotArea dataOnly="0" labelOnly="1" fieldPosition="0">
        <references count="1">
          <reference field="22" count="0"/>
        </references>
      </pivotArea>
    </format>
    <format dxfId="28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9CC27-6E23-4FF0-9ED8-F659B83AF173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6:C47" firstHeaderRow="1" firstDataRow="1" firstDataCol="0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2"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Capacity" fld="21" subtotal="average" baseField="0" baseItem="0" numFmtId="2"/>
  </dataFields>
  <formats count="2">
    <format dxfId="59">
      <pivotArea dataOnly="0" labelOnly="1" outline="0" axis="axisValues" fieldPosition="0"/>
    </format>
    <format dxfId="31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19BC8-9182-4008-B4C5-96C9785E6F0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7:E41" firstHeaderRow="0" firstDataRow="1" firstDataCol="1"/>
  <pivotFields count="26">
    <pivotField axis="axisRow" showAll="0">
      <items count="1809">
        <item x="885"/>
        <item x="1143"/>
        <item x="633"/>
        <item x="1527"/>
        <item x="886"/>
        <item x="634"/>
        <item x="635"/>
        <item x="887"/>
        <item x="0"/>
        <item x="531"/>
        <item x="440"/>
        <item x="1"/>
        <item x="1528"/>
        <item x="1529"/>
        <item x="636"/>
        <item x="131"/>
        <item x="441"/>
        <item x="1144"/>
        <item x="1145"/>
        <item x="1530"/>
        <item x="1146"/>
        <item x="1147"/>
        <item x="1148"/>
        <item x="1149"/>
        <item x="637"/>
        <item x="2"/>
        <item x="339"/>
        <item x="132"/>
        <item x="1531"/>
        <item x="1532"/>
        <item x="1150"/>
        <item x="1151"/>
        <item x="340"/>
        <item x="341"/>
        <item x="888"/>
        <item x="638"/>
        <item x="889"/>
        <item x="890"/>
        <item x="891"/>
        <item x="1152"/>
        <item x="1153"/>
        <item x="3"/>
        <item x="342"/>
        <item x="133"/>
        <item x="226"/>
        <item x="532"/>
        <item x="1533"/>
        <item x="639"/>
        <item x="1534"/>
        <item x="4"/>
        <item x="134"/>
        <item x="1154"/>
        <item x="892"/>
        <item x="640"/>
        <item x="893"/>
        <item x="641"/>
        <item x="642"/>
        <item x="643"/>
        <item x="1155"/>
        <item x="227"/>
        <item x="533"/>
        <item x="135"/>
        <item x="343"/>
        <item x="644"/>
        <item x="894"/>
        <item x="442"/>
        <item x="443"/>
        <item x="645"/>
        <item x="1156"/>
        <item x="1535"/>
        <item x="646"/>
        <item x="1157"/>
        <item x="534"/>
        <item x="136"/>
        <item x="344"/>
        <item x="535"/>
        <item x="137"/>
        <item x="647"/>
        <item x="1807"/>
        <item x="1536"/>
        <item x="536"/>
        <item x="444"/>
        <item x="648"/>
        <item x="895"/>
        <item x="1537"/>
        <item x="1538"/>
        <item x="1158"/>
        <item x="896"/>
        <item x="1159"/>
        <item x="1539"/>
        <item x="649"/>
        <item x="445"/>
        <item x="537"/>
        <item x="228"/>
        <item x="138"/>
        <item x="229"/>
        <item x="1540"/>
        <item x="1160"/>
        <item x="897"/>
        <item x="650"/>
        <item x="538"/>
        <item x="345"/>
        <item x="651"/>
        <item x="1541"/>
        <item x="1542"/>
        <item x="1543"/>
        <item x="652"/>
        <item x="898"/>
        <item x="899"/>
        <item x="5"/>
        <item x="539"/>
        <item x="346"/>
        <item x="6"/>
        <item x="1161"/>
        <item x="1544"/>
        <item x="1162"/>
        <item x="1163"/>
        <item x="230"/>
        <item x="7"/>
        <item x="1164"/>
        <item x="653"/>
        <item x="900"/>
        <item x="1165"/>
        <item x="654"/>
        <item x="655"/>
        <item x="656"/>
        <item x="1545"/>
        <item x="657"/>
        <item x="8"/>
        <item x="347"/>
        <item x="348"/>
        <item x="349"/>
        <item x="901"/>
        <item x="902"/>
        <item x="658"/>
        <item x="231"/>
        <item x="9"/>
        <item x="903"/>
        <item x="1166"/>
        <item x="904"/>
        <item x="905"/>
        <item x="1167"/>
        <item x="1546"/>
        <item x="906"/>
        <item x="1168"/>
        <item x="139"/>
        <item x="540"/>
        <item x="232"/>
        <item x="350"/>
        <item x="351"/>
        <item x="1169"/>
        <item x="1170"/>
        <item x="1547"/>
        <item x="10"/>
        <item x="352"/>
        <item x="1171"/>
        <item x="1172"/>
        <item x="1548"/>
        <item x="659"/>
        <item x="907"/>
        <item x="1173"/>
        <item x="1174"/>
        <item x="660"/>
        <item x="446"/>
        <item x="233"/>
        <item x="140"/>
        <item x="11"/>
        <item x="1549"/>
        <item x="1175"/>
        <item x="1176"/>
        <item x="141"/>
        <item x="541"/>
        <item x="1177"/>
        <item x="661"/>
        <item x="662"/>
        <item x="1178"/>
        <item x="663"/>
        <item x="1179"/>
        <item x="664"/>
        <item x="542"/>
        <item x="353"/>
        <item x="142"/>
        <item x="234"/>
        <item x="1180"/>
        <item x="1550"/>
        <item x="1551"/>
        <item x="1552"/>
        <item x="354"/>
        <item x="543"/>
        <item x="1553"/>
        <item x="665"/>
        <item x="1181"/>
        <item x="1554"/>
        <item x="666"/>
        <item x="667"/>
        <item x="447"/>
        <item x="544"/>
        <item x="143"/>
        <item x="448"/>
        <item x="355"/>
        <item x="1182"/>
        <item x="908"/>
        <item x="909"/>
        <item x="545"/>
        <item x="12"/>
        <item x="668"/>
        <item x="1183"/>
        <item x="1184"/>
        <item x="1555"/>
        <item x="910"/>
        <item x="1556"/>
        <item x="1185"/>
        <item x="1557"/>
        <item x="669"/>
        <item x="449"/>
        <item x="450"/>
        <item x="356"/>
        <item x="144"/>
        <item x="1186"/>
        <item x="911"/>
        <item x="670"/>
        <item x="671"/>
        <item x="13"/>
        <item x="912"/>
        <item x="1187"/>
        <item x="672"/>
        <item x="1188"/>
        <item x="913"/>
        <item x="673"/>
        <item x="674"/>
        <item x="451"/>
        <item x="357"/>
        <item x="546"/>
        <item x="235"/>
        <item x="14"/>
        <item x="1189"/>
        <item x="675"/>
        <item x="1190"/>
        <item x="1191"/>
        <item x="236"/>
        <item x="145"/>
        <item x="1192"/>
        <item x="914"/>
        <item x="1558"/>
        <item x="676"/>
        <item x="677"/>
        <item x="1193"/>
        <item x="678"/>
        <item x="547"/>
        <item x="146"/>
        <item x="237"/>
        <item x="452"/>
        <item x="238"/>
        <item x="1194"/>
        <item x="1195"/>
        <item x="679"/>
        <item x="548"/>
        <item x="453"/>
        <item x="915"/>
        <item x="680"/>
        <item x="1196"/>
        <item x="1197"/>
        <item x="1198"/>
        <item x="681"/>
        <item x="1199"/>
        <item x="1559"/>
        <item x="1200"/>
        <item x="549"/>
        <item x="454"/>
        <item x="239"/>
        <item x="550"/>
        <item x="15"/>
        <item x="1201"/>
        <item x="1202"/>
        <item x="1203"/>
        <item x="916"/>
        <item x="16"/>
        <item x="682"/>
        <item x="917"/>
        <item x="1560"/>
        <item x="683"/>
        <item x="1561"/>
        <item x="1204"/>
        <item x="918"/>
        <item x="240"/>
        <item x="241"/>
        <item x="551"/>
        <item x="455"/>
        <item x="552"/>
        <item x="1562"/>
        <item x="919"/>
        <item x="1205"/>
        <item x="684"/>
        <item x="17"/>
        <item x="242"/>
        <item x="685"/>
        <item x="920"/>
        <item x="686"/>
        <item x="921"/>
        <item x="1206"/>
        <item x="1207"/>
        <item x="1563"/>
        <item x="922"/>
        <item x="18"/>
        <item x="19"/>
        <item x="243"/>
        <item x="456"/>
        <item x="457"/>
        <item x="923"/>
        <item x="1564"/>
        <item x="1208"/>
        <item x="20"/>
        <item x="553"/>
        <item x="687"/>
        <item x="1565"/>
        <item x="924"/>
        <item x="1209"/>
        <item x="1210"/>
        <item x="1566"/>
        <item x="1211"/>
        <item x="358"/>
        <item x="21"/>
        <item x="458"/>
        <item x="359"/>
        <item x="244"/>
        <item x="1567"/>
        <item x="688"/>
        <item x="925"/>
        <item x="926"/>
        <item x="22"/>
        <item x="147"/>
        <item x="1568"/>
        <item x="1212"/>
        <item x="689"/>
        <item x="927"/>
        <item x="1569"/>
        <item x="690"/>
        <item x="691"/>
        <item x="245"/>
        <item x="148"/>
        <item x="149"/>
        <item x="360"/>
        <item x="246"/>
        <item x="1213"/>
        <item x="1570"/>
        <item x="1571"/>
        <item x="692"/>
        <item x="247"/>
        <item x="150"/>
        <item x="1214"/>
        <item x="693"/>
        <item x="928"/>
        <item x="1215"/>
        <item x="1572"/>
        <item x="1216"/>
        <item x="459"/>
        <item x="460"/>
        <item x="554"/>
        <item x="555"/>
        <item x="248"/>
        <item x="1217"/>
        <item x="1218"/>
        <item x="1219"/>
        <item x="1573"/>
        <item x="249"/>
        <item x="556"/>
        <item x="1220"/>
        <item x="1221"/>
        <item x="929"/>
        <item x="694"/>
        <item x="1222"/>
        <item x="930"/>
        <item x="1223"/>
        <item x="931"/>
        <item x="932"/>
        <item x="361"/>
        <item x="362"/>
        <item x="250"/>
        <item x="363"/>
        <item x="557"/>
        <item x="1224"/>
        <item x="695"/>
        <item x="696"/>
        <item x="1225"/>
        <item x="364"/>
        <item x="151"/>
        <item x="1226"/>
        <item x="697"/>
        <item x="1574"/>
        <item x="698"/>
        <item x="1575"/>
        <item x="1576"/>
        <item x="1227"/>
        <item x="1228"/>
        <item x="933"/>
        <item x="461"/>
        <item x="365"/>
        <item x="23"/>
        <item x="24"/>
        <item x="558"/>
        <item x="1229"/>
        <item x="934"/>
        <item x="1230"/>
        <item x="935"/>
        <item x="559"/>
        <item x="152"/>
        <item x="1231"/>
        <item x="699"/>
        <item x="1577"/>
        <item x="1232"/>
        <item x="936"/>
        <item x="700"/>
        <item x="1578"/>
        <item x="1233"/>
        <item x="25"/>
        <item x="26"/>
        <item x="251"/>
        <item x="366"/>
        <item x="252"/>
        <item x="1579"/>
        <item x="1580"/>
        <item x="1581"/>
        <item x="1582"/>
        <item x="367"/>
        <item x="27"/>
        <item x="701"/>
        <item x="937"/>
        <item x="938"/>
        <item x="1234"/>
        <item x="1583"/>
        <item x="1235"/>
        <item x="1584"/>
        <item x="1236"/>
        <item x="368"/>
        <item x="462"/>
        <item x="153"/>
        <item x="154"/>
        <item x="560"/>
        <item x="1237"/>
        <item x="939"/>
        <item x="702"/>
        <item x="155"/>
        <item x="28"/>
        <item x="940"/>
        <item x="703"/>
        <item x="704"/>
        <item x="1238"/>
        <item x="1239"/>
        <item x="1240"/>
        <item x="705"/>
        <item x="1241"/>
        <item x="369"/>
        <item x="253"/>
        <item x="254"/>
        <item x="463"/>
        <item x="1242"/>
        <item x="706"/>
        <item x="1243"/>
        <item x="1585"/>
        <item x="255"/>
        <item x="29"/>
        <item x="1244"/>
        <item x="707"/>
        <item x="1245"/>
        <item x="1246"/>
        <item x="1586"/>
        <item x="1247"/>
        <item x="1587"/>
        <item x="1248"/>
        <item x="464"/>
        <item x="370"/>
        <item x="156"/>
        <item x="465"/>
        <item x="157"/>
        <item x="1249"/>
        <item x="941"/>
        <item x="1250"/>
        <item x="1251"/>
        <item x="371"/>
        <item x="1252"/>
        <item x="708"/>
        <item x="1253"/>
        <item x="942"/>
        <item x="1588"/>
        <item x="1589"/>
        <item x="709"/>
        <item x="1590"/>
        <item x="1254"/>
        <item x="158"/>
        <item x="561"/>
        <item x="562"/>
        <item x="159"/>
        <item x="1255"/>
        <item x="710"/>
        <item x="563"/>
        <item x="466"/>
        <item x="1256"/>
        <item x="711"/>
        <item x="943"/>
        <item x="712"/>
        <item x="944"/>
        <item x="945"/>
        <item x="1257"/>
        <item x="713"/>
        <item x="372"/>
        <item x="160"/>
        <item x="373"/>
        <item x="161"/>
        <item x="564"/>
        <item x="1591"/>
        <item x="1592"/>
        <item x="1593"/>
        <item x="1594"/>
        <item x="374"/>
        <item x="30"/>
        <item x="1258"/>
        <item x="946"/>
        <item x="714"/>
        <item x="947"/>
        <item x="948"/>
        <item x="1595"/>
        <item x="1596"/>
        <item x="1259"/>
        <item x="467"/>
        <item x="375"/>
        <item x="31"/>
        <item x="32"/>
        <item x="1260"/>
        <item x="1597"/>
        <item x="715"/>
        <item x="949"/>
        <item x="256"/>
        <item x="33"/>
        <item x="1261"/>
        <item x="1262"/>
        <item x="716"/>
        <item x="950"/>
        <item x="1263"/>
        <item x="951"/>
        <item x="952"/>
        <item x="34"/>
        <item x="376"/>
        <item x="257"/>
        <item x="1264"/>
        <item x="953"/>
        <item x="1265"/>
        <item x="717"/>
        <item x="35"/>
        <item x="1598"/>
        <item x="954"/>
        <item x="955"/>
        <item x="1599"/>
        <item x="1266"/>
        <item x="1600"/>
        <item x="718"/>
        <item x="956"/>
        <item x="1267"/>
        <item x="36"/>
        <item x="565"/>
        <item x="162"/>
        <item x="163"/>
        <item x="258"/>
        <item x="1601"/>
        <item x="957"/>
        <item x="1268"/>
        <item x="1269"/>
        <item x="377"/>
        <item x="259"/>
        <item x="719"/>
        <item x="1602"/>
        <item x="1270"/>
        <item x="1603"/>
        <item x="1271"/>
        <item x="1272"/>
        <item x="720"/>
        <item x="1604"/>
        <item x="1273"/>
        <item x="164"/>
        <item x="165"/>
        <item x="260"/>
        <item x="261"/>
        <item x="1605"/>
        <item x="721"/>
        <item x="1606"/>
        <item x="1274"/>
        <item x="468"/>
        <item x="469"/>
        <item x="1275"/>
        <item x="958"/>
        <item x="959"/>
        <item x="960"/>
        <item x="1276"/>
        <item x="1607"/>
        <item x="1277"/>
        <item x="1278"/>
        <item x="566"/>
        <item x="378"/>
        <item x="567"/>
        <item x="37"/>
        <item x="38"/>
        <item x="1279"/>
        <item x="961"/>
        <item x="962"/>
        <item x="722"/>
        <item x="262"/>
        <item x="470"/>
        <item x="1280"/>
        <item x="1281"/>
        <item x="963"/>
        <item x="723"/>
        <item x="964"/>
        <item x="965"/>
        <item x="1608"/>
        <item x="1282"/>
        <item x="39"/>
        <item x="40"/>
        <item x="41"/>
        <item x="263"/>
        <item x="471"/>
        <item x="1609"/>
        <item x="966"/>
        <item x="967"/>
        <item x="724"/>
        <item x="166"/>
        <item x="725"/>
        <item x="1283"/>
        <item x="968"/>
        <item x="1610"/>
        <item x="969"/>
        <item x="1284"/>
        <item x="726"/>
        <item x="727"/>
        <item x="1285"/>
        <item x="472"/>
        <item x="42"/>
        <item x="379"/>
        <item x="43"/>
        <item x="44"/>
        <item x="1286"/>
        <item x="1287"/>
        <item x="970"/>
        <item x="264"/>
        <item x="265"/>
        <item x="728"/>
        <item x="1288"/>
        <item x="971"/>
        <item x="972"/>
        <item x="729"/>
        <item x="973"/>
        <item x="1289"/>
        <item x="1611"/>
        <item x="1612"/>
        <item x="45"/>
        <item x="473"/>
        <item x="568"/>
        <item x="46"/>
        <item x="47"/>
        <item x="1290"/>
        <item x="1291"/>
        <item x="974"/>
        <item x="474"/>
        <item x="48"/>
        <item x="1292"/>
        <item x="730"/>
        <item x="1613"/>
        <item x="1614"/>
        <item x="975"/>
        <item x="976"/>
        <item x="977"/>
        <item x="731"/>
        <item x="1293"/>
        <item x="569"/>
        <item x="570"/>
        <item x="380"/>
        <item x="1294"/>
        <item x="1295"/>
        <item x="732"/>
        <item x="1296"/>
        <item x="49"/>
        <item x="571"/>
        <item x="1297"/>
        <item x="978"/>
        <item x="979"/>
        <item x="733"/>
        <item x="1615"/>
        <item x="1616"/>
        <item x="1617"/>
        <item x="734"/>
        <item x="50"/>
        <item x="475"/>
        <item x="266"/>
        <item x="167"/>
        <item x="476"/>
        <item x="1298"/>
        <item x="735"/>
        <item x="1299"/>
        <item x="477"/>
        <item x="168"/>
        <item x="1300"/>
        <item x="980"/>
        <item x="1618"/>
        <item x="1619"/>
        <item x="1620"/>
        <item x="1301"/>
        <item x="1302"/>
        <item x="1303"/>
        <item x="736"/>
        <item x="572"/>
        <item x="381"/>
        <item x="573"/>
        <item x="169"/>
        <item x="382"/>
        <item x="1304"/>
        <item x="1305"/>
        <item x="1621"/>
        <item x="267"/>
        <item x="574"/>
        <item x="1622"/>
        <item x="981"/>
        <item x="1623"/>
        <item x="982"/>
        <item x="737"/>
        <item x="983"/>
        <item x="1306"/>
        <item x="984"/>
        <item x="478"/>
        <item x="51"/>
        <item x="268"/>
        <item x="575"/>
        <item x="383"/>
        <item x="738"/>
        <item x="1624"/>
        <item x="479"/>
        <item x="384"/>
        <item x="1307"/>
        <item x="1308"/>
        <item x="1625"/>
        <item x="739"/>
        <item x="1626"/>
        <item x="1309"/>
        <item x="740"/>
        <item x="480"/>
        <item x="170"/>
        <item x="269"/>
        <item x="270"/>
        <item x="576"/>
        <item x="1627"/>
        <item x="1310"/>
        <item x="985"/>
        <item x="171"/>
        <item x="741"/>
        <item x="1311"/>
        <item x="742"/>
        <item x="743"/>
        <item x="986"/>
        <item x="1628"/>
        <item x="744"/>
        <item x="1312"/>
        <item x="172"/>
        <item x="385"/>
        <item x="577"/>
        <item x="386"/>
        <item x="578"/>
        <item x="1629"/>
        <item x="1313"/>
        <item x="987"/>
        <item x="1630"/>
        <item x="52"/>
        <item x="173"/>
        <item x="745"/>
        <item x="1631"/>
        <item x="988"/>
        <item x="746"/>
        <item x="1314"/>
        <item x="1632"/>
        <item x="989"/>
        <item x="747"/>
        <item x="1315"/>
        <item x="53"/>
        <item x="54"/>
        <item x="271"/>
        <item x="55"/>
        <item x="1316"/>
        <item x="1633"/>
        <item x="990"/>
        <item x="1317"/>
        <item x="387"/>
        <item x="481"/>
        <item x="991"/>
        <item x="1634"/>
        <item x="992"/>
        <item x="993"/>
        <item x="748"/>
        <item x="749"/>
        <item x="1318"/>
        <item x="388"/>
        <item x="272"/>
        <item x="579"/>
        <item x="273"/>
        <item x="389"/>
        <item x="1635"/>
        <item x="750"/>
        <item x="994"/>
        <item x="751"/>
        <item x="580"/>
        <item x="995"/>
        <item x="752"/>
        <item x="753"/>
        <item x="996"/>
        <item x="1636"/>
        <item x="1319"/>
        <item x="1320"/>
        <item x="754"/>
        <item x="581"/>
        <item x="482"/>
        <item x="174"/>
        <item x="56"/>
        <item x="274"/>
        <item x="1637"/>
        <item x="755"/>
        <item x="57"/>
        <item x="390"/>
        <item x="1321"/>
        <item x="1322"/>
        <item x="1638"/>
        <item x="1639"/>
        <item x="997"/>
        <item x="1323"/>
        <item x="998"/>
        <item x="756"/>
        <item x="757"/>
        <item x="175"/>
        <item x="58"/>
        <item x="483"/>
        <item x="176"/>
        <item x="275"/>
        <item x="1640"/>
        <item x="1641"/>
        <item x="999"/>
        <item x="758"/>
        <item x="276"/>
        <item x="277"/>
        <item x="1000"/>
        <item x="1001"/>
        <item x="1642"/>
        <item x="759"/>
        <item x="1643"/>
        <item x="1324"/>
        <item x="1325"/>
        <item x="760"/>
        <item x="1326"/>
        <item x="484"/>
        <item x="278"/>
        <item x="59"/>
        <item x="485"/>
        <item x="60"/>
        <item x="1327"/>
        <item x="761"/>
        <item x="1644"/>
        <item x="1328"/>
        <item x="61"/>
        <item x="762"/>
        <item x="1329"/>
        <item x="1645"/>
        <item x="1646"/>
        <item x="763"/>
        <item x="1330"/>
        <item x="764"/>
        <item x="1331"/>
        <item x="1332"/>
        <item x="582"/>
        <item x="391"/>
        <item x="392"/>
        <item x="279"/>
        <item x="1647"/>
        <item x="1333"/>
        <item x="1648"/>
        <item x="1002"/>
        <item x="583"/>
        <item x="486"/>
        <item x="765"/>
        <item x="766"/>
        <item x="1649"/>
        <item x="1003"/>
        <item x="767"/>
        <item x="1650"/>
        <item x="1004"/>
        <item x="1651"/>
        <item x="62"/>
        <item x="487"/>
        <item x="488"/>
        <item x="280"/>
        <item x="393"/>
        <item x="1652"/>
        <item x="768"/>
        <item x="1005"/>
        <item x="769"/>
        <item x="584"/>
        <item x="585"/>
        <item x="1334"/>
        <item x="1653"/>
        <item x="770"/>
        <item x="1006"/>
        <item x="1007"/>
        <item x="1008"/>
        <item x="1335"/>
        <item x="1654"/>
        <item x="1336"/>
        <item x="489"/>
        <item x="63"/>
        <item x="490"/>
        <item x="586"/>
        <item x="64"/>
        <item x="1337"/>
        <item x="1338"/>
        <item x="1655"/>
        <item x="1339"/>
        <item x="281"/>
        <item x="282"/>
        <item x="1340"/>
        <item x="1656"/>
        <item x="771"/>
        <item x="1341"/>
        <item x="772"/>
        <item x="773"/>
        <item x="1657"/>
        <item x="1342"/>
        <item x="774"/>
        <item x="177"/>
        <item x="491"/>
        <item x="587"/>
        <item x="1343"/>
        <item x="775"/>
        <item x="1009"/>
        <item x="588"/>
        <item x="65"/>
        <item x="1344"/>
        <item x="1345"/>
        <item x="776"/>
        <item x="1010"/>
        <item x="1658"/>
        <item x="1659"/>
        <item x="1660"/>
        <item x="1011"/>
        <item x="178"/>
        <item x="394"/>
        <item x="395"/>
        <item x="283"/>
        <item x="1346"/>
        <item x="1661"/>
        <item x="777"/>
        <item x="1662"/>
        <item x="589"/>
        <item x="778"/>
        <item x="1663"/>
        <item x="779"/>
        <item x="1664"/>
        <item x="1347"/>
        <item x="1665"/>
        <item x="1012"/>
        <item x="492"/>
        <item x="66"/>
        <item x="590"/>
        <item x="493"/>
        <item x="1666"/>
        <item x="1667"/>
        <item x="1013"/>
        <item x="67"/>
        <item x="284"/>
        <item x="1348"/>
        <item x="1349"/>
        <item x="1668"/>
        <item x="780"/>
        <item x="1350"/>
        <item x="781"/>
        <item x="1351"/>
        <item x="782"/>
        <item x="494"/>
        <item x="396"/>
        <item x="285"/>
        <item x="68"/>
        <item x="69"/>
        <item x="1669"/>
        <item x="1014"/>
        <item x="783"/>
        <item x="1015"/>
        <item x="286"/>
        <item x="495"/>
        <item x="1352"/>
        <item x="784"/>
        <item x="1670"/>
        <item x="1353"/>
        <item x="1671"/>
        <item x="785"/>
        <item x="1354"/>
        <item x="496"/>
        <item x="70"/>
        <item x="497"/>
        <item x="71"/>
        <item x="1672"/>
        <item x="1355"/>
        <item x="1356"/>
        <item x="1357"/>
        <item x="287"/>
        <item x="1016"/>
        <item x="1358"/>
        <item x="1017"/>
        <item x="1018"/>
        <item x="786"/>
        <item x="787"/>
        <item x="1359"/>
        <item x="1360"/>
        <item x="788"/>
        <item x="288"/>
        <item x="179"/>
        <item x="498"/>
        <item x="591"/>
        <item x="289"/>
        <item x="1673"/>
        <item x="1361"/>
        <item x="789"/>
        <item x="1019"/>
        <item x="72"/>
        <item x="592"/>
        <item x="1020"/>
        <item x="1362"/>
        <item x="1363"/>
        <item x="1021"/>
        <item x="1364"/>
        <item x="1674"/>
        <item x="1365"/>
        <item x="1675"/>
        <item x="1022"/>
        <item x="180"/>
        <item x="593"/>
        <item x="1676"/>
        <item x="790"/>
        <item x="1366"/>
        <item x="1023"/>
        <item x="594"/>
        <item x="595"/>
        <item x="1367"/>
        <item x="1368"/>
        <item x="1024"/>
        <item x="1369"/>
        <item x="1370"/>
        <item x="1371"/>
        <item x="1372"/>
        <item x="1025"/>
        <item x="181"/>
        <item x="73"/>
        <item x="74"/>
        <item x="75"/>
        <item x="1373"/>
        <item x="1677"/>
        <item x="1374"/>
        <item x="1375"/>
        <item x="290"/>
        <item x="596"/>
        <item x="1376"/>
        <item x="1678"/>
        <item x="1377"/>
        <item x="1679"/>
        <item x="1378"/>
        <item x="791"/>
        <item x="1026"/>
        <item x="1379"/>
        <item x="182"/>
        <item x="76"/>
        <item x="291"/>
        <item x="597"/>
        <item x="1027"/>
        <item x="1380"/>
        <item x="1028"/>
        <item x="183"/>
        <item x="184"/>
        <item x="1381"/>
        <item x="1382"/>
        <item x="1029"/>
        <item x="792"/>
        <item x="1680"/>
        <item x="793"/>
        <item x="1383"/>
        <item x="1030"/>
        <item x="794"/>
        <item x="77"/>
        <item x="185"/>
        <item x="397"/>
        <item x="398"/>
        <item x="1681"/>
        <item x="795"/>
        <item x="1031"/>
        <item x="1384"/>
        <item x="499"/>
        <item x="399"/>
        <item x="1032"/>
        <item x="1682"/>
        <item x="1033"/>
        <item x="796"/>
        <item x="797"/>
        <item x="1683"/>
        <item x="1684"/>
        <item x="1385"/>
        <item x="78"/>
        <item x="292"/>
        <item x="400"/>
        <item x="500"/>
        <item x="1386"/>
        <item x="798"/>
        <item x="1685"/>
        <item x="1686"/>
        <item x="293"/>
        <item x="79"/>
        <item x="1034"/>
        <item x="799"/>
        <item x="800"/>
        <item x="1687"/>
        <item x="1035"/>
        <item x="1036"/>
        <item x="1037"/>
        <item x="1038"/>
        <item x="186"/>
        <item x="401"/>
        <item x="598"/>
        <item x="294"/>
        <item x="295"/>
        <item x="1387"/>
        <item x="1688"/>
        <item x="1388"/>
        <item x="1389"/>
        <item x="296"/>
        <item x="80"/>
        <item x="801"/>
        <item x="802"/>
        <item x="1039"/>
        <item x="1390"/>
        <item x="1040"/>
        <item x="1041"/>
        <item x="803"/>
        <item x="1391"/>
        <item x="187"/>
        <item x="188"/>
        <item x="599"/>
        <item x="297"/>
        <item x="402"/>
        <item x="1392"/>
        <item x="804"/>
        <item x="1689"/>
        <item x="600"/>
        <item x="81"/>
        <item x="1042"/>
        <item x="1043"/>
        <item x="1393"/>
        <item x="1690"/>
        <item x="805"/>
        <item x="1394"/>
        <item x="1395"/>
        <item x="1691"/>
        <item x="1044"/>
        <item x="601"/>
        <item x="602"/>
        <item x="82"/>
        <item x="501"/>
        <item x="83"/>
        <item x="1396"/>
        <item x="1397"/>
        <item x="1398"/>
        <item x="1045"/>
        <item x="298"/>
        <item x="299"/>
        <item x="1399"/>
        <item x="1046"/>
        <item x="1692"/>
        <item x="1693"/>
        <item x="1694"/>
        <item x="1047"/>
        <item x="1048"/>
        <item x="1400"/>
        <item x="1401"/>
        <item x="502"/>
        <item x="403"/>
        <item x="84"/>
        <item x="85"/>
        <item x="503"/>
        <item x="1402"/>
        <item x="1403"/>
        <item x="1049"/>
        <item x="1404"/>
        <item x="86"/>
        <item x="300"/>
        <item x="1050"/>
        <item x="1405"/>
        <item x="1051"/>
        <item x="1052"/>
        <item x="1406"/>
        <item x="1695"/>
        <item x="1696"/>
        <item x="1407"/>
        <item x="87"/>
        <item x="603"/>
        <item x="504"/>
        <item x="505"/>
        <item x="1697"/>
        <item x="1053"/>
        <item x="1054"/>
        <item x="1408"/>
        <item x="189"/>
        <item x="190"/>
        <item x="806"/>
        <item x="807"/>
        <item x="1409"/>
        <item x="1055"/>
        <item x="808"/>
        <item x="1056"/>
        <item x="1057"/>
        <item x="1058"/>
        <item x="809"/>
        <item x="404"/>
        <item x="191"/>
        <item x="301"/>
        <item x="604"/>
        <item x="605"/>
        <item x="1410"/>
        <item x="1411"/>
        <item x="810"/>
        <item x="405"/>
        <item x="302"/>
        <item x="811"/>
        <item x="1059"/>
        <item x="812"/>
        <item x="1412"/>
        <item x="1698"/>
        <item x="1060"/>
        <item x="813"/>
        <item x="814"/>
        <item x="606"/>
        <item x="88"/>
        <item x="192"/>
        <item x="89"/>
        <item x="1699"/>
        <item x="1413"/>
        <item x="1700"/>
        <item x="815"/>
        <item x="90"/>
        <item x="193"/>
        <item x="1414"/>
        <item x="1415"/>
        <item x="1061"/>
        <item x="1416"/>
        <item x="1417"/>
        <item x="1418"/>
        <item x="1062"/>
        <item x="1701"/>
        <item x="1063"/>
        <item x="506"/>
        <item x="1419"/>
        <item x="1420"/>
        <item x="1702"/>
        <item x="1703"/>
        <item x="406"/>
        <item x="507"/>
        <item x="1064"/>
        <item x="816"/>
        <item x="1065"/>
        <item x="1421"/>
        <item x="1422"/>
        <item x="1704"/>
        <item x="1066"/>
        <item x="1067"/>
        <item x="1705"/>
        <item x="194"/>
        <item x="91"/>
        <item x="303"/>
        <item x="304"/>
        <item x="305"/>
        <item x="1706"/>
        <item x="1423"/>
        <item x="1424"/>
        <item x="92"/>
        <item x="93"/>
        <item x="1425"/>
        <item x="817"/>
        <item x="1707"/>
        <item x="818"/>
        <item x="1708"/>
        <item x="819"/>
        <item x="1068"/>
        <item x="1709"/>
        <item x="820"/>
        <item x="306"/>
        <item x="195"/>
        <item x="307"/>
        <item x="1710"/>
        <item x="821"/>
        <item x="1069"/>
        <item x="1426"/>
        <item x="94"/>
        <item x="308"/>
        <item x="822"/>
        <item x="1711"/>
        <item x="1712"/>
        <item x="1427"/>
        <item x="1713"/>
        <item x="1428"/>
        <item x="1429"/>
        <item x="1714"/>
        <item x="1430"/>
        <item x="309"/>
        <item x="95"/>
        <item x="96"/>
        <item x="407"/>
        <item x="97"/>
        <item x="1431"/>
        <item x="1070"/>
        <item x="1071"/>
        <item x="1715"/>
        <item x="98"/>
        <item x="196"/>
        <item x="1432"/>
        <item x="823"/>
        <item x="1433"/>
        <item x="1716"/>
        <item x="1717"/>
        <item x="824"/>
        <item x="1072"/>
        <item x="1073"/>
        <item x="310"/>
        <item x="508"/>
        <item x="509"/>
        <item x="1718"/>
        <item x="1074"/>
        <item x="825"/>
        <item x="1719"/>
        <item x="99"/>
        <item x="197"/>
        <item x="1075"/>
        <item x="1720"/>
        <item x="1721"/>
        <item x="1076"/>
        <item x="1434"/>
        <item x="1435"/>
        <item x="1077"/>
        <item x="1436"/>
        <item x="1078"/>
        <item x="100"/>
        <item x="607"/>
        <item x="101"/>
        <item x="510"/>
        <item x="408"/>
        <item x="1722"/>
        <item x="1079"/>
        <item x="1723"/>
        <item x="1724"/>
        <item x="511"/>
        <item x="608"/>
        <item x="1080"/>
        <item x="1081"/>
        <item x="826"/>
        <item x="1437"/>
        <item x="1082"/>
        <item x="1725"/>
        <item x="1726"/>
        <item x="1083"/>
        <item x="827"/>
        <item x="311"/>
        <item x="409"/>
        <item x="609"/>
        <item x="102"/>
        <item x="312"/>
        <item x="1727"/>
        <item x="1728"/>
        <item x="1729"/>
        <item x="1730"/>
        <item x="410"/>
        <item x="411"/>
        <item x="1731"/>
        <item x="1084"/>
        <item x="1732"/>
        <item x="1085"/>
        <item x="1733"/>
        <item x="1086"/>
        <item x="828"/>
        <item x="829"/>
        <item x="610"/>
        <item x="313"/>
        <item x="412"/>
        <item x="413"/>
        <item x="198"/>
        <item x="1438"/>
        <item x="1734"/>
        <item x="1735"/>
        <item x="103"/>
        <item x="1087"/>
        <item x="1088"/>
        <item x="830"/>
        <item x="1439"/>
        <item x="1736"/>
        <item x="1737"/>
        <item x="1738"/>
        <item x="831"/>
        <item x="414"/>
        <item x="512"/>
        <item x="104"/>
        <item x="611"/>
        <item x="415"/>
        <item x="1739"/>
        <item x="1440"/>
        <item x="1441"/>
        <item x="1442"/>
        <item x="314"/>
        <item x="1443"/>
        <item x="1444"/>
        <item x="1740"/>
        <item x="1089"/>
        <item x="1741"/>
        <item x="1445"/>
        <item x="1742"/>
        <item x="1446"/>
        <item x="416"/>
        <item x="199"/>
        <item x="315"/>
        <item x="1743"/>
        <item x="1447"/>
        <item x="1744"/>
        <item x="1448"/>
        <item x="417"/>
        <item x="200"/>
        <item x="1090"/>
        <item x="832"/>
        <item x="1449"/>
        <item x="833"/>
        <item x="834"/>
        <item x="835"/>
        <item x="836"/>
        <item x="1091"/>
        <item x="837"/>
        <item x="201"/>
        <item x="513"/>
        <item x="202"/>
        <item x="418"/>
        <item x="1450"/>
        <item x="1745"/>
        <item x="1092"/>
        <item x="1451"/>
        <item x="316"/>
        <item x="105"/>
        <item x="1452"/>
        <item x="1453"/>
        <item x="1454"/>
        <item x="1746"/>
        <item x="1455"/>
        <item x="1456"/>
        <item x="1457"/>
        <item x="1747"/>
        <item x="1458"/>
        <item x="612"/>
        <item x="203"/>
        <item x="106"/>
        <item x="107"/>
        <item x="108"/>
        <item x="1459"/>
        <item x="838"/>
        <item x="1093"/>
        <item x="204"/>
        <item x="419"/>
        <item x="1748"/>
        <item x="1749"/>
        <item x="1460"/>
        <item x="1750"/>
        <item x="1094"/>
        <item x="1095"/>
        <item x="1751"/>
        <item x="1752"/>
        <item x="317"/>
        <item x="109"/>
        <item x="205"/>
        <item x="613"/>
        <item x="206"/>
        <item x="1461"/>
        <item x="839"/>
        <item x="840"/>
        <item x="110"/>
        <item x="420"/>
        <item x="841"/>
        <item x="1096"/>
        <item x="1753"/>
        <item x="1462"/>
        <item x="1463"/>
        <item x="842"/>
        <item x="1464"/>
        <item x="1465"/>
        <item x="1466"/>
        <item x="514"/>
        <item x="318"/>
        <item x="111"/>
        <item x="319"/>
        <item x="1467"/>
        <item x="1754"/>
        <item x="1755"/>
        <item x="1756"/>
        <item x="207"/>
        <item x="1468"/>
        <item x="1097"/>
        <item x="1469"/>
        <item x="843"/>
        <item x="1470"/>
        <item x="1471"/>
        <item x="1098"/>
        <item x="1757"/>
        <item x="1472"/>
        <item x="320"/>
        <item x="112"/>
        <item x="113"/>
        <item x="208"/>
        <item x="321"/>
        <item x="1758"/>
        <item x="844"/>
        <item x="1099"/>
        <item x="1473"/>
        <item x="114"/>
        <item x="515"/>
        <item x="1474"/>
        <item x="1100"/>
        <item x="1101"/>
        <item x="1102"/>
        <item x="1103"/>
        <item x="1475"/>
        <item x="1759"/>
        <item x="1476"/>
        <item x="1477"/>
        <item x="516"/>
        <item x="115"/>
        <item x="322"/>
        <item x="421"/>
        <item x="614"/>
        <item x="1760"/>
        <item x="1478"/>
        <item x="1104"/>
        <item x="845"/>
        <item x="209"/>
        <item x="116"/>
        <item x="1761"/>
        <item x="1105"/>
        <item x="1106"/>
        <item x="1762"/>
        <item x="1107"/>
        <item x="1763"/>
        <item x="1108"/>
        <item x="1479"/>
        <item x="422"/>
        <item x="517"/>
        <item x="518"/>
        <item x="519"/>
        <item x="615"/>
        <item x="1480"/>
        <item x="1109"/>
        <item x="1481"/>
        <item x="210"/>
        <item x="117"/>
        <item x="846"/>
        <item x="1482"/>
        <item x="847"/>
        <item x="1110"/>
        <item x="1111"/>
        <item x="1112"/>
        <item x="1113"/>
        <item x="1114"/>
        <item x="1483"/>
        <item x="323"/>
        <item x="423"/>
        <item x="211"/>
        <item x="424"/>
        <item x="212"/>
        <item x="848"/>
        <item x="849"/>
        <item x="616"/>
        <item x="1484"/>
        <item x="1485"/>
        <item x="850"/>
        <item x="851"/>
        <item x="1115"/>
        <item x="1764"/>
        <item x="1765"/>
        <item x="1766"/>
        <item x="520"/>
        <item x="118"/>
        <item x="425"/>
        <item x="426"/>
        <item x="1486"/>
        <item x="852"/>
        <item x="1116"/>
        <item x="617"/>
        <item x="618"/>
        <item x="1487"/>
        <item x="853"/>
        <item x="1117"/>
        <item x="1767"/>
        <item x="854"/>
        <item x="1118"/>
        <item x="1119"/>
        <item x="1120"/>
        <item x="619"/>
        <item x="427"/>
        <item x="620"/>
        <item x="213"/>
        <item x="1488"/>
        <item x="855"/>
        <item x="1121"/>
        <item x="1122"/>
        <item x="621"/>
        <item x="1768"/>
        <item x="1769"/>
        <item x="856"/>
        <item x="857"/>
        <item x="1489"/>
        <item x="1490"/>
        <item x="1123"/>
        <item x="1491"/>
        <item x="521"/>
        <item x="428"/>
        <item x="429"/>
        <item x="622"/>
        <item x="119"/>
        <item x="1492"/>
        <item x="858"/>
        <item x="1770"/>
        <item x="623"/>
        <item x="214"/>
        <item x="859"/>
        <item x="860"/>
        <item x="1124"/>
        <item x="861"/>
        <item x="862"/>
        <item x="1771"/>
        <item x="863"/>
        <item x="1772"/>
        <item x="1493"/>
        <item x="324"/>
        <item x="325"/>
        <item x="326"/>
        <item x="120"/>
        <item x="327"/>
        <item x="1773"/>
        <item x="864"/>
        <item x="1774"/>
        <item x="1494"/>
        <item x="624"/>
        <item x="121"/>
        <item x="1775"/>
        <item x="1495"/>
        <item x="1125"/>
        <item x="865"/>
        <item x="1496"/>
        <item x="1497"/>
        <item x="122"/>
        <item x="522"/>
        <item x="328"/>
        <item x="329"/>
        <item x="523"/>
        <item x="866"/>
        <item x="1498"/>
        <item x="430"/>
        <item x="215"/>
        <item x="867"/>
        <item x="868"/>
        <item x="1776"/>
        <item x="1126"/>
        <item x="1499"/>
        <item x="1127"/>
        <item x="1500"/>
        <item x="1777"/>
        <item x="123"/>
        <item x="216"/>
        <item x="330"/>
        <item x="431"/>
        <item x="1778"/>
        <item x="1779"/>
        <item x="217"/>
        <item x="432"/>
        <item x="1780"/>
        <item x="869"/>
        <item x="1781"/>
        <item x="1501"/>
        <item x="870"/>
        <item x="871"/>
        <item x="1128"/>
        <item x="331"/>
        <item x="332"/>
        <item x="524"/>
        <item x="333"/>
        <item x="124"/>
        <item x="1782"/>
        <item x="1783"/>
        <item x="1502"/>
        <item x="218"/>
        <item x="219"/>
        <item x="1784"/>
        <item x="1785"/>
        <item x="872"/>
        <item x="1129"/>
        <item x="873"/>
        <item x="1786"/>
        <item x="1787"/>
        <item x="1788"/>
        <item x="874"/>
        <item x="125"/>
        <item x="625"/>
        <item x="525"/>
        <item x="433"/>
        <item x="626"/>
        <item x="1503"/>
        <item x="1789"/>
        <item x="1130"/>
        <item x="1504"/>
        <item x="220"/>
        <item x="126"/>
        <item x="1790"/>
        <item x="1505"/>
        <item x="1131"/>
        <item x="1791"/>
        <item x="1506"/>
        <item x="1132"/>
        <item x="1507"/>
        <item x="221"/>
        <item x="526"/>
        <item x="434"/>
        <item x="334"/>
        <item x="335"/>
        <item x="1508"/>
        <item x="1509"/>
        <item x="1510"/>
        <item x="1792"/>
        <item x="336"/>
        <item x="875"/>
        <item x="1793"/>
        <item x="1794"/>
        <item x="1133"/>
        <item x="1134"/>
        <item x="1511"/>
        <item x="876"/>
        <item x="1135"/>
        <item x="1512"/>
        <item x="127"/>
        <item x="222"/>
        <item x="627"/>
        <item x="223"/>
        <item x="435"/>
        <item x="1513"/>
        <item x="1795"/>
        <item x="877"/>
        <item x="1796"/>
        <item x="527"/>
        <item x="628"/>
        <item x="1514"/>
        <item x="1136"/>
        <item x="1515"/>
        <item x="878"/>
        <item x="879"/>
        <item x="1516"/>
        <item x="880"/>
        <item x="1797"/>
        <item x="1517"/>
        <item x="436"/>
        <item x="224"/>
        <item x="629"/>
        <item x="528"/>
        <item x="1518"/>
        <item x="1798"/>
        <item x="1799"/>
        <item x="1519"/>
        <item x="529"/>
        <item x="128"/>
        <item x="1137"/>
        <item x="1800"/>
        <item x="1520"/>
        <item x="1521"/>
        <item x="881"/>
        <item x="1522"/>
        <item x="1801"/>
        <item x="882"/>
        <item x="1523"/>
        <item x="225"/>
        <item x="337"/>
        <item x="437"/>
        <item x="129"/>
        <item x="338"/>
        <item x="883"/>
        <item x="1524"/>
        <item x="1802"/>
        <item x="630"/>
        <item x="438"/>
        <item x="1138"/>
        <item x="1139"/>
        <item x="1525"/>
        <item x="1803"/>
        <item x="1140"/>
        <item x="884"/>
        <item x="1804"/>
        <item x="1526"/>
        <item x="1141"/>
        <item x="631"/>
        <item x="439"/>
        <item x="632"/>
        <item x="530"/>
        <item x="1805"/>
        <item x="1142"/>
        <item x="1806"/>
        <item x="130"/>
        <item t="default"/>
      </items>
    </pivotField>
    <pivotField axis="axisRow" showAll="0">
      <items count="4">
        <item sd="0" x="1"/>
        <item sd="0" x="0"/>
        <item sd="0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dataField="1" showAll="0"/>
    <pivotField showAll="0"/>
    <pivotField dataField="1" showAll="0"/>
    <pivotField numFmtId="2"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st per mile" fld="16" baseField="0" baseItem="0" numFmtId="4"/>
    <dataField name="Sum of Revenue per mile" fld="18" baseField="1" baseItem="0" numFmtId="4"/>
  </dataFields>
  <formats count="13">
    <format dxfId="124">
      <pivotArea type="all" dataOnly="0" outline="0" fieldPosition="0"/>
    </format>
    <format dxfId="125">
      <pivotArea outline="0" collapsedLevelsAreSubtotals="1" fieldPosition="0"/>
    </format>
    <format dxfId="126">
      <pivotArea field="1" type="button" dataOnly="0" labelOnly="1" outline="0" axis="axisRow" fieldPosition="0"/>
    </format>
    <format dxfId="127">
      <pivotArea dataOnly="0" labelOnly="1" fieldPosition="0">
        <references count="1">
          <reference field="1" count="0"/>
        </references>
      </pivotArea>
    </format>
    <format dxfId="128">
      <pivotArea dataOnly="0" labelOnly="1" grandRow="1" outline="0" fieldPosition="0"/>
    </format>
    <format dxfId="1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0">
      <pivotArea type="all" dataOnly="0" outline="0" fieldPosition="0"/>
    </format>
    <format dxfId="131">
      <pivotArea outline="0" fieldPosition="0">
        <references count="1">
          <reference field="4294967294" count="1">
            <x v="1"/>
          </reference>
        </references>
      </pivotArea>
    </format>
    <format dxfId="58">
      <pivotArea field="1" type="button" dataOnly="0" labelOnly="1" outline="0" axis="axisRow" fieldPosition="0"/>
    </format>
    <format dxfId="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outline="0" collapsedLevelsAreSubtotals="1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C0651-F7E1-4BA1-BD57-9ACE66BA5CE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1:D33" firstHeaderRow="1" firstDataRow="1" firstDataCol="1"/>
  <pivotFields count="26">
    <pivotField axis="axisRow" showAll="0" measureFilter="1">
      <items count="1809">
        <item x="885"/>
        <item x="1143"/>
        <item x="633"/>
        <item x="1527"/>
        <item x="886"/>
        <item x="634"/>
        <item x="635"/>
        <item x="887"/>
        <item x="0"/>
        <item x="531"/>
        <item x="440"/>
        <item x="1"/>
        <item x="1528"/>
        <item x="1529"/>
        <item x="636"/>
        <item x="131"/>
        <item x="441"/>
        <item x="1144"/>
        <item x="1145"/>
        <item x="1530"/>
        <item x="1146"/>
        <item x="1147"/>
        <item x="1148"/>
        <item x="1149"/>
        <item x="637"/>
        <item x="2"/>
        <item x="339"/>
        <item x="132"/>
        <item x="1531"/>
        <item x="1532"/>
        <item x="1150"/>
        <item x="1151"/>
        <item x="340"/>
        <item x="341"/>
        <item x="888"/>
        <item x="638"/>
        <item x="889"/>
        <item x="890"/>
        <item x="891"/>
        <item x="1152"/>
        <item x="1153"/>
        <item x="3"/>
        <item x="342"/>
        <item x="133"/>
        <item x="226"/>
        <item x="532"/>
        <item x="1533"/>
        <item x="639"/>
        <item x="1534"/>
        <item x="4"/>
        <item x="134"/>
        <item x="1154"/>
        <item x="892"/>
        <item x="640"/>
        <item x="893"/>
        <item x="641"/>
        <item x="642"/>
        <item x="643"/>
        <item x="1155"/>
        <item x="227"/>
        <item x="533"/>
        <item x="135"/>
        <item x="343"/>
        <item x="644"/>
        <item x="894"/>
        <item x="442"/>
        <item x="443"/>
        <item x="645"/>
        <item x="1156"/>
        <item x="1535"/>
        <item x="646"/>
        <item x="1157"/>
        <item x="534"/>
        <item x="136"/>
        <item x="344"/>
        <item x="535"/>
        <item x="137"/>
        <item x="647"/>
        <item x="1807"/>
        <item x="1536"/>
        <item x="536"/>
        <item x="444"/>
        <item x="648"/>
        <item x="895"/>
        <item x="1537"/>
        <item x="1538"/>
        <item x="1158"/>
        <item x="896"/>
        <item x="1159"/>
        <item x="1539"/>
        <item x="649"/>
        <item x="445"/>
        <item x="537"/>
        <item x="228"/>
        <item x="138"/>
        <item x="229"/>
        <item x="1540"/>
        <item x="1160"/>
        <item x="897"/>
        <item x="650"/>
        <item x="538"/>
        <item x="345"/>
        <item x="651"/>
        <item x="1541"/>
        <item x="1542"/>
        <item x="1543"/>
        <item x="652"/>
        <item x="898"/>
        <item x="899"/>
        <item x="5"/>
        <item x="539"/>
        <item x="346"/>
        <item x="6"/>
        <item x="1161"/>
        <item x="1544"/>
        <item x="1162"/>
        <item x="1163"/>
        <item x="230"/>
        <item x="7"/>
        <item x="1164"/>
        <item x="653"/>
        <item x="900"/>
        <item x="1165"/>
        <item x="654"/>
        <item x="655"/>
        <item x="656"/>
        <item x="1545"/>
        <item x="657"/>
        <item x="8"/>
        <item x="347"/>
        <item x="348"/>
        <item x="349"/>
        <item x="901"/>
        <item x="902"/>
        <item x="658"/>
        <item x="231"/>
        <item x="9"/>
        <item x="903"/>
        <item x="1166"/>
        <item x="904"/>
        <item x="905"/>
        <item x="1167"/>
        <item x="1546"/>
        <item x="906"/>
        <item x="1168"/>
        <item x="139"/>
        <item x="540"/>
        <item x="232"/>
        <item x="350"/>
        <item x="351"/>
        <item x="1169"/>
        <item x="1170"/>
        <item x="1547"/>
        <item x="10"/>
        <item x="352"/>
        <item x="1171"/>
        <item x="1172"/>
        <item x="1548"/>
        <item x="659"/>
        <item x="907"/>
        <item x="1173"/>
        <item x="1174"/>
        <item x="660"/>
        <item x="446"/>
        <item x="233"/>
        <item x="140"/>
        <item x="11"/>
        <item x="1549"/>
        <item x="1175"/>
        <item x="1176"/>
        <item x="141"/>
        <item x="541"/>
        <item x="1177"/>
        <item x="661"/>
        <item x="662"/>
        <item x="1178"/>
        <item x="663"/>
        <item x="1179"/>
        <item x="664"/>
        <item x="542"/>
        <item x="353"/>
        <item x="142"/>
        <item x="234"/>
        <item x="1180"/>
        <item x="1550"/>
        <item x="1551"/>
        <item x="1552"/>
        <item x="354"/>
        <item x="543"/>
        <item x="1553"/>
        <item x="665"/>
        <item x="1181"/>
        <item x="1554"/>
        <item x="666"/>
        <item x="667"/>
        <item x="447"/>
        <item x="544"/>
        <item x="143"/>
        <item x="448"/>
        <item x="355"/>
        <item x="1182"/>
        <item x="908"/>
        <item x="909"/>
        <item x="545"/>
        <item x="12"/>
        <item x="668"/>
        <item x="1183"/>
        <item x="1184"/>
        <item x="1555"/>
        <item x="910"/>
        <item x="1556"/>
        <item x="1185"/>
        <item x="1557"/>
        <item x="669"/>
        <item x="449"/>
        <item x="450"/>
        <item x="356"/>
        <item x="144"/>
        <item x="1186"/>
        <item x="911"/>
        <item x="670"/>
        <item x="671"/>
        <item x="13"/>
        <item x="912"/>
        <item x="1187"/>
        <item x="672"/>
        <item x="1188"/>
        <item x="913"/>
        <item x="673"/>
        <item x="674"/>
        <item x="451"/>
        <item x="357"/>
        <item x="546"/>
        <item x="235"/>
        <item x="14"/>
        <item x="1189"/>
        <item x="675"/>
        <item x="1190"/>
        <item x="1191"/>
        <item x="236"/>
        <item x="145"/>
        <item x="1192"/>
        <item x="914"/>
        <item x="1558"/>
        <item x="676"/>
        <item x="677"/>
        <item x="1193"/>
        <item x="678"/>
        <item x="547"/>
        <item x="146"/>
        <item x="237"/>
        <item x="452"/>
        <item x="238"/>
        <item x="1194"/>
        <item x="1195"/>
        <item x="679"/>
        <item x="548"/>
        <item x="453"/>
        <item x="915"/>
        <item x="680"/>
        <item x="1196"/>
        <item x="1197"/>
        <item x="1198"/>
        <item x="681"/>
        <item x="1199"/>
        <item x="1559"/>
        <item x="1200"/>
        <item x="549"/>
        <item x="454"/>
        <item x="239"/>
        <item x="550"/>
        <item x="15"/>
        <item x="1201"/>
        <item x="1202"/>
        <item x="1203"/>
        <item x="916"/>
        <item x="16"/>
        <item x="682"/>
        <item x="917"/>
        <item x="1560"/>
        <item x="683"/>
        <item x="1561"/>
        <item x="1204"/>
        <item x="918"/>
        <item x="240"/>
        <item x="241"/>
        <item x="551"/>
        <item x="455"/>
        <item x="552"/>
        <item x="1562"/>
        <item x="919"/>
        <item x="1205"/>
        <item x="684"/>
        <item x="17"/>
        <item x="242"/>
        <item x="685"/>
        <item x="920"/>
        <item x="686"/>
        <item x="921"/>
        <item x="1206"/>
        <item x="1207"/>
        <item x="1563"/>
        <item x="922"/>
        <item x="18"/>
        <item x="19"/>
        <item x="243"/>
        <item x="456"/>
        <item x="457"/>
        <item x="923"/>
        <item x="1564"/>
        <item x="1208"/>
        <item x="20"/>
        <item x="553"/>
        <item x="687"/>
        <item x="1565"/>
        <item x="924"/>
        <item x="1209"/>
        <item x="1210"/>
        <item x="1566"/>
        <item x="1211"/>
        <item x="358"/>
        <item x="21"/>
        <item x="458"/>
        <item x="359"/>
        <item x="244"/>
        <item x="1567"/>
        <item x="688"/>
        <item x="925"/>
        <item x="926"/>
        <item x="22"/>
        <item x="147"/>
        <item x="1568"/>
        <item x="1212"/>
        <item x="689"/>
        <item x="927"/>
        <item x="1569"/>
        <item x="690"/>
        <item x="691"/>
        <item x="245"/>
        <item x="148"/>
        <item x="149"/>
        <item x="360"/>
        <item x="246"/>
        <item x="1213"/>
        <item x="1570"/>
        <item x="1571"/>
        <item x="692"/>
        <item x="247"/>
        <item x="150"/>
        <item x="1214"/>
        <item x="693"/>
        <item x="928"/>
        <item x="1215"/>
        <item x="1572"/>
        <item x="1216"/>
        <item x="459"/>
        <item x="460"/>
        <item x="554"/>
        <item x="555"/>
        <item x="248"/>
        <item x="1217"/>
        <item x="1218"/>
        <item x="1219"/>
        <item x="1573"/>
        <item x="249"/>
        <item x="556"/>
        <item x="1220"/>
        <item x="1221"/>
        <item x="929"/>
        <item x="694"/>
        <item x="1222"/>
        <item x="930"/>
        <item x="1223"/>
        <item x="931"/>
        <item x="932"/>
        <item x="361"/>
        <item x="362"/>
        <item x="250"/>
        <item x="363"/>
        <item x="557"/>
        <item x="1224"/>
        <item x="695"/>
        <item x="696"/>
        <item x="1225"/>
        <item x="364"/>
        <item x="151"/>
        <item x="1226"/>
        <item x="697"/>
        <item x="1574"/>
        <item x="698"/>
        <item x="1575"/>
        <item x="1576"/>
        <item x="1227"/>
        <item x="1228"/>
        <item x="933"/>
        <item x="461"/>
        <item x="365"/>
        <item x="23"/>
        <item x="24"/>
        <item x="558"/>
        <item x="1229"/>
        <item x="934"/>
        <item x="1230"/>
        <item x="935"/>
        <item x="559"/>
        <item x="152"/>
        <item x="1231"/>
        <item x="699"/>
        <item x="1577"/>
        <item x="1232"/>
        <item x="936"/>
        <item x="700"/>
        <item x="1578"/>
        <item x="1233"/>
        <item x="25"/>
        <item x="26"/>
        <item x="251"/>
        <item x="366"/>
        <item x="252"/>
        <item x="1579"/>
        <item x="1580"/>
        <item x="1581"/>
        <item x="1582"/>
        <item x="367"/>
        <item x="27"/>
        <item x="701"/>
        <item x="937"/>
        <item x="938"/>
        <item x="1234"/>
        <item x="1583"/>
        <item x="1235"/>
        <item x="1584"/>
        <item x="1236"/>
        <item x="368"/>
        <item x="462"/>
        <item x="153"/>
        <item x="154"/>
        <item x="560"/>
        <item x="1237"/>
        <item x="939"/>
        <item x="702"/>
        <item x="155"/>
        <item x="28"/>
        <item x="940"/>
        <item x="703"/>
        <item x="704"/>
        <item x="1238"/>
        <item x="1239"/>
        <item x="1240"/>
        <item x="705"/>
        <item x="1241"/>
        <item x="369"/>
        <item x="253"/>
        <item x="254"/>
        <item x="463"/>
        <item x="1242"/>
        <item x="706"/>
        <item x="1243"/>
        <item x="1585"/>
        <item x="255"/>
        <item x="29"/>
        <item x="1244"/>
        <item x="707"/>
        <item x="1245"/>
        <item x="1246"/>
        <item x="1586"/>
        <item x="1247"/>
        <item x="1587"/>
        <item x="1248"/>
        <item x="464"/>
        <item x="370"/>
        <item x="156"/>
        <item x="465"/>
        <item x="157"/>
        <item x="1249"/>
        <item x="941"/>
        <item x="1250"/>
        <item x="1251"/>
        <item x="371"/>
        <item x="1252"/>
        <item x="708"/>
        <item x="1253"/>
        <item x="942"/>
        <item x="1588"/>
        <item x="1589"/>
        <item x="709"/>
        <item x="1590"/>
        <item x="1254"/>
        <item x="158"/>
        <item x="561"/>
        <item x="562"/>
        <item x="159"/>
        <item x="1255"/>
        <item x="710"/>
        <item x="563"/>
        <item x="466"/>
        <item x="1256"/>
        <item x="711"/>
        <item x="943"/>
        <item x="712"/>
        <item x="944"/>
        <item x="945"/>
        <item x="1257"/>
        <item x="713"/>
        <item x="372"/>
        <item x="160"/>
        <item x="373"/>
        <item x="161"/>
        <item x="564"/>
        <item x="1591"/>
        <item x="1592"/>
        <item x="1593"/>
        <item x="1594"/>
        <item x="374"/>
        <item x="30"/>
        <item x="1258"/>
        <item x="946"/>
        <item x="714"/>
        <item x="947"/>
        <item x="948"/>
        <item x="1595"/>
        <item x="1596"/>
        <item x="1259"/>
        <item x="467"/>
        <item x="375"/>
        <item x="31"/>
        <item x="32"/>
        <item x="1260"/>
        <item x="1597"/>
        <item x="715"/>
        <item x="949"/>
        <item x="256"/>
        <item x="33"/>
        <item x="1261"/>
        <item x="1262"/>
        <item x="716"/>
        <item x="950"/>
        <item x="1263"/>
        <item x="951"/>
        <item x="952"/>
        <item x="34"/>
        <item x="376"/>
        <item x="257"/>
        <item x="1264"/>
        <item x="953"/>
        <item x="1265"/>
        <item x="717"/>
        <item x="35"/>
        <item x="1598"/>
        <item x="954"/>
        <item x="955"/>
        <item x="1599"/>
        <item x="1266"/>
        <item x="1600"/>
        <item x="718"/>
        <item x="956"/>
        <item x="1267"/>
        <item x="36"/>
        <item x="565"/>
        <item x="162"/>
        <item x="163"/>
        <item x="258"/>
        <item x="1601"/>
        <item x="957"/>
        <item x="1268"/>
        <item x="1269"/>
        <item x="377"/>
        <item x="259"/>
        <item x="719"/>
        <item x="1602"/>
        <item x="1270"/>
        <item x="1603"/>
        <item x="1271"/>
        <item x="1272"/>
        <item x="720"/>
        <item x="1604"/>
        <item x="1273"/>
        <item x="164"/>
        <item x="165"/>
        <item x="260"/>
        <item x="261"/>
        <item x="1605"/>
        <item x="721"/>
        <item x="1606"/>
        <item x="1274"/>
        <item x="468"/>
        <item x="469"/>
        <item x="1275"/>
        <item x="958"/>
        <item x="959"/>
        <item x="960"/>
        <item x="1276"/>
        <item x="1607"/>
        <item x="1277"/>
        <item x="1278"/>
        <item x="566"/>
        <item x="378"/>
        <item x="567"/>
        <item x="37"/>
        <item x="38"/>
        <item x="1279"/>
        <item x="961"/>
        <item x="962"/>
        <item x="722"/>
        <item x="262"/>
        <item x="470"/>
        <item x="1280"/>
        <item x="1281"/>
        <item x="963"/>
        <item x="723"/>
        <item x="964"/>
        <item x="965"/>
        <item x="1608"/>
        <item x="1282"/>
        <item x="39"/>
        <item x="40"/>
        <item x="41"/>
        <item x="263"/>
        <item x="471"/>
        <item x="1609"/>
        <item x="966"/>
        <item x="967"/>
        <item x="724"/>
        <item x="166"/>
        <item x="725"/>
        <item x="1283"/>
        <item x="968"/>
        <item x="1610"/>
        <item x="969"/>
        <item x="1284"/>
        <item x="726"/>
        <item x="727"/>
        <item x="1285"/>
        <item x="472"/>
        <item x="42"/>
        <item x="379"/>
        <item x="43"/>
        <item x="44"/>
        <item x="1286"/>
        <item x="1287"/>
        <item x="970"/>
        <item x="264"/>
        <item x="265"/>
        <item x="728"/>
        <item x="1288"/>
        <item x="971"/>
        <item x="972"/>
        <item x="729"/>
        <item x="973"/>
        <item x="1289"/>
        <item x="1611"/>
        <item x="1612"/>
        <item x="45"/>
        <item x="473"/>
        <item x="568"/>
        <item x="46"/>
        <item x="47"/>
        <item x="1290"/>
        <item x="1291"/>
        <item x="974"/>
        <item x="474"/>
        <item x="48"/>
        <item x="1292"/>
        <item x="730"/>
        <item x="1613"/>
        <item x="1614"/>
        <item x="975"/>
        <item x="976"/>
        <item x="977"/>
        <item x="731"/>
        <item x="1293"/>
        <item x="569"/>
        <item x="570"/>
        <item x="380"/>
        <item x="1294"/>
        <item x="1295"/>
        <item x="732"/>
        <item x="1296"/>
        <item x="49"/>
        <item x="571"/>
        <item x="1297"/>
        <item x="978"/>
        <item x="979"/>
        <item x="733"/>
        <item x="1615"/>
        <item x="1616"/>
        <item x="1617"/>
        <item x="734"/>
        <item x="50"/>
        <item x="475"/>
        <item x="266"/>
        <item x="167"/>
        <item x="476"/>
        <item x="1298"/>
        <item x="735"/>
        <item x="1299"/>
        <item x="477"/>
        <item x="168"/>
        <item x="1300"/>
        <item x="980"/>
        <item x="1618"/>
        <item x="1619"/>
        <item x="1620"/>
        <item x="1301"/>
        <item x="1302"/>
        <item x="1303"/>
        <item x="736"/>
        <item x="572"/>
        <item x="381"/>
        <item x="573"/>
        <item x="169"/>
        <item x="382"/>
        <item x="1304"/>
        <item x="1305"/>
        <item x="1621"/>
        <item x="267"/>
        <item x="574"/>
        <item x="1622"/>
        <item x="981"/>
        <item x="1623"/>
        <item x="982"/>
        <item x="737"/>
        <item x="983"/>
        <item x="1306"/>
        <item x="984"/>
        <item x="478"/>
        <item x="51"/>
        <item x="268"/>
        <item x="575"/>
        <item x="383"/>
        <item x="738"/>
        <item x="1624"/>
        <item x="479"/>
        <item x="384"/>
        <item x="1307"/>
        <item x="1308"/>
        <item x="1625"/>
        <item x="739"/>
        <item x="1626"/>
        <item x="1309"/>
        <item x="740"/>
        <item x="480"/>
        <item x="170"/>
        <item x="269"/>
        <item x="270"/>
        <item x="576"/>
        <item x="1627"/>
        <item x="1310"/>
        <item x="985"/>
        <item x="171"/>
        <item x="741"/>
        <item x="1311"/>
        <item x="742"/>
        <item x="743"/>
        <item x="986"/>
        <item x="1628"/>
        <item x="744"/>
        <item x="1312"/>
        <item x="172"/>
        <item x="385"/>
        <item x="577"/>
        <item x="386"/>
        <item x="578"/>
        <item x="1629"/>
        <item x="1313"/>
        <item x="987"/>
        <item x="1630"/>
        <item x="52"/>
        <item x="173"/>
        <item x="745"/>
        <item x="1631"/>
        <item x="988"/>
        <item x="746"/>
        <item x="1314"/>
        <item x="1632"/>
        <item x="989"/>
        <item x="747"/>
        <item x="1315"/>
        <item x="53"/>
        <item x="54"/>
        <item x="271"/>
        <item x="55"/>
        <item x="1316"/>
        <item x="1633"/>
        <item x="990"/>
        <item x="1317"/>
        <item x="387"/>
        <item x="481"/>
        <item x="991"/>
        <item x="1634"/>
        <item x="992"/>
        <item x="993"/>
        <item x="748"/>
        <item x="749"/>
        <item x="1318"/>
        <item x="388"/>
        <item x="272"/>
        <item x="579"/>
        <item x="273"/>
        <item x="389"/>
        <item x="1635"/>
        <item x="750"/>
        <item x="994"/>
        <item x="751"/>
        <item x="580"/>
        <item x="995"/>
        <item x="752"/>
        <item x="753"/>
        <item x="996"/>
        <item x="1636"/>
        <item x="1319"/>
        <item x="1320"/>
        <item x="754"/>
        <item x="581"/>
        <item x="482"/>
        <item x="174"/>
        <item x="56"/>
        <item x="274"/>
        <item x="1637"/>
        <item x="755"/>
        <item x="57"/>
        <item x="390"/>
        <item x="1321"/>
        <item x="1322"/>
        <item x="1638"/>
        <item x="1639"/>
        <item x="997"/>
        <item x="1323"/>
        <item x="998"/>
        <item x="756"/>
        <item x="757"/>
        <item x="175"/>
        <item x="58"/>
        <item x="483"/>
        <item x="176"/>
        <item x="275"/>
        <item x="1640"/>
        <item x="1641"/>
        <item x="999"/>
        <item x="758"/>
        <item x="276"/>
        <item x="277"/>
        <item x="1000"/>
        <item x="1001"/>
        <item x="1642"/>
        <item x="759"/>
        <item x="1643"/>
        <item x="1324"/>
        <item x="1325"/>
        <item x="760"/>
        <item x="1326"/>
        <item x="484"/>
        <item x="278"/>
        <item x="59"/>
        <item x="485"/>
        <item x="60"/>
        <item x="1327"/>
        <item x="761"/>
        <item x="1644"/>
        <item x="1328"/>
        <item x="61"/>
        <item x="762"/>
        <item x="1329"/>
        <item x="1645"/>
        <item x="1646"/>
        <item x="763"/>
        <item x="1330"/>
        <item x="764"/>
        <item x="1331"/>
        <item x="1332"/>
        <item x="582"/>
        <item x="391"/>
        <item x="392"/>
        <item x="279"/>
        <item x="1647"/>
        <item x="1333"/>
        <item x="1648"/>
        <item x="1002"/>
        <item x="583"/>
        <item x="486"/>
        <item x="765"/>
        <item x="766"/>
        <item x="1649"/>
        <item x="1003"/>
        <item x="767"/>
        <item x="1650"/>
        <item x="1004"/>
        <item x="1651"/>
        <item x="62"/>
        <item x="487"/>
        <item x="488"/>
        <item x="280"/>
        <item x="393"/>
        <item x="1652"/>
        <item x="768"/>
        <item x="1005"/>
        <item x="769"/>
        <item x="584"/>
        <item x="585"/>
        <item x="1334"/>
        <item x="1653"/>
        <item x="770"/>
        <item x="1006"/>
        <item x="1007"/>
        <item x="1008"/>
        <item x="1335"/>
        <item x="1654"/>
        <item x="1336"/>
        <item x="489"/>
        <item x="63"/>
        <item x="490"/>
        <item x="586"/>
        <item x="64"/>
        <item x="1337"/>
        <item x="1338"/>
        <item x="1655"/>
        <item x="1339"/>
        <item x="281"/>
        <item x="282"/>
        <item x="1340"/>
        <item x="1656"/>
        <item x="771"/>
        <item x="1341"/>
        <item x="772"/>
        <item x="773"/>
        <item x="1657"/>
        <item x="1342"/>
        <item x="774"/>
        <item x="177"/>
        <item x="491"/>
        <item x="587"/>
        <item x="1343"/>
        <item x="775"/>
        <item x="1009"/>
        <item x="588"/>
        <item x="65"/>
        <item x="1344"/>
        <item x="1345"/>
        <item x="776"/>
        <item x="1010"/>
        <item x="1658"/>
        <item x="1659"/>
        <item x="1660"/>
        <item x="1011"/>
        <item x="178"/>
        <item x="394"/>
        <item x="395"/>
        <item x="283"/>
        <item x="1346"/>
        <item x="1661"/>
        <item x="777"/>
        <item x="1662"/>
        <item x="589"/>
        <item x="778"/>
        <item x="1663"/>
        <item x="779"/>
        <item x="1664"/>
        <item x="1347"/>
        <item x="1665"/>
        <item x="1012"/>
        <item x="492"/>
        <item x="66"/>
        <item x="590"/>
        <item x="493"/>
        <item x="1666"/>
        <item x="1667"/>
        <item x="1013"/>
        <item x="67"/>
        <item x="284"/>
        <item x="1348"/>
        <item x="1349"/>
        <item x="1668"/>
        <item x="780"/>
        <item x="1350"/>
        <item x="781"/>
        <item x="1351"/>
        <item x="782"/>
        <item x="494"/>
        <item x="396"/>
        <item x="285"/>
        <item x="68"/>
        <item x="69"/>
        <item x="1669"/>
        <item x="1014"/>
        <item x="783"/>
        <item x="1015"/>
        <item x="286"/>
        <item x="495"/>
        <item x="1352"/>
        <item x="784"/>
        <item x="1670"/>
        <item x="1353"/>
        <item x="1671"/>
        <item x="785"/>
        <item x="1354"/>
        <item x="496"/>
        <item x="70"/>
        <item x="497"/>
        <item x="71"/>
        <item x="1672"/>
        <item x="1355"/>
        <item x="1356"/>
        <item x="1357"/>
        <item x="287"/>
        <item x="1016"/>
        <item x="1358"/>
        <item x="1017"/>
        <item x="1018"/>
        <item x="786"/>
        <item x="787"/>
        <item x="1359"/>
        <item x="1360"/>
        <item x="788"/>
        <item x="288"/>
        <item x="179"/>
        <item x="498"/>
        <item x="591"/>
        <item x="289"/>
        <item x="1673"/>
        <item x="1361"/>
        <item x="789"/>
        <item x="1019"/>
        <item x="72"/>
        <item x="592"/>
        <item x="1020"/>
        <item x="1362"/>
        <item x="1363"/>
        <item x="1021"/>
        <item x="1364"/>
        <item x="1674"/>
        <item x="1365"/>
        <item x="1675"/>
        <item x="1022"/>
        <item x="180"/>
        <item x="593"/>
        <item x="1676"/>
        <item x="790"/>
        <item x="1366"/>
        <item x="1023"/>
        <item x="594"/>
        <item x="595"/>
        <item x="1367"/>
        <item x="1368"/>
        <item x="1024"/>
        <item x="1369"/>
        <item x="1370"/>
        <item x="1371"/>
        <item x="1372"/>
        <item x="1025"/>
        <item x="181"/>
        <item x="73"/>
        <item x="74"/>
        <item x="75"/>
        <item x="1373"/>
        <item x="1677"/>
        <item x="1374"/>
        <item x="1375"/>
        <item x="290"/>
        <item x="596"/>
        <item x="1376"/>
        <item x="1678"/>
        <item x="1377"/>
        <item x="1679"/>
        <item x="1378"/>
        <item x="791"/>
        <item x="1026"/>
        <item x="1379"/>
        <item x="182"/>
        <item x="76"/>
        <item x="291"/>
        <item x="597"/>
        <item x="1027"/>
        <item x="1380"/>
        <item x="1028"/>
        <item x="183"/>
        <item x="184"/>
        <item x="1381"/>
        <item x="1382"/>
        <item x="1029"/>
        <item x="792"/>
        <item x="1680"/>
        <item x="793"/>
        <item x="1383"/>
        <item x="1030"/>
        <item x="794"/>
        <item x="77"/>
        <item x="185"/>
        <item x="397"/>
        <item x="398"/>
        <item x="1681"/>
        <item x="795"/>
        <item x="1031"/>
        <item x="1384"/>
        <item x="499"/>
        <item x="399"/>
        <item x="1032"/>
        <item x="1682"/>
        <item x="1033"/>
        <item x="796"/>
        <item x="797"/>
        <item x="1683"/>
        <item x="1684"/>
        <item x="1385"/>
        <item x="78"/>
        <item x="292"/>
        <item x="400"/>
        <item x="500"/>
        <item x="1386"/>
        <item x="798"/>
        <item x="1685"/>
        <item x="1686"/>
        <item x="293"/>
        <item x="79"/>
        <item x="1034"/>
        <item x="799"/>
        <item x="800"/>
        <item x="1687"/>
        <item x="1035"/>
        <item x="1036"/>
        <item x="1037"/>
        <item x="1038"/>
        <item x="186"/>
        <item x="401"/>
        <item x="598"/>
        <item x="294"/>
        <item x="295"/>
        <item x="1387"/>
        <item x="1688"/>
        <item x="1388"/>
        <item x="1389"/>
        <item x="296"/>
        <item x="80"/>
        <item x="801"/>
        <item x="802"/>
        <item x="1039"/>
        <item x="1390"/>
        <item x="1040"/>
        <item x="1041"/>
        <item x="803"/>
        <item x="1391"/>
        <item x="187"/>
        <item x="188"/>
        <item x="599"/>
        <item x="297"/>
        <item x="402"/>
        <item x="1392"/>
        <item x="804"/>
        <item x="1689"/>
        <item x="600"/>
        <item x="81"/>
        <item x="1042"/>
        <item x="1043"/>
        <item x="1393"/>
        <item x="1690"/>
        <item x="805"/>
        <item x="1394"/>
        <item x="1395"/>
        <item x="1691"/>
        <item x="1044"/>
        <item x="601"/>
        <item x="602"/>
        <item x="82"/>
        <item x="501"/>
        <item x="83"/>
        <item x="1396"/>
        <item x="1397"/>
        <item x="1398"/>
        <item x="1045"/>
        <item x="298"/>
        <item x="299"/>
        <item x="1399"/>
        <item x="1046"/>
        <item x="1692"/>
        <item x="1693"/>
        <item x="1694"/>
        <item x="1047"/>
        <item x="1048"/>
        <item x="1400"/>
        <item x="1401"/>
        <item x="502"/>
        <item x="403"/>
        <item x="84"/>
        <item x="85"/>
        <item x="503"/>
        <item x="1402"/>
        <item x="1403"/>
        <item x="1049"/>
        <item x="1404"/>
        <item x="86"/>
        <item x="300"/>
        <item x="1050"/>
        <item x="1405"/>
        <item x="1051"/>
        <item x="1052"/>
        <item x="1406"/>
        <item x="1695"/>
        <item x="1696"/>
        <item x="1407"/>
        <item x="87"/>
        <item x="603"/>
        <item x="504"/>
        <item x="505"/>
        <item x="1697"/>
        <item x="1053"/>
        <item x="1054"/>
        <item x="1408"/>
        <item x="189"/>
        <item x="190"/>
        <item x="806"/>
        <item x="807"/>
        <item x="1409"/>
        <item x="1055"/>
        <item x="808"/>
        <item x="1056"/>
        <item x="1057"/>
        <item x="1058"/>
        <item x="809"/>
        <item x="404"/>
        <item x="191"/>
        <item x="301"/>
        <item x="604"/>
        <item x="605"/>
        <item x="1410"/>
        <item x="1411"/>
        <item x="810"/>
        <item x="405"/>
        <item x="302"/>
        <item x="811"/>
        <item x="1059"/>
        <item x="812"/>
        <item x="1412"/>
        <item x="1698"/>
        <item x="1060"/>
        <item x="813"/>
        <item x="814"/>
        <item x="606"/>
        <item x="88"/>
        <item x="192"/>
        <item x="89"/>
        <item x="1699"/>
        <item x="1413"/>
        <item x="1700"/>
        <item x="815"/>
        <item x="90"/>
        <item x="193"/>
        <item x="1414"/>
        <item x="1415"/>
        <item x="1061"/>
        <item x="1416"/>
        <item x="1417"/>
        <item x="1418"/>
        <item x="1062"/>
        <item x="1701"/>
        <item x="1063"/>
        <item x="506"/>
        <item x="1419"/>
        <item x="1420"/>
        <item x="1702"/>
        <item x="1703"/>
        <item x="406"/>
        <item x="507"/>
        <item x="1064"/>
        <item x="816"/>
        <item x="1065"/>
        <item x="1421"/>
        <item x="1422"/>
        <item x="1704"/>
        <item x="1066"/>
        <item x="1067"/>
        <item x="1705"/>
        <item x="194"/>
        <item x="91"/>
        <item x="303"/>
        <item x="304"/>
        <item x="305"/>
        <item x="1706"/>
        <item x="1423"/>
        <item x="1424"/>
        <item x="92"/>
        <item x="93"/>
        <item x="1425"/>
        <item x="817"/>
        <item x="1707"/>
        <item x="818"/>
        <item x="1708"/>
        <item x="819"/>
        <item x="1068"/>
        <item x="1709"/>
        <item x="820"/>
        <item x="306"/>
        <item x="195"/>
        <item x="307"/>
        <item x="1710"/>
        <item x="821"/>
        <item x="1069"/>
        <item x="1426"/>
        <item x="94"/>
        <item x="308"/>
        <item x="822"/>
        <item x="1711"/>
        <item x="1712"/>
        <item x="1427"/>
        <item x="1713"/>
        <item x="1428"/>
        <item x="1429"/>
        <item x="1714"/>
        <item x="1430"/>
        <item x="309"/>
        <item x="95"/>
        <item x="96"/>
        <item x="407"/>
        <item x="97"/>
        <item x="1431"/>
        <item x="1070"/>
        <item x="1071"/>
        <item x="1715"/>
        <item x="98"/>
        <item x="196"/>
        <item x="1432"/>
        <item x="823"/>
        <item x="1433"/>
        <item x="1716"/>
        <item x="1717"/>
        <item x="824"/>
        <item x="1072"/>
        <item x="1073"/>
        <item x="310"/>
        <item x="508"/>
        <item x="509"/>
        <item x="1718"/>
        <item x="1074"/>
        <item x="825"/>
        <item x="1719"/>
        <item x="99"/>
        <item x="197"/>
        <item x="1075"/>
        <item x="1720"/>
        <item x="1721"/>
        <item x="1076"/>
        <item x="1434"/>
        <item x="1435"/>
        <item x="1077"/>
        <item x="1436"/>
        <item x="1078"/>
        <item x="100"/>
        <item x="607"/>
        <item x="101"/>
        <item x="510"/>
        <item x="408"/>
        <item x="1722"/>
        <item x="1079"/>
        <item x="1723"/>
        <item x="1724"/>
        <item x="511"/>
        <item x="608"/>
        <item x="1080"/>
        <item x="1081"/>
        <item x="826"/>
        <item x="1437"/>
        <item x="1082"/>
        <item x="1725"/>
        <item x="1726"/>
        <item x="1083"/>
        <item x="827"/>
        <item x="311"/>
        <item x="409"/>
        <item x="609"/>
        <item x="102"/>
        <item x="312"/>
        <item x="1727"/>
        <item x="1728"/>
        <item x="1729"/>
        <item x="1730"/>
        <item x="410"/>
        <item x="411"/>
        <item x="1731"/>
        <item x="1084"/>
        <item x="1732"/>
        <item x="1085"/>
        <item x="1733"/>
        <item x="1086"/>
        <item x="828"/>
        <item x="829"/>
        <item x="610"/>
        <item x="313"/>
        <item x="412"/>
        <item x="413"/>
        <item x="198"/>
        <item x="1438"/>
        <item x="1734"/>
        <item x="1735"/>
        <item x="103"/>
        <item x="1087"/>
        <item x="1088"/>
        <item x="830"/>
        <item x="1439"/>
        <item x="1736"/>
        <item x="1737"/>
        <item x="1738"/>
        <item x="831"/>
        <item x="414"/>
        <item x="512"/>
        <item x="104"/>
        <item x="611"/>
        <item x="415"/>
        <item x="1739"/>
        <item x="1440"/>
        <item x="1441"/>
        <item x="1442"/>
        <item x="314"/>
        <item x="1443"/>
        <item x="1444"/>
        <item x="1740"/>
        <item x="1089"/>
        <item x="1741"/>
        <item x="1445"/>
        <item x="1742"/>
        <item x="1446"/>
        <item x="416"/>
        <item x="199"/>
        <item x="315"/>
        <item x="1743"/>
        <item x="1447"/>
        <item x="1744"/>
        <item x="1448"/>
        <item x="417"/>
        <item x="200"/>
        <item x="1090"/>
        <item x="832"/>
        <item x="1449"/>
        <item x="833"/>
        <item x="834"/>
        <item x="835"/>
        <item x="836"/>
        <item x="1091"/>
        <item x="837"/>
        <item x="201"/>
        <item x="513"/>
        <item x="202"/>
        <item x="418"/>
        <item x="1450"/>
        <item x="1745"/>
        <item x="1092"/>
        <item x="1451"/>
        <item x="316"/>
        <item x="105"/>
        <item x="1452"/>
        <item x="1453"/>
        <item x="1454"/>
        <item x="1746"/>
        <item x="1455"/>
        <item x="1456"/>
        <item x="1457"/>
        <item x="1747"/>
        <item x="1458"/>
        <item x="612"/>
        <item x="203"/>
        <item x="106"/>
        <item x="107"/>
        <item x="108"/>
        <item x="1459"/>
        <item x="838"/>
        <item x="1093"/>
        <item x="204"/>
        <item x="419"/>
        <item x="1748"/>
        <item x="1749"/>
        <item x="1460"/>
        <item x="1750"/>
        <item x="1094"/>
        <item x="1095"/>
        <item x="1751"/>
        <item x="1752"/>
        <item x="317"/>
        <item x="109"/>
        <item x="205"/>
        <item x="613"/>
        <item x="206"/>
        <item x="1461"/>
        <item x="839"/>
        <item x="840"/>
        <item x="110"/>
        <item x="420"/>
        <item x="841"/>
        <item x="1096"/>
        <item x="1753"/>
        <item x="1462"/>
        <item x="1463"/>
        <item x="842"/>
        <item x="1464"/>
        <item x="1465"/>
        <item x="1466"/>
        <item x="514"/>
        <item x="318"/>
        <item x="111"/>
        <item x="319"/>
        <item x="1467"/>
        <item x="1754"/>
        <item x="1755"/>
        <item x="1756"/>
        <item x="207"/>
        <item x="1468"/>
        <item x="1097"/>
        <item x="1469"/>
        <item x="843"/>
        <item x="1470"/>
        <item x="1471"/>
        <item x="1098"/>
        <item x="1757"/>
        <item x="1472"/>
        <item x="320"/>
        <item x="112"/>
        <item x="113"/>
        <item x="208"/>
        <item x="321"/>
        <item x="1758"/>
        <item x="844"/>
        <item x="1099"/>
        <item x="1473"/>
        <item x="114"/>
        <item x="515"/>
        <item x="1474"/>
        <item x="1100"/>
        <item x="1101"/>
        <item x="1102"/>
        <item x="1103"/>
        <item x="1475"/>
        <item x="1759"/>
        <item x="1476"/>
        <item x="1477"/>
        <item x="516"/>
        <item x="115"/>
        <item x="322"/>
        <item x="421"/>
        <item x="614"/>
        <item x="1760"/>
        <item x="1478"/>
        <item x="1104"/>
        <item x="845"/>
        <item x="209"/>
        <item x="116"/>
        <item x="1761"/>
        <item x="1105"/>
        <item x="1106"/>
        <item x="1762"/>
        <item x="1107"/>
        <item x="1763"/>
        <item x="1108"/>
        <item x="1479"/>
        <item x="422"/>
        <item x="517"/>
        <item x="518"/>
        <item x="519"/>
        <item x="615"/>
        <item x="1480"/>
        <item x="1109"/>
        <item x="1481"/>
        <item x="210"/>
        <item x="117"/>
        <item x="846"/>
        <item x="1482"/>
        <item x="847"/>
        <item x="1110"/>
        <item x="1111"/>
        <item x="1112"/>
        <item x="1113"/>
        <item x="1114"/>
        <item x="1483"/>
        <item x="323"/>
        <item x="423"/>
        <item x="211"/>
        <item x="424"/>
        <item x="212"/>
        <item x="848"/>
        <item x="849"/>
        <item x="616"/>
        <item x="1484"/>
        <item x="1485"/>
        <item x="850"/>
        <item x="851"/>
        <item x="1115"/>
        <item x="1764"/>
        <item x="1765"/>
        <item x="1766"/>
        <item x="520"/>
        <item x="118"/>
        <item x="425"/>
        <item x="426"/>
        <item x="1486"/>
        <item x="852"/>
        <item x="1116"/>
        <item x="617"/>
        <item x="618"/>
        <item x="1487"/>
        <item x="853"/>
        <item x="1117"/>
        <item x="1767"/>
        <item x="854"/>
        <item x="1118"/>
        <item x="1119"/>
        <item x="1120"/>
        <item x="619"/>
        <item x="427"/>
        <item x="620"/>
        <item x="213"/>
        <item x="1488"/>
        <item x="855"/>
        <item x="1121"/>
        <item x="1122"/>
        <item x="621"/>
        <item x="1768"/>
        <item x="1769"/>
        <item x="856"/>
        <item x="857"/>
        <item x="1489"/>
        <item x="1490"/>
        <item x="1123"/>
        <item x="1491"/>
        <item x="521"/>
        <item x="428"/>
        <item x="429"/>
        <item x="622"/>
        <item x="119"/>
        <item x="1492"/>
        <item x="858"/>
        <item x="1770"/>
        <item x="623"/>
        <item x="214"/>
        <item x="859"/>
        <item x="860"/>
        <item x="1124"/>
        <item x="861"/>
        <item x="862"/>
        <item x="1771"/>
        <item x="863"/>
        <item x="1772"/>
        <item x="1493"/>
        <item x="324"/>
        <item x="325"/>
        <item x="326"/>
        <item x="120"/>
        <item x="327"/>
        <item x="1773"/>
        <item x="864"/>
        <item x="1774"/>
        <item x="1494"/>
        <item x="624"/>
        <item x="121"/>
        <item x="1775"/>
        <item x="1495"/>
        <item x="1125"/>
        <item x="865"/>
        <item x="1496"/>
        <item x="1497"/>
        <item x="122"/>
        <item x="522"/>
        <item x="328"/>
        <item x="329"/>
        <item x="523"/>
        <item x="866"/>
        <item x="1498"/>
        <item x="430"/>
        <item x="215"/>
        <item x="867"/>
        <item x="868"/>
        <item x="1776"/>
        <item x="1126"/>
        <item x="1499"/>
        <item x="1127"/>
        <item x="1500"/>
        <item x="1777"/>
        <item x="123"/>
        <item x="216"/>
        <item x="330"/>
        <item x="431"/>
        <item x="1778"/>
        <item x="1779"/>
        <item x="217"/>
        <item x="432"/>
        <item x="1780"/>
        <item x="869"/>
        <item x="1781"/>
        <item x="1501"/>
        <item x="870"/>
        <item x="871"/>
        <item x="1128"/>
        <item x="331"/>
        <item x="332"/>
        <item x="524"/>
        <item x="333"/>
        <item x="124"/>
        <item x="1782"/>
        <item x="1783"/>
        <item x="1502"/>
        <item x="218"/>
        <item x="219"/>
        <item x="1784"/>
        <item x="1785"/>
        <item x="872"/>
        <item x="1129"/>
        <item x="873"/>
        <item x="1786"/>
        <item x="1787"/>
        <item x="1788"/>
        <item x="874"/>
        <item x="125"/>
        <item x="625"/>
        <item x="525"/>
        <item x="433"/>
        <item x="626"/>
        <item x="1503"/>
        <item x="1789"/>
        <item x="1130"/>
        <item x="1504"/>
        <item x="220"/>
        <item x="126"/>
        <item x="1790"/>
        <item x="1505"/>
        <item x="1131"/>
        <item x="1791"/>
        <item x="1506"/>
        <item x="1132"/>
        <item x="1507"/>
        <item x="221"/>
        <item x="526"/>
        <item x="434"/>
        <item x="334"/>
        <item x="335"/>
        <item x="1508"/>
        <item x="1509"/>
        <item x="1510"/>
        <item x="1792"/>
        <item x="336"/>
        <item x="875"/>
        <item x="1793"/>
        <item x="1794"/>
        <item x="1133"/>
        <item x="1134"/>
        <item x="1511"/>
        <item x="876"/>
        <item x="1135"/>
        <item x="1512"/>
        <item x="127"/>
        <item x="222"/>
        <item x="627"/>
        <item x="223"/>
        <item x="435"/>
        <item x="1513"/>
        <item x="1795"/>
        <item x="877"/>
        <item x="1796"/>
        <item x="527"/>
        <item x="628"/>
        <item x="1514"/>
        <item x="1136"/>
        <item x="1515"/>
        <item x="878"/>
        <item x="879"/>
        <item x="1516"/>
        <item x="880"/>
        <item x="1797"/>
        <item x="1517"/>
        <item x="436"/>
        <item x="224"/>
        <item x="629"/>
        <item x="528"/>
        <item x="1518"/>
        <item x="1798"/>
        <item x="1799"/>
        <item x="1519"/>
        <item x="529"/>
        <item x="128"/>
        <item x="1137"/>
        <item x="1800"/>
        <item x="1520"/>
        <item x="1521"/>
        <item x="881"/>
        <item x="1522"/>
        <item x="1801"/>
        <item x="882"/>
        <item x="1523"/>
        <item x="225"/>
        <item x="337"/>
        <item x="437"/>
        <item x="129"/>
        <item x="338"/>
        <item x="883"/>
        <item x="1524"/>
        <item x="1802"/>
        <item x="630"/>
        <item x="438"/>
        <item x="1138"/>
        <item x="1139"/>
        <item x="1525"/>
        <item x="1803"/>
        <item x="1140"/>
        <item x="884"/>
        <item x="1804"/>
        <item x="1526"/>
        <item x="1141"/>
        <item x="631"/>
        <item x="439"/>
        <item x="632"/>
        <item x="530"/>
        <item x="1805"/>
        <item x="1142"/>
        <item x="1806"/>
        <item x="1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numFmtId="2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2">
    <i>
      <x v="846"/>
    </i>
    <i t="grand">
      <x/>
    </i>
  </rowItems>
  <colItems count="1">
    <i/>
  </colItems>
  <dataFields count="1">
    <dataField name="Sum of Revenue" fld="20" baseField="0" baseItem="0"/>
  </dataFields>
  <formats count="12">
    <format dxfId="132">
      <pivotArea type="all" dataOnly="0" outline="0" fieldPosition="0"/>
    </format>
    <format dxfId="133">
      <pivotArea outline="0" collapsedLevelsAreSubtotals="1" fieldPosition="0"/>
    </format>
    <format dxfId="134">
      <pivotArea field="0" type="button" dataOnly="0" labelOnly="1" outline="0" axis="axisRow" fieldPosition="0"/>
    </format>
    <format dxfId="135">
      <pivotArea dataOnly="0" labelOnly="1" fieldPosition="0">
        <references count="1">
          <reference field="0" count="1">
            <x v="846"/>
          </reference>
        </references>
      </pivotArea>
    </format>
    <format dxfId="136">
      <pivotArea dataOnly="0" labelOnly="1" grandRow="1" outline="0" fieldPosition="0"/>
    </format>
    <format dxfId="137">
      <pivotArea dataOnly="0" labelOnly="1" outline="0" axis="axisValues" fieldPosition="0"/>
    </format>
    <format dxfId="138">
      <pivotArea type="all" dataOnly="0" outline="0" fieldPosition="0"/>
    </format>
    <format dxfId="56">
      <pivotArea field="0" type="button" dataOnly="0" labelOnly="1" outline="0" axis="axisRow" fieldPosition="0"/>
    </format>
    <format dxfId="55">
      <pivotArea dataOnly="0" labelOnly="1" outline="0" axis="axisValues" fieldPosition="0"/>
    </format>
    <format dxfId="37">
      <pivotArea outline="0" collapsedLevelsAreSubtotals="1" fieldPosition="0"/>
    </format>
    <format dxfId="36">
      <pivotArea dataOnly="0" labelOnly="1" fieldPosition="0">
        <references count="1">
          <reference field="0" count="1">
            <x v="846"/>
          </reference>
        </references>
      </pivotArea>
    </format>
    <format dxfId="35">
      <pivotArea dataOnly="0" labelOnly="1" grandRow="1" outline="0" fieldPosition="0"/>
    </format>
  </formats>
  <pivotTableStyleInfo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329C52-21BD-4482-AC74-70BEB3A5727A}" name="data" displayName="data" ref="A1:Z1809" totalsRowShown="0" headerRowDxfId="166" dataDxfId="165">
  <autoFilter ref="A1:Z1809" xr:uid="{00000000-0001-0000-0000-000000000000}"/>
  <sortState xmlns:xlrd2="http://schemas.microsoft.com/office/spreadsheetml/2017/richdata2" ref="A2:X1809">
    <sortCondition descending="1" ref="J1:J1809"/>
  </sortState>
  <tableColumns count="26">
    <tableColumn id="1" xr3:uid="{A3C571F0-8F95-4F81-849B-C47B01276388}" name="TripID" dataDxfId="164"/>
    <tableColumn id="2" xr3:uid="{24D27A17-45D7-4ED4-B02E-DF4D191E45CA}" name="ShipperID" dataDxfId="163"/>
    <tableColumn id="3" xr3:uid="{3C86607A-B75C-4924-B7E3-A03BAD954808}" name="CategoryID" dataDxfId="162"/>
    <tableColumn id="4" xr3:uid="{E0813989-8773-46AE-8B69-B7E81C357A05}" name="Customer" dataDxfId="161"/>
    <tableColumn id="5" xr3:uid="{5A2DB008-44A7-4B13-964B-762B1949B05E}" name="ShipDate" dataDxfId="160"/>
    <tableColumn id="25" xr3:uid="{D37C1014-9952-4E08-AB0D-2D634AF15F62}" name="Month" dataDxfId="159">
      <calculatedColumnFormula>TEXT(data[[#This Row],[ShipDate]],"yyyy - mmmm")</calculatedColumnFormula>
    </tableColumn>
    <tableColumn id="23" xr3:uid="{13A88E7B-9BF0-455D-88D3-E19405E89365}" name="Route" dataDxfId="158">
      <calculatedColumnFormula>data[[#This Row],[OriginCity]] &amp; " - "  &amp; data[[#This Row],[DestinationCity]]</calculatedColumnFormula>
    </tableColumn>
    <tableColumn id="6" xr3:uid="{2C073EA2-8385-40F3-9106-5C6363D69112}" name="OriginCity" dataDxfId="157"/>
    <tableColumn id="7" xr3:uid="{EAB8B9F4-4099-48BE-B9A6-E6C33A9C7385}" name="OriginState" dataDxfId="156"/>
    <tableColumn id="8" xr3:uid="{29FC58F1-7331-4FE6-86A6-A7C9BEA73CDE}" name="ShipDays" dataDxfId="155"/>
    <tableColumn id="9" xr3:uid="{B724C9A2-1152-4D90-BC3A-EB51EF534CC2}" name="DestinationCity" dataDxfId="154"/>
    <tableColumn id="10" xr3:uid="{08B1BCB8-70D1-49E7-BDDA-548643EF5A49}" name="DestinationState" dataDxfId="153"/>
    <tableColumn id="11" xr3:uid="{1CA3BD87-F341-4340-90CA-63C2B632CC82}" name="DeliveryDate" dataDxfId="152"/>
    <tableColumn id="12" xr3:uid="{406203D9-35E1-4DA2-A69D-6A0A7705C285}" name="TotalMiles" dataDxfId="151"/>
    <tableColumn id="13" xr3:uid="{68D588E1-0879-424D-A78F-71C80135B5E9}" name="LoadedMiles" dataDxfId="150"/>
    <tableColumn id="21" xr3:uid="{E958F043-23A6-4B2A-94C7-7A7161EBFF0D}" name="Load factor" dataDxfId="149">
      <calculatedColumnFormula>(data[[#This Row],[LoadedMiles]]/data[[#This Row],[TotalMiles]])*100</calculatedColumnFormula>
    </tableColumn>
    <tableColumn id="20" xr3:uid="{6C4C2782-4D2E-4E74-8B16-40FEE753428C}" name="Cost per mile" dataDxfId="148">
      <calculatedColumnFormula>data[[#This Row],[ShippingCost]]/data[[#This Row],[TotalMiles]]</calculatedColumnFormula>
    </tableColumn>
    <tableColumn id="14" xr3:uid="{9C772271-17EE-46C5-A897-AC3EF459CC15}" name="ShippingCost" dataDxfId="147"/>
    <tableColumn id="19" xr3:uid="{9C7C357A-E5D2-4415-AE6F-730EF233205F}" name="Revenue per mile" dataDxfId="146">
      <calculatedColumnFormula>data[[#This Row],[Revenue]]/data[[#This Row],[TotalMiles]]</calculatedColumnFormula>
    </tableColumn>
    <tableColumn id="22" xr3:uid="{3F8F7C0C-AD5C-44C2-BFBC-64B1DCCC6017}" name="Total profit" dataDxfId="145">
      <calculatedColumnFormula>data[[#This Row],[Revenue]]-data[[#This Row],[ShippingCost]]</calculatedColumnFormula>
    </tableColumn>
    <tableColumn id="15" xr3:uid="{052CC97F-311A-4B59-82B8-9457AA8C8686}" name="Revenue" dataDxfId="144"/>
    <tableColumn id="16" xr3:uid="{BB0E1B54-857D-49CC-ABF3-25B45DD21563}" name="Capacity" dataDxfId="143"/>
    <tableColumn id="17" xr3:uid="{8108FA5D-F0FE-490B-9E8B-DA8C439D98B0}" name="TripType" dataDxfId="142"/>
    <tableColumn id="18" xr3:uid="{817E85F5-9EF5-4B87-A968-2C2B87859657}" name="CheckPoints" dataDxfId="141"/>
    <tableColumn id="24" xr3:uid="{7215DE74-F2F9-4112-8D6E-100310300F48}" name="Actual Delivery Days" dataDxfId="140">
      <calculatedColumnFormula>data[[#This Row],[DeliveryDate]]-data[[#This Row],[ShipDate]]</calculatedColumnFormula>
    </tableColumn>
    <tableColumn id="26" xr3:uid="{2E466B8C-2B5E-4029-8B73-3903718AD46D}" name="Delayed ship" dataDxfId="139">
      <calculatedColumnFormula>IF(data[[#This Row],[Actual Delivery Days]]&gt;AD3,"Yes","No")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DED7-A5AD-4BA6-920F-4C33D982B35F}">
  <dimension ref="B1:M37"/>
  <sheetViews>
    <sheetView topLeftCell="B1" zoomScale="133" zoomScaleNormal="130" workbookViewId="0">
      <selection activeCell="B37" sqref="B37:H37"/>
    </sheetView>
  </sheetViews>
  <sheetFormatPr defaultColWidth="9.109375" defaultRowHeight="14.4"/>
  <cols>
    <col min="1" max="1" width="9.109375" style="4"/>
    <col min="2" max="2" width="4" style="4" customWidth="1"/>
    <col min="3" max="16384" width="9.109375" style="4"/>
  </cols>
  <sheetData>
    <row r="1" spans="2:13" s="2" customFormat="1" ht="15.75" customHeight="1"/>
    <row r="2" spans="2:13" s="2" customFormat="1" ht="26.25" customHeight="1">
      <c r="B2" s="3" t="s">
        <v>659</v>
      </c>
    </row>
    <row r="3" spans="2:13" s="2" customFormat="1" ht="14.25" customHeight="1" thickBot="1"/>
    <row r="4" spans="2:13" s="1" customFormat="1" ht="18">
      <c r="B4" s="5" t="s">
        <v>629</v>
      </c>
      <c r="C4" s="6"/>
      <c r="D4" s="6"/>
      <c r="E4" s="6"/>
      <c r="F4" s="6"/>
      <c r="G4" s="6"/>
      <c r="H4" s="6"/>
      <c r="I4" s="6"/>
      <c r="J4" s="6"/>
      <c r="K4" s="6"/>
      <c r="L4" s="7"/>
    </row>
    <row r="5" spans="2:13" ht="15" customHeight="1">
      <c r="B5" s="37" t="s">
        <v>660</v>
      </c>
      <c r="C5" s="38"/>
      <c r="D5" s="38"/>
      <c r="E5" s="38"/>
      <c r="F5" s="38"/>
      <c r="G5" s="38"/>
      <c r="H5" s="38"/>
      <c r="I5" s="38"/>
      <c r="J5" s="38"/>
      <c r="K5" s="38"/>
      <c r="L5" s="39"/>
    </row>
    <row r="6" spans="2:13">
      <c r="B6" s="37"/>
      <c r="C6" s="38"/>
      <c r="D6" s="38"/>
      <c r="E6" s="38"/>
      <c r="F6" s="38"/>
      <c r="G6" s="38"/>
      <c r="H6" s="38"/>
      <c r="I6" s="38"/>
      <c r="J6" s="38"/>
      <c r="K6" s="38"/>
      <c r="L6" s="39"/>
    </row>
    <row r="7" spans="2:13">
      <c r="B7" s="37"/>
      <c r="C7" s="38"/>
      <c r="D7" s="38"/>
      <c r="E7" s="38"/>
      <c r="F7" s="38"/>
      <c r="G7" s="38"/>
      <c r="H7" s="38"/>
      <c r="I7" s="38"/>
      <c r="J7" s="38"/>
      <c r="K7" s="38"/>
      <c r="L7" s="39"/>
    </row>
    <row r="8" spans="2:13">
      <c r="B8" s="37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2:13" ht="15.6">
      <c r="B9" s="10" t="s">
        <v>630</v>
      </c>
      <c r="C9" s="9"/>
      <c r="D9" s="9"/>
      <c r="E9" s="9"/>
      <c r="F9" s="9"/>
      <c r="G9" s="9"/>
      <c r="H9" s="9"/>
      <c r="I9" s="9"/>
      <c r="J9" s="9"/>
      <c r="K9" s="9"/>
      <c r="L9" s="8"/>
    </row>
    <row r="10" spans="2:13" ht="17.25" customHeight="1">
      <c r="B10" s="13" t="s">
        <v>642</v>
      </c>
      <c r="C10" s="9"/>
      <c r="D10" s="9"/>
      <c r="E10" s="9"/>
      <c r="F10" s="9"/>
      <c r="G10" s="9"/>
      <c r="H10" s="9"/>
      <c r="I10" s="9"/>
      <c r="J10" s="9"/>
      <c r="K10" s="9"/>
      <c r="L10" s="8"/>
    </row>
    <row r="11" spans="2:13" ht="17.25" customHeight="1">
      <c r="B11" s="14" t="s">
        <v>643</v>
      </c>
      <c r="C11" s="9"/>
      <c r="D11" s="9"/>
      <c r="E11" s="9"/>
      <c r="F11" s="9"/>
      <c r="G11" s="9"/>
      <c r="H11" s="9"/>
      <c r="I11" s="9"/>
      <c r="J11" s="9"/>
      <c r="K11" s="9"/>
      <c r="L11" s="8"/>
      <c r="M11" s="8"/>
    </row>
    <row r="12" spans="2:13" ht="17.25" customHeight="1">
      <c r="B12" s="14" t="s">
        <v>644</v>
      </c>
      <c r="C12" s="9"/>
      <c r="D12" s="9"/>
      <c r="E12" s="9"/>
      <c r="F12" s="9"/>
      <c r="G12" s="9"/>
      <c r="H12" s="9"/>
      <c r="I12" s="9"/>
      <c r="J12" s="9"/>
      <c r="K12" s="9"/>
    </row>
    <row r="13" spans="2:13" ht="17.25" customHeight="1">
      <c r="B13" s="14" t="s">
        <v>631</v>
      </c>
      <c r="C13" s="9"/>
      <c r="D13" s="9"/>
      <c r="E13" s="9"/>
      <c r="F13" s="9"/>
      <c r="G13" s="9"/>
      <c r="H13" s="9"/>
      <c r="I13" s="9"/>
      <c r="J13" s="9"/>
      <c r="K13" s="9"/>
      <c r="L13" s="8"/>
    </row>
    <row r="14" spans="2:13" ht="17.25" customHeight="1">
      <c r="B14" s="13" t="s">
        <v>632</v>
      </c>
      <c r="C14" s="9"/>
      <c r="D14" s="9"/>
      <c r="E14" s="9"/>
      <c r="F14" s="9"/>
      <c r="G14" s="9"/>
      <c r="H14" s="9"/>
      <c r="I14" s="9"/>
      <c r="J14" s="9"/>
      <c r="K14" s="9"/>
      <c r="L14" s="8"/>
    </row>
    <row r="15" spans="2:13" ht="17.25" customHeight="1">
      <c r="B15" s="14" t="s">
        <v>633</v>
      </c>
      <c r="C15" s="9"/>
      <c r="D15" s="9"/>
      <c r="E15" s="9"/>
      <c r="F15" s="9"/>
      <c r="G15" s="9"/>
      <c r="H15" s="9"/>
      <c r="I15" s="9"/>
      <c r="J15" s="9"/>
      <c r="K15" s="9"/>
      <c r="L15" s="8"/>
    </row>
    <row r="16" spans="2:13" ht="17.25" customHeight="1">
      <c r="B16" s="14" t="s">
        <v>645</v>
      </c>
      <c r="C16" s="9"/>
      <c r="D16" s="9"/>
      <c r="E16" s="9"/>
      <c r="F16" s="9"/>
      <c r="G16" s="9"/>
      <c r="H16" s="9"/>
      <c r="I16" s="9"/>
      <c r="J16" s="9"/>
      <c r="K16" s="9"/>
      <c r="L16" s="8"/>
    </row>
    <row r="17" spans="2:12" ht="17.25" customHeight="1">
      <c r="B17" s="14" t="s">
        <v>646</v>
      </c>
      <c r="C17" s="9"/>
      <c r="D17" s="9"/>
      <c r="E17" s="9"/>
      <c r="F17" s="9"/>
      <c r="G17" s="9"/>
      <c r="H17" s="9"/>
      <c r="I17" s="9"/>
      <c r="J17" s="9"/>
      <c r="K17" s="9"/>
      <c r="L17" s="8"/>
    </row>
    <row r="18" spans="2:12" ht="17.25" customHeight="1">
      <c r="B18" s="13" t="s">
        <v>634</v>
      </c>
      <c r="C18" s="9"/>
      <c r="D18" s="9"/>
      <c r="E18" s="9"/>
      <c r="F18" s="9"/>
      <c r="G18" s="9"/>
      <c r="H18" s="9"/>
      <c r="I18" s="9"/>
      <c r="J18" s="9"/>
      <c r="K18" s="9"/>
      <c r="L18" s="8"/>
    </row>
    <row r="19" spans="2:12" ht="17.25" customHeight="1">
      <c r="B19" s="14" t="s">
        <v>647</v>
      </c>
      <c r="C19" s="9"/>
      <c r="D19" s="9"/>
      <c r="E19" s="9"/>
      <c r="F19" s="9"/>
      <c r="G19" s="9"/>
      <c r="H19" s="9"/>
      <c r="I19" s="9"/>
      <c r="J19" s="9"/>
      <c r="K19" s="9"/>
      <c r="L19" s="8"/>
    </row>
    <row r="20" spans="2:12" ht="17.25" customHeight="1">
      <c r="B20" s="14" t="s">
        <v>648</v>
      </c>
      <c r="C20" s="9"/>
      <c r="D20" s="9"/>
      <c r="E20" s="9"/>
      <c r="F20" s="9"/>
      <c r="G20" s="9"/>
      <c r="H20" s="9"/>
      <c r="I20" s="9"/>
      <c r="J20" s="9"/>
      <c r="K20" s="9"/>
      <c r="L20" s="8"/>
    </row>
    <row r="21" spans="2:12" ht="17.25" customHeight="1">
      <c r="B21" s="14" t="s">
        <v>649</v>
      </c>
      <c r="C21" s="9"/>
      <c r="D21" s="9"/>
      <c r="E21" s="9"/>
      <c r="F21" s="9"/>
      <c r="G21" s="9"/>
      <c r="H21" s="9"/>
      <c r="I21" s="9"/>
      <c r="J21" s="9"/>
      <c r="K21" s="9"/>
      <c r="L21" s="8"/>
    </row>
    <row r="22" spans="2:12" ht="17.25" customHeight="1">
      <c r="B22" s="13" t="s">
        <v>635</v>
      </c>
      <c r="C22" s="9"/>
      <c r="D22" s="9"/>
      <c r="E22" s="9"/>
      <c r="F22" s="9"/>
      <c r="G22" s="9"/>
      <c r="H22" s="9"/>
      <c r="I22" s="9"/>
      <c r="J22" s="9"/>
      <c r="K22" s="9"/>
      <c r="L22" s="8"/>
    </row>
    <row r="23" spans="2:12" ht="17.25" customHeight="1">
      <c r="B23" s="14" t="s">
        <v>636</v>
      </c>
      <c r="C23" s="9"/>
      <c r="D23" s="9"/>
      <c r="E23" s="9"/>
      <c r="F23" s="9"/>
      <c r="G23" s="9"/>
      <c r="H23" s="9"/>
      <c r="I23" s="9"/>
      <c r="J23" s="9"/>
      <c r="K23" s="9"/>
      <c r="L23" s="8"/>
    </row>
    <row r="24" spans="2:12" ht="17.25" customHeight="1">
      <c r="B24" s="14" t="s">
        <v>650</v>
      </c>
      <c r="C24" s="9"/>
      <c r="D24" s="9"/>
      <c r="E24" s="9"/>
      <c r="F24" s="9"/>
      <c r="G24" s="9"/>
      <c r="H24" s="9"/>
      <c r="I24" s="9"/>
      <c r="J24" s="9"/>
      <c r="K24" s="9"/>
      <c r="L24" s="8"/>
    </row>
    <row r="25" spans="2:12" ht="17.25" customHeight="1">
      <c r="B25" s="14" t="s">
        <v>651</v>
      </c>
      <c r="C25" s="9"/>
      <c r="D25" s="9"/>
      <c r="E25" s="9"/>
      <c r="F25" s="9"/>
      <c r="G25" s="9"/>
      <c r="H25" s="9"/>
      <c r="I25" s="9"/>
      <c r="J25" s="9"/>
      <c r="K25" s="9"/>
      <c r="L25" s="8"/>
    </row>
    <row r="26" spans="2:12" ht="17.25" customHeight="1">
      <c r="B26" s="13" t="s">
        <v>637</v>
      </c>
      <c r="C26" s="9"/>
      <c r="D26" s="9"/>
      <c r="E26" s="9"/>
      <c r="F26" s="9"/>
      <c r="G26" s="9"/>
      <c r="H26" s="9"/>
      <c r="I26" s="9"/>
      <c r="J26" s="9"/>
      <c r="K26" s="9"/>
      <c r="L26" s="8"/>
    </row>
    <row r="27" spans="2:12" ht="17.25" customHeight="1">
      <c r="B27" s="14" t="s">
        <v>652</v>
      </c>
      <c r="C27" s="9"/>
      <c r="D27" s="9"/>
      <c r="E27" s="9"/>
      <c r="F27" s="9"/>
      <c r="G27" s="9"/>
      <c r="H27" s="9"/>
      <c r="I27" s="9"/>
      <c r="J27" s="9"/>
      <c r="K27" s="9"/>
      <c r="L27" s="8"/>
    </row>
    <row r="28" spans="2:12" ht="17.25" customHeight="1">
      <c r="B28" s="14" t="s">
        <v>653</v>
      </c>
      <c r="C28" s="9"/>
      <c r="D28" s="9"/>
      <c r="E28" s="9"/>
      <c r="F28" s="9"/>
      <c r="G28" s="9"/>
      <c r="H28" s="9"/>
      <c r="I28" s="9"/>
      <c r="J28" s="9"/>
      <c r="K28" s="9"/>
      <c r="L28" s="8"/>
    </row>
    <row r="29" spans="2:12" ht="17.25" customHeight="1">
      <c r="B29" s="14" t="s">
        <v>638</v>
      </c>
      <c r="C29" s="9"/>
      <c r="D29" s="9"/>
      <c r="E29" s="9"/>
      <c r="F29" s="9"/>
      <c r="G29" s="9"/>
      <c r="H29" s="9"/>
      <c r="I29" s="9"/>
      <c r="J29" s="9"/>
      <c r="K29" s="9"/>
      <c r="L29" s="8"/>
    </row>
    <row r="30" spans="2:12" ht="17.25" customHeight="1">
      <c r="B30" s="13" t="s">
        <v>639</v>
      </c>
      <c r="C30" s="9"/>
      <c r="D30" s="9"/>
      <c r="E30" s="9"/>
      <c r="F30" s="9"/>
      <c r="G30" s="9"/>
      <c r="H30" s="9"/>
      <c r="I30" s="9"/>
      <c r="J30" s="9"/>
      <c r="K30" s="9"/>
      <c r="L30" s="8"/>
    </row>
    <row r="31" spans="2:12" ht="17.25" customHeight="1">
      <c r="B31" s="14" t="s">
        <v>654</v>
      </c>
      <c r="C31" s="9"/>
      <c r="D31" s="9"/>
      <c r="E31" s="9"/>
      <c r="F31" s="9"/>
      <c r="G31" s="9"/>
      <c r="H31" s="9"/>
      <c r="I31" s="9"/>
      <c r="J31" s="9"/>
      <c r="K31" s="9"/>
      <c r="L31" s="8"/>
    </row>
    <row r="32" spans="2:12" ht="17.25" customHeight="1">
      <c r="B32" s="14" t="s">
        <v>655</v>
      </c>
      <c r="C32" s="9"/>
      <c r="D32" s="9"/>
      <c r="E32" s="9"/>
      <c r="F32" s="9"/>
      <c r="G32" s="9"/>
      <c r="H32" s="9"/>
      <c r="I32" s="9"/>
      <c r="J32" s="9"/>
      <c r="K32" s="9"/>
      <c r="L32" s="8"/>
    </row>
    <row r="33" spans="2:12" ht="17.25" customHeight="1">
      <c r="B33" s="14" t="s">
        <v>640</v>
      </c>
      <c r="C33" s="9"/>
      <c r="D33" s="9"/>
      <c r="E33" s="9"/>
      <c r="F33" s="9"/>
      <c r="G33" s="9"/>
      <c r="H33" s="9"/>
      <c r="I33" s="9"/>
      <c r="J33" s="9"/>
      <c r="K33" s="9"/>
      <c r="L33" s="8"/>
    </row>
    <row r="34" spans="2:12" ht="17.25" customHeight="1">
      <c r="B34" s="13" t="s">
        <v>641</v>
      </c>
      <c r="C34" s="9"/>
      <c r="D34" s="9"/>
      <c r="E34" s="9"/>
      <c r="F34" s="9"/>
      <c r="G34" s="9"/>
      <c r="H34" s="9"/>
      <c r="I34" s="9"/>
      <c r="J34" s="9"/>
      <c r="K34" s="9"/>
      <c r="L34" s="8"/>
    </row>
    <row r="35" spans="2:12" ht="17.25" customHeight="1">
      <c r="B35" s="14" t="s">
        <v>656</v>
      </c>
      <c r="C35" s="9"/>
      <c r="D35" s="9"/>
      <c r="E35" s="9"/>
      <c r="F35" s="9"/>
      <c r="G35" s="9"/>
      <c r="H35" s="9"/>
      <c r="I35" s="9"/>
      <c r="J35" s="9"/>
      <c r="K35" s="9"/>
      <c r="L35" s="8"/>
    </row>
    <row r="36" spans="2:12" ht="17.25" customHeight="1">
      <c r="B36" s="14" t="s">
        <v>657</v>
      </c>
      <c r="C36" s="9"/>
      <c r="D36" s="9"/>
      <c r="E36" s="9"/>
      <c r="F36" s="9"/>
      <c r="G36" s="9"/>
      <c r="H36" s="9"/>
      <c r="I36" s="9"/>
      <c r="J36" s="9"/>
      <c r="K36" s="9"/>
      <c r="L36" s="8"/>
    </row>
    <row r="37" spans="2:12" ht="17.25" customHeight="1" thickBot="1">
      <c r="B37" s="15" t="s">
        <v>658</v>
      </c>
      <c r="C37" s="11"/>
      <c r="D37" s="11"/>
      <c r="E37" s="11"/>
      <c r="F37" s="11"/>
      <c r="G37" s="11"/>
      <c r="H37" s="11"/>
      <c r="I37" s="11"/>
      <c r="J37" s="11"/>
      <c r="K37" s="11"/>
      <c r="L37" s="12"/>
    </row>
  </sheetData>
  <mergeCells count="1">
    <mergeCell ref="B5:L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09"/>
  <sheetViews>
    <sheetView topLeftCell="I1" zoomScale="66" zoomScaleNormal="85" workbookViewId="0">
      <pane ySplit="1" topLeftCell="A105" activePane="bottomLeft" state="frozen"/>
      <selection pane="bottomLeft" activeCell="AA1" sqref="AA1"/>
    </sheetView>
  </sheetViews>
  <sheetFormatPr defaultRowHeight="14.4"/>
  <cols>
    <col min="1" max="1" width="10.88671875" bestFit="1" customWidth="1"/>
    <col min="2" max="2" width="14.21875" bestFit="1" customWidth="1"/>
    <col min="3" max="3" width="15.44140625" bestFit="1" customWidth="1"/>
    <col min="4" max="4" width="16" bestFit="1" customWidth="1"/>
    <col min="5" max="5" width="13.5546875" bestFit="1" customWidth="1"/>
    <col min="6" max="6" width="21.77734375" bestFit="1" customWidth="1"/>
    <col min="7" max="7" width="22.21875" bestFit="1" customWidth="1"/>
    <col min="8" max="8" width="15.44140625" bestFit="1" customWidth="1"/>
    <col min="9" max="9" width="13.6640625" bestFit="1" customWidth="1"/>
    <col min="10" max="10" width="19.109375" bestFit="1" customWidth="1"/>
    <col min="11" max="11" width="20.21875" bestFit="1" customWidth="1"/>
    <col min="12" max="12" width="16.77734375" bestFit="1" customWidth="1"/>
    <col min="13" max="13" width="14.6640625" bestFit="1" customWidth="1"/>
    <col min="14" max="14" width="16.77734375" bestFit="1" customWidth="1"/>
    <col min="15" max="15" width="15.6640625" bestFit="1" customWidth="1"/>
    <col min="16" max="16" width="17" bestFit="1" customWidth="1"/>
    <col min="17" max="17" width="17.109375" bestFit="1" customWidth="1"/>
    <col min="18" max="18" width="21" bestFit="1" customWidth="1"/>
    <col min="19" max="19" width="15.44140625" bestFit="1" customWidth="1"/>
    <col min="20" max="20" width="13.33203125" bestFit="1" customWidth="1"/>
    <col min="21" max="21" width="13.21875" bestFit="1" customWidth="1"/>
    <col min="22" max="22" width="13.33203125" bestFit="1" customWidth="1"/>
    <col min="23" max="23" width="16.44140625" bestFit="1" customWidth="1"/>
    <col min="24" max="24" width="12.44140625" bestFit="1" customWidth="1"/>
    <col min="25" max="25" width="23.33203125" bestFit="1" customWidth="1"/>
    <col min="26" max="26" width="16.5546875" bestFit="1" customWidth="1"/>
    <col min="27" max="27" width="16" bestFit="1" customWidth="1"/>
    <col min="28" max="28" width="18.21875" bestFit="1" customWidth="1"/>
    <col min="29" max="29" width="18" bestFit="1" customWidth="1"/>
    <col min="30" max="30" width="7.6640625" customWidth="1"/>
    <col min="31" max="31" width="7.21875" customWidth="1"/>
    <col min="32" max="32" width="5.5546875" customWidth="1"/>
    <col min="33" max="33" width="8.21875" customWidth="1"/>
    <col min="34" max="34" width="10.21875" customWidth="1"/>
    <col min="35" max="35" width="10.6640625" bestFit="1" customWidth="1"/>
  </cols>
  <sheetData>
    <row r="1" spans="1:30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688</v>
      </c>
      <c r="G1" s="16" t="s">
        <v>685</v>
      </c>
      <c r="H1" s="16" t="s">
        <v>5</v>
      </c>
      <c r="I1" s="16" t="s">
        <v>6</v>
      </c>
      <c r="J1" s="16" t="s">
        <v>7</v>
      </c>
      <c r="K1" s="16" t="s">
        <v>8</v>
      </c>
      <c r="L1" s="16" t="s">
        <v>9</v>
      </c>
      <c r="M1" s="16" t="s">
        <v>10</v>
      </c>
      <c r="N1" s="16" t="s">
        <v>11</v>
      </c>
      <c r="O1" s="16" t="s">
        <v>12</v>
      </c>
      <c r="P1" s="16" t="s">
        <v>678</v>
      </c>
      <c r="Q1" s="16" t="s">
        <v>672</v>
      </c>
      <c r="R1" s="16" t="s">
        <v>13</v>
      </c>
      <c r="S1" s="16" t="s">
        <v>673</v>
      </c>
      <c r="T1" s="16" t="s">
        <v>681</v>
      </c>
      <c r="U1" s="16" t="s">
        <v>14</v>
      </c>
      <c r="V1" s="16" t="s">
        <v>15</v>
      </c>
      <c r="W1" s="16" t="s">
        <v>16</v>
      </c>
      <c r="X1" s="16" t="s">
        <v>17</v>
      </c>
      <c r="Y1" s="16" t="s">
        <v>699</v>
      </c>
      <c r="Z1" s="16" t="s">
        <v>700</v>
      </c>
    </row>
    <row r="2" spans="1:30">
      <c r="A2" s="17">
        <v>10009</v>
      </c>
      <c r="B2" s="17">
        <v>2</v>
      </c>
      <c r="C2" s="17">
        <v>6</v>
      </c>
      <c r="D2" s="17" t="s">
        <v>64</v>
      </c>
      <c r="E2" s="17" t="s">
        <v>65</v>
      </c>
      <c r="F2" s="17" t="str">
        <f>TEXT(data[[#This Row],[ShipDate]],"yyyy - mmmm")</f>
        <v>2016 - April</v>
      </c>
      <c r="G2" s="17" t="str">
        <f>data[[#This Row],[OriginCity]] &amp; " - "  &amp; data[[#This Row],[DestinationCity]]</f>
        <v>Monon - Lansing</v>
      </c>
      <c r="H2" s="17" t="s">
        <v>53</v>
      </c>
      <c r="I2" s="17" t="s">
        <v>44</v>
      </c>
      <c r="J2" s="17">
        <v>10</v>
      </c>
      <c r="K2" s="17" t="s">
        <v>66</v>
      </c>
      <c r="L2" s="17" t="s">
        <v>21</v>
      </c>
      <c r="M2" s="17" t="s">
        <v>67</v>
      </c>
      <c r="N2" s="17">
        <v>804</v>
      </c>
      <c r="O2" s="17">
        <v>663</v>
      </c>
      <c r="P2" s="26">
        <f>(data[[#This Row],[LoadedMiles]]/data[[#This Row],[TotalMiles]])*100</f>
        <v>82.462686567164184</v>
      </c>
      <c r="Q2" s="25">
        <f>data[[#This Row],[ShippingCost]]/data[[#This Row],[TotalMiles]]</f>
        <v>4.6592039800995027</v>
      </c>
      <c r="R2" s="17">
        <v>3746</v>
      </c>
      <c r="S2" s="25">
        <f>data[[#This Row],[Revenue]]/data[[#This Row],[TotalMiles]]</f>
        <v>5.1082089552238807</v>
      </c>
      <c r="T2" s="26">
        <f>data[[#This Row],[Revenue]]-data[[#This Row],[ShippingCost]]</f>
        <v>361</v>
      </c>
      <c r="U2" s="17">
        <v>4107</v>
      </c>
      <c r="V2" s="17">
        <v>90</v>
      </c>
      <c r="W2" s="17" t="s">
        <v>68</v>
      </c>
      <c r="X2" s="17">
        <v>4</v>
      </c>
      <c r="Y2" s="17">
        <f>data[[#This Row],[DeliveryDate]]-data[[#This Row],[ShipDate]]</f>
        <v>10</v>
      </c>
      <c r="Z2" s="17" t="str">
        <f>IF(data[[#This Row],[Actual Delivery Days]]&gt;AD3,"Yes","No")</f>
        <v>Yes</v>
      </c>
    </row>
    <row r="3" spans="1:30">
      <c r="A3" s="17">
        <v>10012</v>
      </c>
      <c r="B3" s="17">
        <v>2</v>
      </c>
      <c r="C3" s="17">
        <v>8</v>
      </c>
      <c r="D3" s="17" t="s">
        <v>80</v>
      </c>
      <c r="E3" s="17" t="s">
        <v>81</v>
      </c>
      <c r="F3" s="17" t="str">
        <f>TEXT(data[[#This Row],[ShipDate]],"yyyy - mmmm")</f>
        <v>2016 - March</v>
      </c>
      <c r="G3" s="17" t="str">
        <f>data[[#This Row],[OriginCity]] &amp; " - "  &amp; data[[#This Row],[DestinationCity]]</f>
        <v>Rockford - Green Bay</v>
      </c>
      <c r="H3" s="17" t="s">
        <v>40</v>
      </c>
      <c r="I3" s="17" t="s">
        <v>31</v>
      </c>
      <c r="J3" s="17">
        <v>10</v>
      </c>
      <c r="K3" s="17" t="s">
        <v>75</v>
      </c>
      <c r="L3" s="17" t="s">
        <v>29</v>
      </c>
      <c r="M3" s="17" t="s">
        <v>82</v>
      </c>
      <c r="N3" s="17">
        <v>1175</v>
      </c>
      <c r="O3" s="17">
        <v>361</v>
      </c>
      <c r="P3" s="26">
        <f>(data[[#This Row],[LoadedMiles]]/data[[#This Row],[TotalMiles]])*100</f>
        <v>30.723404255319149</v>
      </c>
      <c r="Q3" s="25">
        <f>data[[#This Row],[ShippingCost]]/data[[#This Row],[TotalMiles]]</f>
        <v>0.64936170212765953</v>
      </c>
      <c r="R3" s="17">
        <v>763</v>
      </c>
      <c r="S3" s="25">
        <f>data[[#This Row],[Revenue]]/data[[#This Row],[TotalMiles]]</f>
        <v>1.2570212765957447</v>
      </c>
      <c r="T3" s="26">
        <f>data[[#This Row],[Revenue]]-data[[#This Row],[ShippingCost]]</f>
        <v>714</v>
      </c>
      <c r="U3" s="17">
        <v>1477</v>
      </c>
      <c r="V3" s="17">
        <v>50</v>
      </c>
      <c r="W3" s="17" t="s">
        <v>68</v>
      </c>
      <c r="X3" s="17">
        <v>10</v>
      </c>
      <c r="Y3" s="17">
        <f>data[[#This Row],[DeliveryDate]]-data[[#This Row],[ShipDate]]</f>
        <v>4</v>
      </c>
      <c r="Z3" s="17" t="str">
        <f>IF(data[[#This Row],[Actual Delivery Days]]&gt;AD4,"Yes","No")</f>
        <v>Yes</v>
      </c>
      <c r="AD3" s="29"/>
    </row>
    <row r="4" spans="1:30">
      <c r="A4" s="17">
        <v>10026</v>
      </c>
      <c r="B4" s="17">
        <v>2</v>
      </c>
      <c r="C4" s="17">
        <v>6</v>
      </c>
      <c r="D4" s="17" t="s">
        <v>131</v>
      </c>
      <c r="E4" s="17" t="s">
        <v>132</v>
      </c>
      <c r="F4" s="17" t="str">
        <f>TEXT(data[[#This Row],[ShipDate]],"yyyy - mmmm")</f>
        <v>2016 - February</v>
      </c>
      <c r="G4" s="17" t="str">
        <f>data[[#This Row],[OriginCity]] &amp; " - "  &amp; data[[#This Row],[DestinationCity]]</f>
        <v>Northbrook - Naperville</v>
      </c>
      <c r="H4" s="17" t="s">
        <v>45</v>
      </c>
      <c r="I4" s="17" t="s">
        <v>31</v>
      </c>
      <c r="J4" s="17">
        <v>10</v>
      </c>
      <c r="K4" s="17" t="s">
        <v>48</v>
      </c>
      <c r="L4" s="17" t="s">
        <v>31</v>
      </c>
      <c r="M4" s="17" t="s">
        <v>133</v>
      </c>
      <c r="N4" s="17">
        <v>875</v>
      </c>
      <c r="O4" s="17">
        <v>247</v>
      </c>
      <c r="P4" s="26">
        <f>(data[[#This Row],[LoadedMiles]]/data[[#This Row],[TotalMiles]])*100</f>
        <v>28.228571428571431</v>
      </c>
      <c r="Q4" s="25">
        <f>data[[#This Row],[ShippingCost]]/data[[#This Row],[TotalMiles]]</f>
        <v>2.0342857142857143</v>
      </c>
      <c r="R4" s="17">
        <v>1780</v>
      </c>
      <c r="S4" s="25">
        <f>data[[#This Row],[Revenue]]/data[[#This Row],[TotalMiles]]</f>
        <v>2.7942857142857145</v>
      </c>
      <c r="T4" s="26">
        <f>data[[#This Row],[Revenue]]-data[[#This Row],[ShippingCost]]</f>
        <v>665</v>
      </c>
      <c r="U4" s="17">
        <v>2445</v>
      </c>
      <c r="V4" s="17">
        <v>70</v>
      </c>
      <c r="W4" s="17" t="s">
        <v>68</v>
      </c>
      <c r="X4" s="17">
        <v>8</v>
      </c>
      <c r="Y4" s="17">
        <f>data[[#This Row],[DeliveryDate]]-data[[#This Row],[ShipDate]]</f>
        <v>10</v>
      </c>
      <c r="Z4" s="17" t="str">
        <f>IF(data[[#This Row],[Actual Delivery Days]]&gt;AD5,"Yes","No")</f>
        <v>Yes</v>
      </c>
    </row>
    <row r="5" spans="1:30">
      <c r="A5" s="17">
        <v>10042</v>
      </c>
      <c r="B5" s="17">
        <v>1</v>
      </c>
      <c r="C5" s="17">
        <v>5</v>
      </c>
      <c r="D5" s="17" t="s">
        <v>182</v>
      </c>
      <c r="E5" s="17" t="s">
        <v>183</v>
      </c>
      <c r="F5" s="17" t="str">
        <f>TEXT(data[[#This Row],[ShipDate]],"yyyy - mmmm")</f>
        <v>2016 - July</v>
      </c>
      <c r="G5" s="17" t="str">
        <f>data[[#This Row],[OriginCity]] &amp; " - "  &amp; data[[#This Row],[DestinationCity]]</f>
        <v>Milwaukee - Springfield</v>
      </c>
      <c r="H5" s="17" t="s">
        <v>28</v>
      </c>
      <c r="I5" s="17" t="s">
        <v>29</v>
      </c>
      <c r="J5" s="17">
        <v>10</v>
      </c>
      <c r="K5" s="17" t="s">
        <v>30</v>
      </c>
      <c r="L5" s="17" t="s">
        <v>31</v>
      </c>
      <c r="M5" s="17" t="s">
        <v>184</v>
      </c>
      <c r="N5" s="17">
        <v>219</v>
      </c>
      <c r="O5" s="17">
        <v>219</v>
      </c>
      <c r="P5" s="26">
        <f>(data[[#This Row],[LoadedMiles]]/data[[#This Row],[TotalMiles]])*100</f>
        <v>100</v>
      </c>
      <c r="Q5" s="25">
        <f>data[[#This Row],[ShippingCost]]/data[[#This Row],[TotalMiles]]</f>
        <v>3.6621004566210047</v>
      </c>
      <c r="R5" s="17">
        <v>802</v>
      </c>
      <c r="S5" s="25">
        <f>data[[#This Row],[Revenue]]/data[[#This Row],[TotalMiles]]</f>
        <v>5.4063926940639266</v>
      </c>
      <c r="T5" s="26">
        <f>data[[#This Row],[Revenue]]-data[[#This Row],[ShippingCost]]</f>
        <v>382</v>
      </c>
      <c r="U5" s="17">
        <v>1184</v>
      </c>
      <c r="V5" s="17">
        <v>59</v>
      </c>
      <c r="W5" s="17" t="s">
        <v>68</v>
      </c>
      <c r="X5" s="17">
        <v>7</v>
      </c>
      <c r="Y5" s="17">
        <f>data[[#This Row],[DeliveryDate]]-data[[#This Row],[ShipDate]]</f>
        <v>10</v>
      </c>
      <c r="Z5" s="17" t="str">
        <f>IF(data[[#This Row],[Actual Delivery Days]]&gt;AD6,"Yes","No")</f>
        <v>Yes</v>
      </c>
    </row>
    <row r="6" spans="1:30">
      <c r="A6" s="17">
        <v>10050</v>
      </c>
      <c r="B6" s="17">
        <v>2</v>
      </c>
      <c r="C6" s="17">
        <v>5</v>
      </c>
      <c r="D6" s="17" t="s">
        <v>203</v>
      </c>
      <c r="E6" s="17" t="s">
        <v>204</v>
      </c>
      <c r="F6" s="17" t="str">
        <f>TEXT(data[[#This Row],[ShipDate]],"yyyy - mmmm")</f>
        <v>2016 - January</v>
      </c>
      <c r="G6" s="17" t="str">
        <f>data[[#This Row],[OriginCity]] &amp; " - "  &amp; data[[#This Row],[DestinationCity]]</f>
        <v>Madison - Kalamazoo</v>
      </c>
      <c r="H6" s="17" t="s">
        <v>62</v>
      </c>
      <c r="I6" s="17" t="s">
        <v>29</v>
      </c>
      <c r="J6" s="17">
        <v>10</v>
      </c>
      <c r="K6" s="17" t="s">
        <v>71</v>
      </c>
      <c r="L6" s="17" t="s">
        <v>21</v>
      </c>
      <c r="M6" s="17" t="s">
        <v>92</v>
      </c>
      <c r="N6" s="17">
        <v>254</v>
      </c>
      <c r="O6" s="17">
        <v>254</v>
      </c>
      <c r="P6" s="26">
        <f>(data[[#This Row],[LoadedMiles]]/data[[#This Row],[TotalMiles]])*100</f>
        <v>100</v>
      </c>
      <c r="Q6" s="25">
        <f>data[[#This Row],[ShippingCost]]/data[[#This Row],[TotalMiles]]</f>
        <v>12.681102362204724</v>
      </c>
      <c r="R6" s="17">
        <v>3221</v>
      </c>
      <c r="S6" s="25">
        <f>data[[#This Row],[Revenue]]/data[[#This Row],[TotalMiles]]</f>
        <v>13.547244094488189</v>
      </c>
      <c r="T6" s="26">
        <f>data[[#This Row],[Revenue]]-data[[#This Row],[ShippingCost]]</f>
        <v>220</v>
      </c>
      <c r="U6" s="17">
        <v>3441</v>
      </c>
      <c r="V6" s="17">
        <v>71</v>
      </c>
      <c r="W6" s="17" t="s">
        <v>68</v>
      </c>
      <c r="X6" s="17">
        <v>10</v>
      </c>
      <c r="Y6" s="17">
        <f>data[[#This Row],[DeliveryDate]]-data[[#This Row],[ShipDate]]</f>
        <v>9</v>
      </c>
      <c r="Z6" s="17" t="str">
        <f>IF(data[[#This Row],[Actual Delivery Days]]&gt;AD7,"Yes","No")</f>
        <v>Yes</v>
      </c>
    </row>
    <row r="7" spans="1:30">
      <c r="A7" s="17">
        <v>10110</v>
      </c>
      <c r="B7" s="17">
        <v>2</v>
      </c>
      <c r="C7" s="17">
        <v>7</v>
      </c>
      <c r="D7" s="17" t="s">
        <v>338</v>
      </c>
      <c r="E7" s="17" t="s">
        <v>216</v>
      </c>
      <c r="F7" s="17" t="str">
        <f>TEXT(data[[#This Row],[ShipDate]],"yyyy - mmmm")</f>
        <v>2016 - August</v>
      </c>
      <c r="G7" s="17" t="str">
        <f>data[[#This Row],[OriginCity]] &amp; " - "  &amp; data[[#This Row],[DestinationCity]]</f>
        <v>Monon - Lansing</v>
      </c>
      <c r="H7" s="17" t="s">
        <v>53</v>
      </c>
      <c r="I7" s="17" t="s">
        <v>44</v>
      </c>
      <c r="J7" s="17">
        <v>10</v>
      </c>
      <c r="K7" s="17" t="s">
        <v>66</v>
      </c>
      <c r="L7" s="17" t="s">
        <v>21</v>
      </c>
      <c r="M7" s="17" t="s">
        <v>339</v>
      </c>
      <c r="N7" s="17">
        <v>201</v>
      </c>
      <c r="O7" s="17">
        <v>201</v>
      </c>
      <c r="P7" s="26">
        <f>(data[[#This Row],[LoadedMiles]]/data[[#This Row],[TotalMiles]])*100</f>
        <v>100</v>
      </c>
      <c r="Q7" s="25">
        <f>data[[#This Row],[ShippingCost]]/data[[#This Row],[TotalMiles]]</f>
        <v>10.532338308457712</v>
      </c>
      <c r="R7" s="17">
        <v>2117</v>
      </c>
      <c r="S7" s="25">
        <f>data[[#This Row],[Revenue]]/data[[#This Row],[TotalMiles]]</f>
        <v>15.159203980099502</v>
      </c>
      <c r="T7" s="26">
        <f>data[[#This Row],[Revenue]]-data[[#This Row],[ShippingCost]]</f>
        <v>930</v>
      </c>
      <c r="U7" s="17">
        <v>3047</v>
      </c>
      <c r="V7" s="17">
        <v>70</v>
      </c>
      <c r="W7" s="17" t="s">
        <v>68</v>
      </c>
      <c r="X7" s="17">
        <v>8</v>
      </c>
      <c r="Y7" s="17">
        <f>data[[#This Row],[DeliveryDate]]-data[[#This Row],[ShipDate]]</f>
        <v>10</v>
      </c>
      <c r="Z7" s="17" t="str">
        <f>IF(data[[#This Row],[Actual Delivery Days]]&gt;AD8,"Yes","No")</f>
        <v>Yes</v>
      </c>
    </row>
    <row r="8" spans="1:30">
      <c r="A8" s="17">
        <v>10113</v>
      </c>
      <c r="B8" s="17">
        <v>1</v>
      </c>
      <c r="C8" s="17">
        <v>4</v>
      </c>
      <c r="D8" s="17" t="s">
        <v>345</v>
      </c>
      <c r="E8" s="17" t="s">
        <v>79</v>
      </c>
      <c r="F8" s="17" t="str">
        <f>TEXT(data[[#This Row],[ShipDate]],"yyyy - mmmm")</f>
        <v>2016 - June</v>
      </c>
      <c r="G8" s="17" t="str">
        <f>data[[#This Row],[OriginCity]] &amp; " - "  &amp; data[[#This Row],[DestinationCity]]</f>
        <v>Rockford - Green Bay</v>
      </c>
      <c r="H8" s="17" t="s">
        <v>40</v>
      </c>
      <c r="I8" s="17" t="s">
        <v>31</v>
      </c>
      <c r="J8" s="17">
        <v>10</v>
      </c>
      <c r="K8" s="17" t="s">
        <v>75</v>
      </c>
      <c r="L8" s="17" t="s">
        <v>29</v>
      </c>
      <c r="M8" s="17" t="s">
        <v>82</v>
      </c>
      <c r="N8" s="17">
        <v>360</v>
      </c>
      <c r="O8" s="17">
        <v>316</v>
      </c>
      <c r="P8" s="26">
        <f>(data[[#This Row],[LoadedMiles]]/data[[#This Row],[TotalMiles]])*100</f>
        <v>87.777777777777771</v>
      </c>
      <c r="Q8" s="25">
        <f>data[[#This Row],[ShippingCost]]/data[[#This Row],[TotalMiles]]</f>
        <v>7.4638888888888886</v>
      </c>
      <c r="R8" s="17">
        <v>2687</v>
      </c>
      <c r="S8" s="25">
        <f>data[[#This Row],[Revenue]]/data[[#This Row],[TotalMiles]]</f>
        <v>2.1555555555555554</v>
      </c>
      <c r="T8" s="26">
        <f>data[[#This Row],[Revenue]]-data[[#This Row],[ShippingCost]]</f>
        <v>-1911</v>
      </c>
      <c r="U8" s="17">
        <v>776</v>
      </c>
      <c r="V8" s="17">
        <v>94</v>
      </c>
      <c r="W8" s="17" t="s">
        <v>68</v>
      </c>
      <c r="X8" s="17">
        <v>1</v>
      </c>
      <c r="Y8" s="17">
        <f>data[[#This Row],[DeliveryDate]]-data[[#This Row],[ShipDate]]</f>
        <v>-91</v>
      </c>
      <c r="Z8" s="17" t="str">
        <f>IF(data[[#This Row],[Actual Delivery Days]]&gt;AD9,"Yes","No")</f>
        <v>No</v>
      </c>
    </row>
    <row r="9" spans="1:30">
      <c r="A9" s="17">
        <v>10119</v>
      </c>
      <c r="B9" s="17">
        <v>2</v>
      </c>
      <c r="C9" s="17">
        <v>7</v>
      </c>
      <c r="D9" s="17" t="s">
        <v>356</v>
      </c>
      <c r="E9" s="17" t="s">
        <v>227</v>
      </c>
      <c r="F9" s="17" t="str">
        <f>TEXT(data[[#This Row],[ShipDate]],"yyyy - mmmm")</f>
        <v>2016 - May</v>
      </c>
      <c r="G9" s="17" t="str">
        <f>data[[#This Row],[OriginCity]] &amp; " - "  &amp; data[[#This Row],[DestinationCity]]</f>
        <v>Bangor - Davenport</v>
      </c>
      <c r="H9" s="17" t="s">
        <v>104</v>
      </c>
      <c r="I9" s="17" t="s">
        <v>21</v>
      </c>
      <c r="J9" s="17">
        <v>10</v>
      </c>
      <c r="K9" s="17" t="s">
        <v>105</v>
      </c>
      <c r="L9" s="17" t="s">
        <v>106</v>
      </c>
      <c r="M9" s="17" t="s">
        <v>312</v>
      </c>
      <c r="N9" s="17">
        <v>411</v>
      </c>
      <c r="O9" s="17">
        <v>290</v>
      </c>
      <c r="P9" s="26">
        <f>(data[[#This Row],[LoadedMiles]]/data[[#This Row],[TotalMiles]])*100</f>
        <v>70.559610705596114</v>
      </c>
      <c r="Q9" s="25">
        <f>data[[#This Row],[ShippingCost]]/data[[#This Row],[TotalMiles]]</f>
        <v>14.639902676399027</v>
      </c>
      <c r="R9" s="17">
        <v>6017</v>
      </c>
      <c r="S9" s="25">
        <f>data[[#This Row],[Revenue]]/data[[#This Row],[TotalMiles]]</f>
        <v>14.888077858880779</v>
      </c>
      <c r="T9" s="26">
        <f>data[[#This Row],[Revenue]]-data[[#This Row],[ShippingCost]]</f>
        <v>102</v>
      </c>
      <c r="U9" s="17">
        <v>6119</v>
      </c>
      <c r="V9" s="17">
        <v>100</v>
      </c>
      <c r="W9" s="17" t="s">
        <v>68</v>
      </c>
      <c r="X9" s="17">
        <v>1</v>
      </c>
      <c r="Y9" s="17">
        <f>data[[#This Row],[DeliveryDate]]-data[[#This Row],[ShipDate]]</f>
        <v>7</v>
      </c>
      <c r="Z9" s="17" t="str">
        <f>IF(data[[#This Row],[Actual Delivery Days]]&gt;AD10,"Yes","No")</f>
        <v>Yes</v>
      </c>
    </row>
    <row r="10" spans="1:30">
      <c r="A10" s="17">
        <v>10129</v>
      </c>
      <c r="B10" s="17">
        <v>2</v>
      </c>
      <c r="C10" s="17">
        <v>5</v>
      </c>
      <c r="D10" s="17" t="s">
        <v>371</v>
      </c>
      <c r="E10" s="17" t="s">
        <v>121</v>
      </c>
      <c r="F10" s="17" t="str">
        <f>TEXT(data[[#This Row],[ShipDate]],"yyyy - mmmm")</f>
        <v>2016 - April</v>
      </c>
      <c r="G10" s="17" t="str">
        <f>data[[#This Row],[OriginCity]] &amp; " - "  &amp; data[[#This Row],[DestinationCity]]</f>
        <v>Northbrook - Naperville</v>
      </c>
      <c r="H10" s="17" t="s">
        <v>45</v>
      </c>
      <c r="I10" s="17" t="s">
        <v>31</v>
      </c>
      <c r="J10" s="17">
        <v>10</v>
      </c>
      <c r="K10" s="17" t="s">
        <v>48</v>
      </c>
      <c r="L10" s="17" t="s">
        <v>31</v>
      </c>
      <c r="M10" s="17" t="s">
        <v>161</v>
      </c>
      <c r="N10" s="17">
        <v>365</v>
      </c>
      <c r="O10" s="17">
        <v>365</v>
      </c>
      <c r="P10" s="26">
        <f>(data[[#This Row],[LoadedMiles]]/data[[#This Row],[TotalMiles]])*100</f>
        <v>100</v>
      </c>
      <c r="Q10" s="25">
        <f>data[[#This Row],[ShippingCost]]/data[[#This Row],[TotalMiles]]</f>
        <v>21.210958904109589</v>
      </c>
      <c r="R10" s="17">
        <v>7742</v>
      </c>
      <c r="S10" s="25">
        <f>data[[#This Row],[Revenue]]/data[[#This Row],[TotalMiles]]</f>
        <v>22.082191780821919</v>
      </c>
      <c r="T10" s="26">
        <f>data[[#This Row],[Revenue]]-data[[#This Row],[ShippingCost]]</f>
        <v>318</v>
      </c>
      <c r="U10" s="17">
        <v>8060</v>
      </c>
      <c r="V10" s="17">
        <v>90</v>
      </c>
      <c r="W10" s="17" t="s">
        <v>68</v>
      </c>
      <c r="X10" s="17">
        <v>9</v>
      </c>
      <c r="Y10" s="17">
        <f>data[[#This Row],[DeliveryDate]]-data[[#This Row],[ShipDate]]</f>
        <v>10</v>
      </c>
      <c r="Z10" s="17" t="str">
        <f>IF(data[[#This Row],[Actual Delivery Days]]&gt;AD11,"Yes","No")</f>
        <v>Yes</v>
      </c>
    </row>
    <row r="11" spans="1:30">
      <c r="A11" s="17">
        <v>10137</v>
      </c>
      <c r="B11" s="17">
        <v>2</v>
      </c>
      <c r="C11" s="17">
        <v>6</v>
      </c>
      <c r="D11" s="17" t="s">
        <v>385</v>
      </c>
      <c r="E11" s="17" t="s">
        <v>386</v>
      </c>
      <c r="F11" s="17" t="str">
        <f>TEXT(data[[#This Row],[ShipDate]],"yyyy - mmmm")</f>
        <v>2016 - July</v>
      </c>
      <c r="G11" s="17" t="str">
        <f>data[[#This Row],[OriginCity]] &amp; " - "  &amp; data[[#This Row],[DestinationCity]]</f>
        <v>Cincinnati - Gary</v>
      </c>
      <c r="H11" s="17" t="s">
        <v>89</v>
      </c>
      <c r="I11" s="17" t="s">
        <v>23</v>
      </c>
      <c r="J11" s="17">
        <v>10</v>
      </c>
      <c r="K11" s="17" t="s">
        <v>57</v>
      </c>
      <c r="L11" s="17" t="s">
        <v>44</v>
      </c>
      <c r="M11" s="17" t="s">
        <v>387</v>
      </c>
      <c r="N11" s="17">
        <v>660</v>
      </c>
      <c r="O11" s="17">
        <v>570</v>
      </c>
      <c r="P11" s="26">
        <f>(data[[#This Row],[LoadedMiles]]/data[[#This Row],[TotalMiles]])*100</f>
        <v>86.36363636363636</v>
      </c>
      <c r="Q11" s="25">
        <f>data[[#This Row],[ShippingCost]]/data[[#This Row],[TotalMiles]]</f>
        <v>4.2015151515151512</v>
      </c>
      <c r="R11" s="17">
        <v>2773</v>
      </c>
      <c r="S11" s="25">
        <f>data[[#This Row],[Revenue]]/data[[#This Row],[TotalMiles]]</f>
        <v>4.8530303030303035</v>
      </c>
      <c r="T11" s="26">
        <f>data[[#This Row],[Revenue]]-data[[#This Row],[ShippingCost]]</f>
        <v>430</v>
      </c>
      <c r="U11" s="17">
        <v>3203</v>
      </c>
      <c r="V11" s="17">
        <v>100</v>
      </c>
      <c r="W11" s="17" t="s">
        <v>68</v>
      </c>
      <c r="X11" s="17">
        <v>4</v>
      </c>
      <c r="Y11" s="17">
        <f>data[[#This Row],[DeliveryDate]]-data[[#This Row],[ShipDate]]</f>
        <v>9</v>
      </c>
      <c r="Z11" s="17" t="str">
        <f>IF(data[[#This Row],[Actual Delivery Days]]&gt;AD12,"Yes","No")</f>
        <v>Yes</v>
      </c>
    </row>
    <row r="12" spans="1:30">
      <c r="A12" s="17">
        <v>10154</v>
      </c>
      <c r="B12" s="17">
        <v>2</v>
      </c>
      <c r="C12" s="17">
        <v>5</v>
      </c>
      <c r="D12" s="17" t="s">
        <v>417</v>
      </c>
      <c r="E12" s="17" t="s">
        <v>418</v>
      </c>
      <c r="F12" s="17" t="str">
        <f>TEXT(data[[#This Row],[ShipDate]],"yyyy - mmmm")</f>
        <v>2016 - April</v>
      </c>
      <c r="G12" s="17" t="str">
        <f>data[[#This Row],[OriginCity]] &amp; " - "  &amp; data[[#This Row],[DestinationCity]]</f>
        <v>Madison - Kalamazoo</v>
      </c>
      <c r="H12" s="17" t="s">
        <v>62</v>
      </c>
      <c r="I12" s="17" t="s">
        <v>29</v>
      </c>
      <c r="J12" s="17">
        <v>10</v>
      </c>
      <c r="K12" s="17" t="s">
        <v>71</v>
      </c>
      <c r="L12" s="17" t="s">
        <v>21</v>
      </c>
      <c r="M12" s="17" t="s">
        <v>98</v>
      </c>
      <c r="N12" s="17">
        <v>1047</v>
      </c>
      <c r="O12" s="17">
        <v>476</v>
      </c>
      <c r="P12" s="26">
        <f>(data[[#This Row],[LoadedMiles]]/data[[#This Row],[TotalMiles]])*100</f>
        <v>45.463228271251197</v>
      </c>
      <c r="Q12" s="25">
        <f>data[[#This Row],[ShippingCost]]/data[[#This Row],[TotalMiles]]</f>
        <v>1.3056351480420247</v>
      </c>
      <c r="R12" s="17">
        <v>1367</v>
      </c>
      <c r="S12" s="25">
        <f>data[[#This Row],[Revenue]]/data[[#This Row],[TotalMiles]]</f>
        <v>1.7297039159503342</v>
      </c>
      <c r="T12" s="26">
        <f>data[[#This Row],[Revenue]]-data[[#This Row],[ShippingCost]]</f>
        <v>444</v>
      </c>
      <c r="U12" s="17">
        <v>1811</v>
      </c>
      <c r="V12" s="17">
        <v>96</v>
      </c>
      <c r="W12" s="17" t="s">
        <v>68</v>
      </c>
      <c r="X12" s="17">
        <v>10</v>
      </c>
      <c r="Y12" s="17">
        <f>data[[#This Row],[DeliveryDate]]-data[[#This Row],[ShipDate]]</f>
        <v>8</v>
      </c>
      <c r="Z12" s="17" t="str">
        <f>IF(data[[#This Row],[Actual Delivery Days]]&gt;AD13,"Yes","No")</f>
        <v>Yes</v>
      </c>
    </row>
    <row r="13" spans="1:30">
      <c r="A13" s="17">
        <v>10167</v>
      </c>
      <c r="B13" s="17">
        <v>2</v>
      </c>
      <c r="C13" s="17">
        <v>8</v>
      </c>
      <c r="D13" s="17" t="s">
        <v>440</v>
      </c>
      <c r="E13" s="17" t="s">
        <v>386</v>
      </c>
      <c r="F13" s="17" t="str">
        <f>TEXT(data[[#This Row],[ShipDate]],"yyyy - mmmm")</f>
        <v>2016 - July</v>
      </c>
      <c r="G13" s="17" t="str">
        <f>data[[#This Row],[OriginCity]] &amp; " - "  &amp; data[[#This Row],[DestinationCity]]</f>
        <v>Milwaukee - Springfield</v>
      </c>
      <c r="H13" s="17" t="s">
        <v>28</v>
      </c>
      <c r="I13" s="17" t="s">
        <v>29</v>
      </c>
      <c r="J13" s="17">
        <v>10</v>
      </c>
      <c r="K13" s="17" t="s">
        <v>30</v>
      </c>
      <c r="L13" s="17" t="s">
        <v>31</v>
      </c>
      <c r="M13" s="17" t="s">
        <v>82</v>
      </c>
      <c r="N13" s="17">
        <v>422</v>
      </c>
      <c r="O13" s="17">
        <v>422</v>
      </c>
      <c r="P13" s="26">
        <f>(data[[#This Row],[LoadedMiles]]/data[[#This Row],[TotalMiles]])*100</f>
        <v>100</v>
      </c>
      <c r="Q13" s="25">
        <f>data[[#This Row],[ShippingCost]]/data[[#This Row],[TotalMiles]]</f>
        <v>5.4502369668246446</v>
      </c>
      <c r="R13" s="17">
        <v>2300</v>
      </c>
      <c r="S13" s="25">
        <f>data[[#This Row],[Revenue]]/data[[#This Row],[TotalMiles]]</f>
        <v>6.9383886255924168</v>
      </c>
      <c r="T13" s="26">
        <f>data[[#This Row],[Revenue]]-data[[#This Row],[ShippingCost]]</f>
        <v>628</v>
      </c>
      <c r="U13" s="17">
        <v>2928</v>
      </c>
      <c r="V13" s="17">
        <v>57</v>
      </c>
      <c r="W13" s="17" t="s">
        <v>68</v>
      </c>
      <c r="X13" s="17">
        <v>7</v>
      </c>
      <c r="Y13" s="17">
        <f>data[[#This Row],[DeliveryDate]]-data[[#This Row],[ShipDate]]</f>
        <v>-132</v>
      </c>
      <c r="Z13" s="17" t="str">
        <f>IF(data[[#This Row],[Actual Delivery Days]]&gt;AD14,"Yes","No")</f>
        <v>No</v>
      </c>
    </row>
    <row r="14" spans="1:30">
      <c r="A14" s="17">
        <v>10205</v>
      </c>
      <c r="B14" s="17">
        <v>1</v>
      </c>
      <c r="C14" s="17">
        <v>6</v>
      </c>
      <c r="D14" s="17" t="s">
        <v>501</v>
      </c>
      <c r="E14" s="17" t="s">
        <v>355</v>
      </c>
      <c r="F14" s="17" t="str">
        <f>TEXT(data[[#This Row],[ShipDate]],"yyyy - mmmm")</f>
        <v>2016 - March</v>
      </c>
      <c r="G14" s="17" t="str">
        <f>data[[#This Row],[OriginCity]] &amp; " - "  &amp; data[[#This Row],[DestinationCity]]</f>
        <v>Davenport - Appleton</v>
      </c>
      <c r="H14" s="17" t="s">
        <v>105</v>
      </c>
      <c r="I14" s="17" t="s">
        <v>106</v>
      </c>
      <c r="J14" s="17">
        <v>10</v>
      </c>
      <c r="K14" s="17" t="s">
        <v>85</v>
      </c>
      <c r="L14" s="17" t="s">
        <v>29</v>
      </c>
      <c r="M14" s="17" t="s">
        <v>186</v>
      </c>
      <c r="N14" s="17">
        <v>337</v>
      </c>
      <c r="O14" s="17">
        <v>337</v>
      </c>
      <c r="P14" s="26">
        <f>(data[[#This Row],[LoadedMiles]]/data[[#This Row],[TotalMiles]])*100</f>
        <v>100</v>
      </c>
      <c r="Q14" s="25">
        <f>data[[#This Row],[ShippingCost]]/data[[#This Row],[TotalMiles]]</f>
        <v>22.17507418397626</v>
      </c>
      <c r="R14" s="17">
        <v>7473</v>
      </c>
      <c r="S14" s="25">
        <f>data[[#This Row],[Revenue]]/data[[#This Row],[TotalMiles]]</f>
        <v>24.002967359050444</v>
      </c>
      <c r="T14" s="26">
        <f>data[[#This Row],[Revenue]]-data[[#This Row],[ShippingCost]]</f>
        <v>616</v>
      </c>
      <c r="U14" s="17">
        <v>8089</v>
      </c>
      <c r="V14" s="17">
        <v>62</v>
      </c>
      <c r="W14" s="17" t="s">
        <v>68</v>
      </c>
      <c r="X14" s="17">
        <v>9</v>
      </c>
      <c r="Y14" s="17">
        <f>data[[#This Row],[DeliveryDate]]-data[[#This Row],[ShipDate]]</f>
        <v>7</v>
      </c>
      <c r="Z14" s="17" t="str">
        <f>IF(data[[#This Row],[Actual Delivery Days]]&gt;AD15,"Yes","No")</f>
        <v>Yes</v>
      </c>
    </row>
    <row r="15" spans="1:30">
      <c r="A15" s="17">
        <v>10223</v>
      </c>
      <c r="B15" s="17">
        <v>1</v>
      </c>
      <c r="C15" s="17">
        <v>5</v>
      </c>
      <c r="D15" s="17" t="s">
        <v>524</v>
      </c>
      <c r="E15" s="17" t="s">
        <v>199</v>
      </c>
      <c r="F15" s="17" t="str">
        <f>TEXT(data[[#This Row],[ShipDate]],"yyyy - mmmm")</f>
        <v>2016 - March</v>
      </c>
      <c r="G15" s="17" t="str">
        <f>data[[#This Row],[OriginCity]] &amp; " - "  &amp; data[[#This Row],[DestinationCity]]</f>
        <v>Lansing - Dayton</v>
      </c>
      <c r="H15" s="17" t="s">
        <v>66</v>
      </c>
      <c r="I15" s="17" t="s">
        <v>21</v>
      </c>
      <c r="J15" s="17">
        <v>10</v>
      </c>
      <c r="K15" s="17" t="s">
        <v>93</v>
      </c>
      <c r="L15" s="17" t="s">
        <v>23</v>
      </c>
      <c r="M15" s="17" t="s">
        <v>270</v>
      </c>
      <c r="N15" s="17">
        <v>338</v>
      </c>
      <c r="O15" s="17">
        <v>338</v>
      </c>
      <c r="P15" s="26">
        <f>(data[[#This Row],[LoadedMiles]]/data[[#This Row],[TotalMiles]])*100</f>
        <v>100</v>
      </c>
      <c r="Q15" s="25">
        <f>data[[#This Row],[ShippingCost]]/data[[#This Row],[TotalMiles]]</f>
        <v>8.3461538461538467</v>
      </c>
      <c r="R15" s="17">
        <v>2821</v>
      </c>
      <c r="S15" s="25">
        <f>data[[#This Row],[Revenue]]/data[[#This Row],[TotalMiles]]</f>
        <v>11.094674556213018</v>
      </c>
      <c r="T15" s="26">
        <f>data[[#This Row],[Revenue]]-data[[#This Row],[ShippingCost]]</f>
        <v>929</v>
      </c>
      <c r="U15" s="17">
        <v>3750</v>
      </c>
      <c r="V15" s="17">
        <v>73</v>
      </c>
      <c r="W15" s="17" t="s">
        <v>68</v>
      </c>
      <c r="X15" s="17">
        <v>8</v>
      </c>
      <c r="Y15" s="17">
        <f>data[[#This Row],[DeliveryDate]]-data[[#This Row],[ShipDate]]</f>
        <v>9</v>
      </c>
      <c r="Z15" s="17" t="str">
        <f>IF(data[[#This Row],[Actual Delivery Days]]&gt;AD16,"Yes","No")</f>
        <v>Yes</v>
      </c>
    </row>
    <row r="16" spans="1:30">
      <c r="A16" s="17">
        <v>10235</v>
      </c>
      <c r="B16" s="17">
        <v>1</v>
      </c>
      <c r="C16" s="17">
        <v>7</v>
      </c>
      <c r="D16" s="17" t="s">
        <v>545</v>
      </c>
      <c r="E16" s="17" t="s">
        <v>204</v>
      </c>
      <c r="F16" s="17" t="str">
        <f>TEXT(data[[#This Row],[ShipDate]],"yyyy - mmmm")</f>
        <v>2016 - January</v>
      </c>
      <c r="G16" s="17" t="str">
        <f>data[[#This Row],[OriginCity]] &amp; " - "  &amp; data[[#This Row],[DestinationCity]]</f>
        <v>Monon - Lansing</v>
      </c>
      <c r="H16" s="17" t="s">
        <v>53</v>
      </c>
      <c r="I16" s="17" t="s">
        <v>44</v>
      </c>
      <c r="J16" s="17">
        <v>10</v>
      </c>
      <c r="K16" s="17" t="s">
        <v>66</v>
      </c>
      <c r="L16" s="17" t="s">
        <v>21</v>
      </c>
      <c r="M16" s="17" t="s">
        <v>82</v>
      </c>
      <c r="N16" s="17">
        <v>302</v>
      </c>
      <c r="O16" s="17">
        <v>302</v>
      </c>
      <c r="P16" s="26">
        <f>(data[[#This Row],[LoadedMiles]]/data[[#This Row],[TotalMiles]])*100</f>
        <v>100</v>
      </c>
      <c r="Q16" s="25">
        <f>data[[#This Row],[ShippingCost]]/data[[#This Row],[TotalMiles]]</f>
        <v>2.2483443708609272</v>
      </c>
      <c r="R16" s="17">
        <v>679</v>
      </c>
      <c r="S16" s="25">
        <f>data[[#This Row],[Revenue]]/data[[#This Row],[TotalMiles]]</f>
        <v>2.6953642384105962</v>
      </c>
      <c r="T16" s="26">
        <f>data[[#This Row],[Revenue]]-data[[#This Row],[ShippingCost]]</f>
        <v>135</v>
      </c>
      <c r="U16" s="17">
        <v>814</v>
      </c>
      <c r="V16" s="17">
        <v>70</v>
      </c>
      <c r="W16" s="17" t="s">
        <v>68</v>
      </c>
      <c r="X16" s="17">
        <v>1</v>
      </c>
      <c r="Y16" s="17">
        <f>data[[#This Row],[DeliveryDate]]-data[[#This Row],[ShipDate]]</f>
        <v>58</v>
      </c>
      <c r="Z16" s="17" t="str">
        <f>IF(data[[#This Row],[Actual Delivery Days]]&gt;AD17,"Yes","No")</f>
        <v>Yes</v>
      </c>
    </row>
    <row r="17" spans="1:26">
      <c r="A17" s="17">
        <v>10272</v>
      </c>
      <c r="B17" s="17">
        <v>1</v>
      </c>
      <c r="C17" s="17">
        <v>8</v>
      </c>
      <c r="D17" s="17" t="s">
        <v>590</v>
      </c>
      <c r="E17" s="17" t="s">
        <v>304</v>
      </c>
      <c r="F17" s="17" t="str">
        <f>TEXT(data[[#This Row],[ShipDate]],"yyyy - mmmm")</f>
        <v>2016 - January</v>
      </c>
      <c r="G17" s="17" t="str">
        <f>data[[#This Row],[OriginCity]] &amp; " - "  &amp; data[[#This Row],[DestinationCity]]</f>
        <v>Milwaukee - Springfield</v>
      </c>
      <c r="H17" s="17" t="s">
        <v>28</v>
      </c>
      <c r="I17" s="17" t="s">
        <v>29</v>
      </c>
      <c r="J17" s="17">
        <v>10</v>
      </c>
      <c r="K17" s="17" t="s">
        <v>30</v>
      </c>
      <c r="L17" s="17" t="s">
        <v>31</v>
      </c>
      <c r="M17" s="17" t="s">
        <v>82</v>
      </c>
      <c r="N17" s="17">
        <v>951</v>
      </c>
      <c r="O17" s="17">
        <v>639</v>
      </c>
      <c r="P17" s="26">
        <f>(data[[#This Row],[LoadedMiles]]/data[[#This Row],[TotalMiles]])*100</f>
        <v>67.192429022082024</v>
      </c>
      <c r="Q17" s="25">
        <f>data[[#This Row],[ShippingCost]]/data[[#This Row],[TotalMiles]]</f>
        <v>7.0567823343848577</v>
      </c>
      <c r="R17" s="17">
        <v>6711</v>
      </c>
      <c r="S17" s="25">
        <f>data[[#This Row],[Revenue]]/data[[#This Row],[TotalMiles]]</f>
        <v>7.9947423764458465</v>
      </c>
      <c r="T17" s="26">
        <f>data[[#This Row],[Revenue]]-data[[#This Row],[ShippingCost]]</f>
        <v>892</v>
      </c>
      <c r="U17" s="17">
        <v>7603</v>
      </c>
      <c r="V17" s="17">
        <v>60</v>
      </c>
      <c r="W17" s="17" t="s">
        <v>68</v>
      </c>
      <c r="X17" s="17">
        <v>10</v>
      </c>
      <c r="Y17" s="17">
        <f>data[[#This Row],[DeliveryDate]]-data[[#This Row],[ShipDate]]</f>
        <v>79</v>
      </c>
      <c r="Z17" s="17" t="str">
        <f>IF(data[[#This Row],[Actual Delivery Days]]&gt;AD18,"Yes","No")</f>
        <v>Yes</v>
      </c>
    </row>
    <row r="18" spans="1:26">
      <c r="A18" s="17">
        <v>10277</v>
      </c>
      <c r="B18" s="17">
        <v>1</v>
      </c>
      <c r="C18" s="17">
        <v>4</v>
      </c>
      <c r="D18" s="17" t="s">
        <v>595</v>
      </c>
      <c r="E18" s="17" t="s">
        <v>404</v>
      </c>
      <c r="F18" s="17" t="str">
        <f>TEXT(data[[#This Row],[ShipDate]],"yyyy - mmmm")</f>
        <v>2016 - July</v>
      </c>
      <c r="G18" s="17" t="str">
        <f>data[[#This Row],[OriginCity]] &amp; " - "  &amp; data[[#This Row],[DestinationCity]]</f>
        <v>Detriot - Monon</v>
      </c>
      <c r="H18" s="17" t="s">
        <v>52</v>
      </c>
      <c r="I18" s="17" t="s">
        <v>21</v>
      </c>
      <c r="J18" s="17">
        <v>10</v>
      </c>
      <c r="K18" s="17" t="s">
        <v>53</v>
      </c>
      <c r="L18" s="17" t="s">
        <v>44</v>
      </c>
      <c r="M18" s="17" t="s">
        <v>513</v>
      </c>
      <c r="N18" s="17">
        <v>725</v>
      </c>
      <c r="O18" s="17">
        <v>622</v>
      </c>
      <c r="P18" s="26">
        <f>(data[[#This Row],[LoadedMiles]]/data[[#This Row],[TotalMiles]])*100</f>
        <v>85.793103448275872</v>
      </c>
      <c r="Q18" s="25">
        <f>data[[#This Row],[ShippingCost]]/data[[#This Row],[TotalMiles]]</f>
        <v>6.9117241379310341</v>
      </c>
      <c r="R18" s="17">
        <v>5011</v>
      </c>
      <c r="S18" s="25">
        <f>data[[#This Row],[Revenue]]/data[[#This Row],[TotalMiles]]</f>
        <v>4.1406896551724142</v>
      </c>
      <c r="T18" s="26">
        <f>data[[#This Row],[Revenue]]-data[[#This Row],[ShippingCost]]</f>
        <v>-2009</v>
      </c>
      <c r="U18" s="17">
        <v>3002</v>
      </c>
      <c r="V18" s="17">
        <v>88</v>
      </c>
      <c r="W18" s="17" t="s">
        <v>68</v>
      </c>
      <c r="X18" s="17">
        <v>10</v>
      </c>
      <c r="Y18" s="17">
        <f>data[[#This Row],[DeliveryDate]]-data[[#This Row],[ShipDate]]</f>
        <v>7</v>
      </c>
      <c r="Z18" s="17" t="str">
        <f>IF(data[[#This Row],[Actual Delivery Days]]&gt;AD19,"Yes","No")</f>
        <v>Yes</v>
      </c>
    </row>
    <row r="19" spans="1:26">
      <c r="A19" s="17">
        <v>10294</v>
      </c>
      <c r="B19" s="17">
        <v>2</v>
      </c>
      <c r="C19" s="17">
        <v>8</v>
      </c>
      <c r="D19" s="17" t="s">
        <v>69</v>
      </c>
      <c r="E19" s="17" t="s">
        <v>255</v>
      </c>
      <c r="F19" s="17" t="str">
        <f>TEXT(data[[#This Row],[ShipDate]],"yyyy - mmmm")</f>
        <v>2016 - February</v>
      </c>
      <c r="G19" s="17" t="str">
        <f>data[[#This Row],[OriginCity]] &amp; " - "  &amp; data[[#This Row],[DestinationCity]]</f>
        <v>Springfield - Skokie</v>
      </c>
      <c r="H19" s="17" t="s">
        <v>30</v>
      </c>
      <c r="I19" s="17" t="s">
        <v>31</v>
      </c>
      <c r="J19" s="17">
        <v>10</v>
      </c>
      <c r="K19" s="17" t="s">
        <v>35</v>
      </c>
      <c r="L19" s="17" t="s">
        <v>31</v>
      </c>
      <c r="M19" s="17" t="s">
        <v>353</v>
      </c>
      <c r="N19" s="17">
        <v>501</v>
      </c>
      <c r="O19" s="17">
        <v>501</v>
      </c>
      <c r="P19" s="26">
        <f>(data[[#This Row],[LoadedMiles]]/data[[#This Row],[TotalMiles]])*100</f>
        <v>100</v>
      </c>
      <c r="Q19" s="25">
        <f>data[[#This Row],[ShippingCost]]/data[[#This Row],[TotalMiles]]</f>
        <v>12.726546906187625</v>
      </c>
      <c r="R19" s="17">
        <v>6376</v>
      </c>
      <c r="S19" s="25">
        <f>data[[#This Row],[Revenue]]/data[[#This Row],[TotalMiles]]</f>
        <v>13.632734530938123</v>
      </c>
      <c r="T19" s="26">
        <f>data[[#This Row],[Revenue]]-data[[#This Row],[ShippingCost]]</f>
        <v>454</v>
      </c>
      <c r="U19" s="17">
        <v>6830</v>
      </c>
      <c r="V19" s="17">
        <v>100</v>
      </c>
      <c r="W19" s="17" t="s">
        <v>68</v>
      </c>
      <c r="X19" s="17">
        <v>8</v>
      </c>
      <c r="Y19" s="17">
        <f>data[[#This Row],[DeliveryDate]]-data[[#This Row],[ShipDate]]</f>
        <v>9</v>
      </c>
      <c r="Z19" s="17" t="str">
        <f>IF(data[[#This Row],[Actual Delivery Days]]&gt;AD20,"Yes","No")</f>
        <v>Yes</v>
      </c>
    </row>
    <row r="20" spans="1:26">
      <c r="A20" s="17">
        <v>10304</v>
      </c>
      <c r="B20" s="17">
        <v>2</v>
      </c>
      <c r="C20" s="17">
        <v>8</v>
      </c>
      <c r="D20" s="17" t="s">
        <v>110</v>
      </c>
      <c r="E20" s="17" t="s">
        <v>282</v>
      </c>
      <c r="F20" s="17" t="str">
        <f>TEXT(data[[#This Row],[ShipDate]],"yyyy - mmmm")</f>
        <v>2016 - June</v>
      </c>
      <c r="G20" s="17" t="str">
        <f>data[[#This Row],[OriginCity]] &amp; " - "  &amp; data[[#This Row],[DestinationCity]]</f>
        <v>Rockford - Green Bay</v>
      </c>
      <c r="H20" s="17" t="s">
        <v>40</v>
      </c>
      <c r="I20" s="17" t="s">
        <v>31</v>
      </c>
      <c r="J20" s="17">
        <v>10</v>
      </c>
      <c r="K20" s="17" t="s">
        <v>75</v>
      </c>
      <c r="L20" s="17" t="s">
        <v>29</v>
      </c>
      <c r="M20" s="17" t="s">
        <v>78</v>
      </c>
      <c r="N20" s="17">
        <v>606</v>
      </c>
      <c r="O20" s="17">
        <v>606</v>
      </c>
      <c r="P20" s="26">
        <f>(data[[#This Row],[LoadedMiles]]/data[[#This Row],[TotalMiles]])*100</f>
        <v>100</v>
      </c>
      <c r="Q20" s="25">
        <f>data[[#This Row],[ShippingCost]]/data[[#This Row],[TotalMiles]]</f>
        <v>2.4323432343234321</v>
      </c>
      <c r="R20" s="17">
        <v>1474</v>
      </c>
      <c r="S20" s="25">
        <f>data[[#This Row],[Revenue]]/data[[#This Row],[TotalMiles]]</f>
        <v>3.4603960396039604</v>
      </c>
      <c r="T20" s="26">
        <f>data[[#This Row],[Revenue]]-data[[#This Row],[ShippingCost]]</f>
        <v>623</v>
      </c>
      <c r="U20" s="17">
        <v>2097</v>
      </c>
      <c r="V20" s="17">
        <v>91</v>
      </c>
      <c r="W20" s="17" t="s">
        <v>68</v>
      </c>
      <c r="X20" s="17">
        <v>1</v>
      </c>
      <c r="Y20" s="17">
        <f>data[[#This Row],[DeliveryDate]]-data[[#This Row],[ShipDate]]</f>
        <v>10</v>
      </c>
      <c r="Z20" s="17" t="str">
        <f>IF(data[[#This Row],[Actual Delivery Days]]&gt;AD21,"Yes","No")</f>
        <v>Yes</v>
      </c>
    </row>
    <row r="21" spans="1:26">
      <c r="A21" s="17">
        <v>10305</v>
      </c>
      <c r="B21" s="17">
        <v>1</v>
      </c>
      <c r="C21" s="17">
        <v>8</v>
      </c>
      <c r="D21" s="17" t="s">
        <v>113</v>
      </c>
      <c r="E21" s="17" t="s">
        <v>418</v>
      </c>
      <c r="F21" s="17" t="str">
        <f>TEXT(data[[#This Row],[ShipDate]],"yyyy - mmmm")</f>
        <v>2016 - April</v>
      </c>
      <c r="G21" s="17" t="str">
        <f>data[[#This Row],[OriginCity]] &amp; " - "  &amp; data[[#This Row],[DestinationCity]]</f>
        <v>Appleton - Grand Rapids</v>
      </c>
      <c r="H21" s="17" t="s">
        <v>85</v>
      </c>
      <c r="I21" s="17" t="s">
        <v>29</v>
      </c>
      <c r="J21" s="17">
        <v>10</v>
      </c>
      <c r="K21" s="17" t="s">
        <v>20</v>
      </c>
      <c r="L21" s="17" t="s">
        <v>21</v>
      </c>
      <c r="M21" s="17" t="s">
        <v>101</v>
      </c>
      <c r="N21" s="17">
        <v>1154</v>
      </c>
      <c r="O21" s="17">
        <v>753</v>
      </c>
      <c r="P21" s="26">
        <f>(data[[#This Row],[LoadedMiles]]/data[[#This Row],[TotalMiles]])*100</f>
        <v>65.251299826689774</v>
      </c>
      <c r="Q21" s="25">
        <f>data[[#This Row],[ShippingCost]]/data[[#This Row],[TotalMiles]]</f>
        <v>6.7850953206239168</v>
      </c>
      <c r="R21" s="17">
        <v>7830</v>
      </c>
      <c r="S21" s="25">
        <f>data[[#This Row],[Revenue]]/data[[#This Row],[TotalMiles]]</f>
        <v>7.4783362218370888</v>
      </c>
      <c r="T21" s="26">
        <f>data[[#This Row],[Revenue]]-data[[#This Row],[ShippingCost]]</f>
        <v>800</v>
      </c>
      <c r="U21" s="17">
        <v>8630</v>
      </c>
      <c r="V21" s="17">
        <v>77</v>
      </c>
      <c r="W21" s="17" t="s">
        <v>68</v>
      </c>
      <c r="X21" s="17">
        <v>3</v>
      </c>
      <c r="Y21" s="17">
        <f>data[[#This Row],[DeliveryDate]]-data[[#This Row],[ShipDate]]</f>
        <v>10</v>
      </c>
      <c r="Z21" s="17" t="str">
        <f>IF(data[[#This Row],[Actual Delivery Days]]&gt;AD22,"Yes","No")</f>
        <v>Yes</v>
      </c>
    </row>
    <row r="22" spans="1:26">
      <c r="A22" s="17">
        <v>10312</v>
      </c>
      <c r="B22" s="17">
        <v>2</v>
      </c>
      <c r="C22" s="17">
        <v>8</v>
      </c>
      <c r="D22" s="17" t="s">
        <v>134</v>
      </c>
      <c r="E22" s="17" t="s">
        <v>221</v>
      </c>
      <c r="F22" s="17" t="str">
        <f>TEXT(data[[#This Row],[ShipDate]],"yyyy - mmmm")</f>
        <v>2016 - April</v>
      </c>
      <c r="G22" s="17" t="str">
        <f>data[[#This Row],[OriginCity]] &amp; " - "  &amp; data[[#This Row],[DestinationCity]]</f>
        <v>Kalamazoo - Bangor</v>
      </c>
      <c r="H22" s="17" t="s">
        <v>71</v>
      </c>
      <c r="I22" s="17" t="s">
        <v>21</v>
      </c>
      <c r="J22" s="17">
        <v>10</v>
      </c>
      <c r="K22" s="17" t="s">
        <v>104</v>
      </c>
      <c r="L22" s="17" t="s">
        <v>21</v>
      </c>
      <c r="M22" s="17" t="s">
        <v>67</v>
      </c>
      <c r="N22" s="17">
        <v>958</v>
      </c>
      <c r="O22" s="17">
        <v>477</v>
      </c>
      <c r="P22" s="26">
        <f>(data[[#This Row],[LoadedMiles]]/data[[#This Row],[TotalMiles]])*100</f>
        <v>49.791231732776623</v>
      </c>
      <c r="Q22" s="25">
        <f>data[[#This Row],[ShippingCost]]/data[[#This Row],[TotalMiles]]</f>
        <v>7.8893528183716075</v>
      </c>
      <c r="R22" s="17">
        <v>7558</v>
      </c>
      <c r="S22" s="25">
        <f>data[[#This Row],[Revenue]]/data[[#This Row],[TotalMiles]]</f>
        <v>8.6711899791231737</v>
      </c>
      <c r="T22" s="26">
        <f>data[[#This Row],[Revenue]]-data[[#This Row],[ShippingCost]]</f>
        <v>749</v>
      </c>
      <c r="U22" s="17">
        <v>8307</v>
      </c>
      <c r="V22" s="17">
        <v>61</v>
      </c>
      <c r="W22" s="17" t="s">
        <v>68</v>
      </c>
      <c r="X22" s="17">
        <v>6</v>
      </c>
      <c r="Y22" s="17">
        <f>data[[#This Row],[DeliveryDate]]-data[[#This Row],[ShipDate]]</f>
        <v>7</v>
      </c>
      <c r="Z22" s="17" t="str">
        <f>IF(data[[#This Row],[Actual Delivery Days]]&gt;AD23,"Yes","No")</f>
        <v>Yes</v>
      </c>
    </row>
    <row r="23" spans="1:26">
      <c r="A23" s="17">
        <v>10322</v>
      </c>
      <c r="B23" s="17">
        <v>1</v>
      </c>
      <c r="C23" s="17">
        <v>6</v>
      </c>
      <c r="D23" s="17" t="s">
        <v>167</v>
      </c>
      <c r="E23" s="17" t="s">
        <v>197</v>
      </c>
      <c r="F23" s="17" t="str">
        <f>TEXT(data[[#This Row],[ShipDate]],"yyyy - mmmm")</f>
        <v>2016 - May</v>
      </c>
      <c r="G23" s="17" t="str">
        <f>data[[#This Row],[OriginCity]] &amp; " - "  &amp; data[[#This Row],[DestinationCity]]</f>
        <v>Madison - Kalamazoo</v>
      </c>
      <c r="H23" s="17" t="s">
        <v>62</v>
      </c>
      <c r="I23" s="17" t="s">
        <v>29</v>
      </c>
      <c r="J23" s="17">
        <v>10</v>
      </c>
      <c r="K23" s="17" t="s">
        <v>71</v>
      </c>
      <c r="L23" s="17" t="s">
        <v>21</v>
      </c>
      <c r="M23" s="17" t="s">
        <v>231</v>
      </c>
      <c r="N23" s="17">
        <v>743</v>
      </c>
      <c r="O23" s="17">
        <v>228</v>
      </c>
      <c r="P23" s="26">
        <f>(data[[#This Row],[LoadedMiles]]/data[[#This Row],[TotalMiles]])*100</f>
        <v>30.686406460296094</v>
      </c>
      <c r="Q23" s="25">
        <f>data[[#This Row],[ShippingCost]]/data[[#This Row],[TotalMiles]]</f>
        <v>7.0834454912516822</v>
      </c>
      <c r="R23" s="17">
        <v>5263</v>
      </c>
      <c r="S23" s="25">
        <f>data[[#This Row],[Revenue]]/data[[#This Row],[TotalMiles]]</f>
        <v>7.6567967698519519</v>
      </c>
      <c r="T23" s="26">
        <f>data[[#This Row],[Revenue]]-data[[#This Row],[ShippingCost]]</f>
        <v>426</v>
      </c>
      <c r="U23" s="17">
        <v>5689</v>
      </c>
      <c r="V23" s="17">
        <v>65</v>
      </c>
      <c r="W23" s="17" t="s">
        <v>68</v>
      </c>
      <c r="X23" s="17">
        <v>6</v>
      </c>
      <c r="Y23" s="17">
        <f>data[[#This Row],[DeliveryDate]]-data[[#This Row],[ShipDate]]</f>
        <v>10</v>
      </c>
      <c r="Z23" s="17" t="str">
        <f>IF(data[[#This Row],[Actual Delivery Days]]&gt;AD24,"Yes","No")</f>
        <v>Yes</v>
      </c>
    </row>
    <row r="24" spans="1:26">
      <c r="A24" s="17">
        <v>10330</v>
      </c>
      <c r="B24" s="17">
        <v>1</v>
      </c>
      <c r="C24" s="17">
        <v>8</v>
      </c>
      <c r="D24" s="17" t="s">
        <v>185</v>
      </c>
      <c r="E24" s="17" t="s">
        <v>231</v>
      </c>
      <c r="F24" s="17" t="str">
        <f>TEXT(data[[#This Row],[ShipDate]],"yyyy - mmmm")</f>
        <v>2016 - May</v>
      </c>
      <c r="G24" s="17" t="str">
        <f>data[[#This Row],[OriginCity]] &amp; " - "  &amp; data[[#This Row],[DestinationCity]]</f>
        <v>Lansing - Dayton</v>
      </c>
      <c r="H24" s="17" t="s">
        <v>66</v>
      </c>
      <c r="I24" s="17" t="s">
        <v>21</v>
      </c>
      <c r="J24" s="17">
        <v>10</v>
      </c>
      <c r="K24" s="17" t="s">
        <v>93</v>
      </c>
      <c r="L24" s="17" t="s">
        <v>23</v>
      </c>
      <c r="M24" s="17" t="s">
        <v>32</v>
      </c>
      <c r="N24" s="17">
        <v>718</v>
      </c>
      <c r="O24" s="17">
        <v>464</v>
      </c>
      <c r="P24" s="26">
        <f>(data[[#This Row],[LoadedMiles]]/data[[#This Row],[TotalMiles]])*100</f>
        <v>64.623955431754879</v>
      </c>
      <c r="Q24" s="25">
        <f>data[[#This Row],[ShippingCost]]/data[[#This Row],[TotalMiles]]</f>
        <v>0.75626740947075211</v>
      </c>
      <c r="R24" s="17">
        <v>543</v>
      </c>
      <c r="S24" s="25">
        <f>data[[#This Row],[Revenue]]/data[[#This Row],[TotalMiles]]</f>
        <v>1.6908077994428969</v>
      </c>
      <c r="T24" s="26">
        <f>data[[#This Row],[Revenue]]-data[[#This Row],[ShippingCost]]</f>
        <v>671</v>
      </c>
      <c r="U24" s="17">
        <v>1214</v>
      </c>
      <c r="V24" s="17">
        <v>51</v>
      </c>
      <c r="W24" s="17" t="s">
        <v>68</v>
      </c>
      <c r="X24" s="17">
        <v>4</v>
      </c>
      <c r="Y24" s="17">
        <f>data[[#This Row],[DeliveryDate]]-data[[#This Row],[ShipDate]]</f>
        <v>7</v>
      </c>
      <c r="Z24" s="17" t="str">
        <f>IF(data[[#This Row],[Actual Delivery Days]]&gt;AD25,"Yes","No")</f>
        <v>Yes</v>
      </c>
    </row>
    <row r="25" spans="1:26">
      <c r="A25" s="17">
        <v>10398</v>
      </c>
      <c r="B25" s="17">
        <v>1</v>
      </c>
      <c r="C25" s="17">
        <v>5</v>
      </c>
      <c r="D25" s="17" t="s">
        <v>329</v>
      </c>
      <c r="E25" s="17" t="s">
        <v>348</v>
      </c>
      <c r="F25" s="17" t="str">
        <f>TEXT(data[[#This Row],[ShipDate]],"yyyy - mmmm")</f>
        <v>2016 - May</v>
      </c>
      <c r="G25" s="17" t="str">
        <f>data[[#This Row],[OriginCity]] &amp; " - "  &amp; data[[#This Row],[DestinationCity]]</f>
        <v>Bangor - Davenport</v>
      </c>
      <c r="H25" s="17" t="s">
        <v>104</v>
      </c>
      <c r="I25" s="17" t="s">
        <v>21</v>
      </c>
      <c r="J25" s="17">
        <v>10</v>
      </c>
      <c r="K25" s="17" t="s">
        <v>105</v>
      </c>
      <c r="L25" s="17" t="s">
        <v>106</v>
      </c>
      <c r="M25" s="17" t="s">
        <v>367</v>
      </c>
      <c r="N25" s="17">
        <v>366</v>
      </c>
      <c r="O25" s="17">
        <v>366</v>
      </c>
      <c r="P25" s="26">
        <f>(data[[#This Row],[LoadedMiles]]/data[[#This Row],[TotalMiles]])*100</f>
        <v>100</v>
      </c>
      <c r="Q25" s="25">
        <f>data[[#This Row],[ShippingCost]]/data[[#This Row],[TotalMiles]]</f>
        <v>17.489071038251367</v>
      </c>
      <c r="R25" s="17">
        <v>6401</v>
      </c>
      <c r="S25" s="25">
        <f>data[[#This Row],[Revenue]]/data[[#This Row],[TotalMiles]]</f>
        <v>17.959016393442624</v>
      </c>
      <c r="T25" s="26">
        <f>data[[#This Row],[Revenue]]-data[[#This Row],[ShippingCost]]</f>
        <v>172</v>
      </c>
      <c r="U25" s="17">
        <v>6573</v>
      </c>
      <c r="V25" s="17">
        <v>72</v>
      </c>
      <c r="W25" s="17" t="s">
        <v>68</v>
      </c>
      <c r="X25" s="17">
        <v>5</v>
      </c>
      <c r="Y25" s="17">
        <f>data[[#This Row],[DeliveryDate]]-data[[#This Row],[ShipDate]]</f>
        <v>10</v>
      </c>
      <c r="Z25" s="17" t="str">
        <f>IF(data[[#This Row],[Actual Delivery Days]]&gt;AD26,"Yes","No")</f>
        <v>Yes</v>
      </c>
    </row>
    <row r="26" spans="1:26">
      <c r="A26" s="17">
        <v>10399</v>
      </c>
      <c r="B26" s="17">
        <v>2</v>
      </c>
      <c r="C26" s="17">
        <v>6</v>
      </c>
      <c r="D26" s="17" t="s">
        <v>330</v>
      </c>
      <c r="E26" s="17" t="s">
        <v>415</v>
      </c>
      <c r="F26" s="17" t="str">
        <f>TEXT(data[[#This Row],[ShipDate]],"yyyy - mmmm")</f>
        <v>2016 - August</v>
      </c>
      <c r="G26" s="17" t="str">
        <f>data[[#This Row],[OriginCity]] &amp; " - "  &amp; data[[#This Row],[DestinationCity]]</f>
        <v>Elgin - Cincinnati</v>
      </c>
      <c r="H26" s="17" t="s">
        <v>94</v>
      </c>
      <c r="I26" s="17" t="s">
        <v>31</v>
      </c>
      <c r="J26" s="17">
        <v>10</v>
      </c>
      <c r="K26" s="17" t="s">
        <v>89</v>
      </c>
      <c r="L26" s="17" t="s">
        <v>23</v>
      </c>
      <c r="M26" s="17" t="s">
        <v>301</v>
      </c>
      <c r="N26" s="17">
        <v>1003</v>
      </c>
      <c r="O26" s="17">
        <v>675</v>
      </c>
      <c r="P26" s="26">
        <f>(data[[#This Row],[LoadedMiles]]/data[[#This Row],[TotalMiles]])*100</f>
        <v>67.298105682951146</v>
      </c>
      <c r="Q26" s="25">
        <f>data[[#This Row],[ShippingCost]]/data[[#This Row],[TotalMiles]]</f>
        <v>6.3240279162512465</v>
      </c>
      <c r="R26" s="17">
        <v>6343</v>
      </c>
      <c r="S26" s="25">
        <f>data[[#This Row],[Revenue]]/data[[#This Row],[TotalMiles]]</f>
        <v>6.6301096709870393</v>
      </c>
      <c r="T26" s="26">
        <f>data[[#This Row],[Revenue]]-data[[#This Row],[ShippingCost]]</f>
        <v>307</v>
      </c>
      <c r="U26" s="17">
        <v>6650</v>
      </c>
      <c r="V26" s="17">
        <v>72</v>
      </c>
      <c r="W26" s="17" t="s">
        <v>68</v>
      </c>
      <c r="X26" s="17">
        <v>10</v>
      </c>
      <c r="Y26" s="17">
        <f>data[[#This Row],[DeliveryDate]]-data[[#This Row],[ShipDate]]</f>
        <v>10</v>
      </c>
      <c r="Z26" s="17" t="str">
        <f>IF(data[[#This Row],[Actual Delivery Days]]&gt;AD27,"Yes","No")</f>
        <v>Yes</v>
      </c>
    </row>
    <row r="27" spans="1:26">
      <c r="A27" s="17">
        <v>10415</v>
      </c>
      <c r="B27" s="17">
        <v>2</v>
      </c>
      <c r="C27" s="17">
        <v>6</v>
      </c>
      <c r="D27" s="17" t="s">
        <v>359</v>
      </c>
      <c r="E27" s="17" t="s">
        <v>130</v>
      </c>
      <c r="F27" s="17" t="str">
        <f>TEXT(data[[#This Row],[ShipDate]],"yyyy - mmmm")</f>
        <v>2016 - March</v>
      </c>
      <c r="G27" s="17" t="str">
        <f>data[[#This Row],[OriginCity]] &amp; " - "  &amp; data[[#This Row],[DestinationCity]]</f>
        <v>Rockford - Green Bay</v>
      </c>
      <c r="H27" s="17" t="s">
        <v>40</v>
      </c>
      <c r="I27" s="17" t="s">
        <v>31</v>
      </c>
      <c r="J27" s="17">
        <v>10</v>
      </c>
      <c r="K27" s="17" t="s">
        <v>75</v>
      </c>
      <c r="L27" s="17" t="s">
        <v>29</v>
      </c>
      <c r="M27" s="17" t="s">
        <v>253</v>
      </c>
      <c r="N27" s="17">
        <v>762</v>
      </c>
      <c r="O27" s="17">
        <v>334</v>
      </c>
      <c r="P27" s="26">
        <f>(data[[#This Row],[LoadedMiles]]/data[[#This Row],[TotalMiles]])*100</f>
        <v>43.832020997375324</v>
      </c>
      <c r="Q27" s="25">
        <f>data[[#This Row],[ShippingCost]]/data[[#This Row],[TotalMiles]]</f>
        <v>4.5853018372703414</v>
      </c>
      <c r="R27" s="17">
        <v>3494</v>
      </c>
      <c r="S27" s="25">
        <f>data[[#This Row],[Revenue]]/data[[#This Row],[TotalMiles]]</f>
        <v>5.120734908136483</v>
      </c>
      <c r="T27" s="26">
        <f>data[[#This Row],[Revenue]]-data[[#This Row],[ShippingCost]]</f>
        <v>408</v>
      </c>
      <c r="U27" s="17">
        <v>3902</v>
      </c>
      <c r="V27" s="17">
        <v>73</v>
      </c>
      <c r="W27" s="17" t="s">
        <v>68</v>
      </c>
      <c r="X27" s="17">
        <v>7</v>
      </c>
      <c r="Y27" s="17">
        <f>data[[#This Row],[DeliveryDate]]-data[[#This Row],[ShipDate]]</f>
        <v>10</v>
      </c>
      <c r="Z27" s="17" t="str">
        <f>IF(data[[#This Row],[Actual Delivery Days]]&gt;AD28,"Yes","No")</f>
        <v>Yes</v>
      </c>
    </row>
    <row r="28" spans="1:26">
      <c r="A28" s="17">
        <v>10416</v>
      </c>
      <c r="B28" s="17">
        <v>2</v>
      </c>
      <c r="C28" s="17">
        <v>8</v>
      </c>
      <c r="D28" s="17" t="s">
        <v>360</v>
      </c>
      <c r="E28" s="17" t="s">
        <v>307</v>
      </c>
      <c r="F28" s="17" t="str">
        <f>TEXT(data[[#This Row],[ShipDate]],"yyyy - mmmm")</f>
        <v>2016 - August</v>
      </c>
      <c r="G28" s="17" t="str">
        <f>data[[#This Row],[OriginCity]] &amp; " - "  &amp; data[[#This Row],[DestinationCity]]</f>
        <v>Appleton - Grand Rapids</v>
      </c>
      <c r="H28" s="17" t="s">
        <v>85</v>
      </c>
      <c r="I28" s="17" t="s">
        <v>29</v>
      </c>
      <c r="J28" s="17">
        <v>10</v>
      </c>
      <c r="K28" s="17" t="s">
        <v>20</v>
      </c>
      <c r="L28" s="17" t="s">
        <v>21</v>
      </c>
      <c r="M28" s="17" t="s">
        <v>38</v>
      </c>
      <c r="N28" s="17">
        <v>393</v>
      </c>
      <c r="O28" s="17">
        <v>393</v>
      </c>
      <c r="P28" s="26">
        <f>(data[[#This Row],[LoadedMiles]]/data[[#This Row],[TotalMiles]])*100</f>
        <v>100</v>
      </c>
      <c r="Q28" s="25">
        <f>data[[#This Row],[ShippingCost]]/data[[#This Row],[TotalMiles]]</f>
        <v>11.773536895674301</v>
      </c>
      <c r="R28" s="17">
        <v>4627</v>
      </c>
      <c r="S28" s="25">
        <f>data[[#This Row],[Revenue]]/data[[#This Row],[TotalMiles]]</f>
        <v>13.478371501272264</v>
      </c>
      <c r="T28" s="26">
        <f>data[[#This Row],[Revenue]]-data[[#This Row],[ShippingCost]]</f>
        <v>670</v>
      </c>
      <c r="U28" s="17">
        <v>5297</v>
      </c>
      <c r="V28" s="17">
        <v>57</v>
      </c>
      <c r="W28" s="17" t="s">
        <v>68</v>
      </c>
      <c r="X28" s="17">
        <v>4</v>
      </c>
      <c r="Y28" s="17">
        <f>data[[#This Row],[DeliveryDate]]-data[[#This Row],[ShipDate]]</f>
        <v>10</v>
      </c>
      <c r="Z28" s="17" t="str">
        <f>IF(data[[#This Row],[Actual Delivery Days]]&gt;AD29,"Yes","No")</f>
        <v>Yes</v>
      </c>
    </row>
    <row r="29" spans="1:26">
      <c r="A29" s="17">
        <v>10425</v>
      </c>
      <c r="B29" s="17">
        <v>2</v>
      </c>
      <c r="C29" s="17">
        <v>7</v>
      </c>
      <c r="D29" s="17" t="s">
        <v>374</v>
      </c>
      <c r="E29" s="17" t="s">
        <v>124</v>
      </c>
      <c r="F29" s="17" t="str">
        <f>TEXT(data[[#This Row],[ShipDate]],"yyyy - mmmm")</f>
        <v>2016 - March</v>
      </c>
      <c r="G29" s="17" t="str">
        <f>data[[#This Row],[OriginCity]] &amp; " - "  &amp; data[[#This Row],[DestinationCity]]</f>
        <v>Davenport - Appleton</v>
      </c>
      <c r="H29" s="17" t="s">
        <v>105</v>
      </c>
      <c r="I29" s="17" t="s">
        <v>106</v>
      </c>
      <c r="J29" s="17">
        <v>10</v>
      </c>
      <c r="K29" s="17" t="s">
        <v>85</v>
      </c>
      <c r="L29" s="17" t="s">
        <v>29</v>
      </c>
      <c r="M29" s="17" t="s">
        <v>82</v>
      </c>
      <c r="N29" s="17">
        <v>1140</v>
      </c>
      <c r="O29" s="17">
        <v>710</v>
      </c>
      <c r="P29" s="26">
        <f>(data[[#This Row],[LoadedMiles]]/data[[#This Row],[TotalMiles]])*100</f>
        <v>62.280701754385973</v>
      </c>
      <c r="Q29" s="25">
        <f>data[[#This Row],[ShippingCost]]/data[[#This Row],[TotalMiles]]</f>
        <v>3.5105263157894737</v>
      </c>
      <c r="R29" s="17">
        <v>4002</v>
      </c>
      <c r="S29" s="25">
        <f>data[[#This Row],[Revenue]]/data[[#This Row],[TotalMiles]]</f>
        <v>3.8307017543859647</v>
      </c>
      <c r="T29" s="26">
        <f>data[[#This Row],[Revenue]]-data[[#This Row],[ShippingCost]]</f>
        <v>365</v>
      </c>
      <c r="U29" s="17">
        <v>4367</v>
      </c>
      <c r="V29" s="17">
        <v>86</v>
      </c>
      <c r="W29" s="17" t="s">
        <v>68</v>
      </c>
      <c r="X29" s="17">
        <v>1</v>
      </c>
      <c r="Y29" s="17">
        <f>data[[#This Row],[DeliveryDate]]-data[[#This Row],[ShipDate]]</f>
        <v>9</v>
      </c>
      <c r="Z29" s="17" t="str">
        <f>IF(data[[#This Row],[Actual Delivery Days]]&gt;AD30,"Yes","No")</f>
        <v>Yes</v>
      </c>
    </row>
    <row r="30" spans="1:26">
      <c r="A30" s="17">
        <v>10443</v>
      </c>
      <c r="B30" s="17">
        <v>2</v>
      </c>
      <c r="C30" s="17">
        <v>6</v>
      </c>
      <c r="D30" s="17" t="s">
        <v>403</v>
      </c>
      <c r="E30" s="17" t="s">
        <v>146</v>
      </c>
      <c r="F30" s="17" t="str">
        <f>TEXT(data[[#This Row],[ShipDate]],"yyyy - mmmm")</f>
        <v>2016 - June</v>
      </c>
      <c r="G30" s="17" t="str">
        <f>data[[#This Row],[OriginCity]] &amp; " - "  &amp; data[[#This Row],[DestinationCity]]</f>
        <v>Bangor - Davenport</v>
      </c>
      <c r="H30" s="17" t="s">
        <v>104</v>
      </c>
      <c r="I30" s="17" t="s">
        <v>21</v>
      </c>
      <c r="J30" s="17">
        <v>10</v>
      </c>
      <c r="K30" s="17" t="s">
        <v>105</v>
      </c>
      <c r="L30" s="17" t="s">
        <v>106</v>
      </c>
      <c r="M30" s="17" t="s">
        <v>474</v>
      </c>
      <c r="N30" s="17">
        <v>591</v>
      </c>
      <c r="O30" s="17">
        <v>201</v>
      </c>
      <c r="P30" s="26">
        <f>(data[[#This Row],[LoadedMiles]]/data[[#This Row],[TotalMiles]])*100</f>
        <v>34.01015228426396</v>
      </c>
      <c r="Q30" s="25">
        <f>data[[#This Row],[ShippingCost]]/data[[#This Row],[TotalMiles]]</f>
        <v>12.664974619289341</v>
      </c>
      <c r="R30" s="17">
        <v>7485</v>
      </c>
      <c r="S30" s="25">
        <f>data[[#This Row],[Revenue]]/data[[#This Row],[TotalMiles]]</f>
        <v>13.153976311336718</v>
      </c>
      <c r="T30" s="26">
        <f>data[[#This Row],[Revenue]]-data[[#This Row],[ShippingCost]]</f>
        <v>289</v>
      </c>
      <c r="U30" s="17">
        <v>7774</v>
      </c>
      <c r="V30" s="17">
        <v>53</v>
      </c>
      <c r="W30" s="17" t="s">
        <v>68</v>
      </c>
      <c r="X30" s="17">
        <v>5</v>
      </c>
      <c r="Y30" s="17">
        <f>data[[#This Row],[DeliveryDate]]-data[[#This Row],[ShipDate]]</f>
        <v>9</v>
      </c>
      <c r="Z30" s="17" t="str">
        <f>IF(data[[#This Row],[Actual Delivery Days]]&gt;AD31,"Yes","No")</f>
        <v>Yes</v>
      </c>
    </row>
    <row r="31" spans="1:26">
      <c r="A31" s="17">
        <v>10461</v>
      </c>
      <c r="B31" s="17">
        <v>2</v>
      </c>
      <c r="C31" s="17">
        <v>6</v>
      </c>
      <c r="D31" s="17" t="s">
        <v>436</v>
      </c>
      <c r="E31" s="17" t="s">
        <v>253</v>
      </c>
      <c r="F31" s="17" t="str">
        <f>TEXT(data[[#This Row],[ShipDate]],"yyyy - mmmm")</f>
        <v>2016 - April</v>
      </c>
      <c r="G31" s="17" t="str">
        <f>data[[#This Row],[OriginCity]] &amp; " - "  &amp; data[[#This Row],[DestinationCity]]</f>
        <v>Cincinnati - Gary</v>
      </c>
      <c r="H31" s="17" t="s">
        <v>89</v>
      </c>
      <c r="I31" s="17" t="s">
        <v>23</v>
      </c>
      <c r="J31" s="17">
        <v>10</v>
      </c>
      <c r="K31" s="17" t="s">
        <v>57</v>
      </c>
      <c r="L31" s="17" t="s">
        <v>44</v>
      </c>
      <c r="M31" s="17" t="s">
        <v>65</v>
      </c>
      <c r="N31" s="17">
        <v>246</v>
      </c>
      <c r="O31" s="17">
        <v>246</v>
      </c>
      <c r="P31" s="26">
        <f>(data[[#This Row],[LoadedMiles]]/data[[#This Row],[TotalMiles]])*100</f>
        <v>100</v>
      </c>
      <c r="Q31" s="25">
        <f>data[[#This Row],[ShippingCost]]/data[[#This Row],[TotalMiles]]</f>
        <v>4.2398373983739841</v>
      </c>
      <c r="R31" s="17">
        <v>1043</v>
      </c>
      <c r="S31" s="25">
        <f>data[[#This Row],[Revenue]]/data[[#This Row],[TotalMiles]]</f>
        <v>7.7113821138211378</v>
      </c>
      <c r="T31" s="26">
        <f>data[[#This Row],[Revenue]]-data[[#This Row],[ShippingCost]]</f>
        <v>854</v>
      </c>
      <c r="U31" s="17">
        <v>1897</v>
      </c>
      <c r="V31" s="17">
        <v>78</v>
      </c>
      <c r="W31" s="17" t="s">
        <v>68</v>
      </c>
      <c r="X31" s="17">
        <v>2</v>
      </c>
      <c r="Y31" s="17">
        <f>data[[#This Row],[DeliveryDate]]-data[[#This Row],[ShipDate]]</f>
        <v>7</v>
      </c>
      <c r="Z31" s="17" t="str">
        <f>IF(data[[#This Row],[Actual Delivery Days]]&gt;AD32,"Yes","No")</f>
        <v>Yes</v>
      </c>
    </row>
    <row r="32" spans="1:26">
      <c r="A32" s="17">
        <v>10515</v>
      </c>
      <c r="B32" s="17">
        <v>2</v>
      </c>
      <c r="C32" s="17">
        <v>5</v>
      </c>
      <c r="D32" s="17" t="s">
        <v>515</v>
      </c>
      <c r="E32" s="17" t="s">
        <v>319</v>
      </c>
      <c r="F32" s="17" t="str">
        <f>TEXT(data[[#This Row],[ShipDate]],"yyyy - mmmm")</f>
        <v>2016 - June</v>
      </c>
      <c r="G32" s="17" t="str">
        <f>data[[#This Row],[OriginCity]] &amp; " - "  &amp; data[[#This Row],[DestinationCity]]</f>
        <v>Chicago - Rockford</v>
      </c>
      <c r="H32" s="17" t="s">
        <v>39</v>
      </c>
      <c r="I32" s="17" t="s">
        <v>31</v>
      </c>
      <c r="J32" s="17">
        <v>10</v>
      </c>
      <c r="K32" s="17" t="s">
        <v>40</v>
      </c>
      <c r="L32" s="17" t="s">
        <v>31</v>
      </c>
      <c r="M32" s="17" t="s">
        <v>116</v>
      </c>
      <c r="N32" s="17">
        <v>495</v>
      </c>
      <c r="O32" s="17">
        <v>403</v>
      </c>
      <c r="P32" s="26">
        <f>(data[[#This Row],[LoadedMiles]]/data[[#This Row],[TotalMiles]])*100</f>
        <v>81.414141414141412</v>
      </c>
      <c r="Q32" s="25">
        <f>data[[#This Row],[ShippingCost]]/data[[#This Row],[TotalMiles]]</f>
        <v>9.2747474747474747</v>
      </c>
      <c r="R32" s="17">
        <v>4591</v>
      </c>
      <c r="S32" s="25">
        <f>data[[#This Row],[Revenue]]/data[[#This Row],[TotalMiles]]</f>
        <v>10.785858585858586</v>
      </c>
      <c r="T32" s="26">
        <f>data[[#This Row],[Revenue]]-data[[#This Row],[ShippingCost]]</f>
        <v>748</v>
      </c>
      <c r="U32" s="17">
        <v>5339</v>
      </c>
      <c r="V32" s="17">
        <v>77</v>
      </c>
      <c r="W32" s="17" t="s">
        <v>68</v>
      </c>
      <c r="X32" s="17">
        <v>7</v>
      </c>
      <c r="Y32" s="17">
        <f>data[[#This Row],[DeliveryDate]]-data[[#This Row],[ShipDate]]</f>
        <v>8</v>
      </c>
      <c r="Z32" s="17" t="str">
        <f>IF(data[[#This Row],[Actual Delivery Days]]&gt;AD33,"Yes","No")</f>
        <v>Yes</v>
      </c>
    </row>
    <row r="33" spans="1:26">
      <c r="A33" s="17">
        <v>10526</v>
      </c>
      <c r="B33" s="17">
        <v>2</v>
      </c>
      <c r="C33" s="17">
        <v>6</v>
      </c>
      <c r="D33" s="17" t="s">
        <v>532</v>
      </c>
      <c r="E33" s="17" t="s">
        <v>125</v>
      </c>
      <c r="F33" s="17" t="str">
        <f>TEXT(data[[#This Row],[ShipDate]],"yyyy - mmmm")</f>
        <v>2016 - March</v>
      </c>
      <c r="G33" s="17" t="str">
        <f>data[[#This Row],[OriginCity]] &amp; " - "  &amp; data[[#This Row],[DestinationCity]]</f>
        <v>Dayton - Elgin</v>
      </c>
      <c r="H33" s="17" t="s">
        <v>93</v>
      </c>
      <c r="I33" s="17" t="s">
        <v>23</v>
      </c>
      <c r="J33" s="17">
        <v>10</v>
      </c>
      <c r="K33" s="17" t="s">
        <v>94</v>
      </c>
      <c r="L33" s="17" t="s">
        <v>31</v>
      </c>
      <c r="M33" s="17" t="s">
        <v>454</v>
      </c>
      <c r="N33" s="17">
        <v>940</v>
      </c>
      <c r="O33" s="17">
        <v>288</v>
      </c>
      <c r="P33" s="26">
        <f>(data[[#This Row],[LoadedMiles]]/data[[#This Row],[TotalMiles]])*100</f>
        <v>30.638297872340424</v>
      </c>
      <c r="Q33" s="25">
        <f>data[[#This Row],[ShippingCost]]/data[[#This Row],[TotalMiles]]</f>
        <v>0.63617021276595742</v>
      </c>
      <c r="R33" s="17">
        <v>598</v>
      </c>
      <c r="S33" s="25">
        <f>data[[#This Row],[Revenue]]/data[[#This Row],[TotalMiles]]</f>
        <v>0.97340425531914898</v>
      </c>
      <c r="T33" s="26">
        <f>data[[#This Row],[Revenue]]-data[[#This Row],[ShippingCost]]</f>
        <v>317</v>
      </c>
      <c r="U33" s="17">
        <v>915</v>
      </c>
      <c r="V33" s="17">
        <v>64</v>
      </c>
      <c r="W33" s="17" t="s">
        <v>68</v>
      </c>
      <c r="X33" s="17">
        <v>10</v>
      </c>
      <c r="Y33" s="17">
        <f>data[[#This Row],[DeliveryDate]]-data[[#This Row],[ShipDate]]</f>
        <v>10</v>
      </c>
      <c r="Z33" s="17" t="str">
        <f>IF(data[[#This Row],[Actual Delivery Days]]&gt;AD34,"Yes","No")</f>
        <v>Yes</v>
      </c>
    </row>
    <row r="34" spans="1:26">
      <c r="A34" s="17">
        <v>10527</v>
      </c>
      <c r="B34" s="17">
        <v>2</v>
      </c>
      <c r="C34" s="17">
        <v>8</v>
      </c>
      <c r="D34" s="17" t="s">
        <v>533</v>
      </c>
      <c r="E34" s="17" t="s">
        <v>199</v>
      </c>
      <c r="F34" s="17" t="str">
        <f>TEXT(data[[#This Row],[ShipDate]],"yyyy - mmmm")</f>
        <v>2016 - March</v>
      </c>
      <c r="G34" s="17" t="str">
        <f>data[[#This Row],[OriginCity]] &amp; " - "  &amp; data[[#This Row],[DestinationCity]]</f>
        <v>Toledo - Detriot</v>
      </c>
      <c r="H34" s="17" t="s">
        <v>22</v>
      </c>
      <c r="I34" s="17" t="s">
        <v>23</v>
      </c>
      <c r="J34" s="17">
        <v>10</v>
      </c>
      <c r="K34" s="17" t="s">
        <v>52</v>
      </c>
      <c r="L34" s="17" t="s">
        <v>21</v>
      </c>
      <c r="M34" s="17" t="s">
        <v>82</v>
      </c>
      <c r="N34" s="17">
        <v>745</v>
      </c>
      <c r="O34" s="17">
        <v>642</v>
      </c>
      <c r="P34" s="26">
        <f>(data[[#This Row],[LoadedMiles]]/data[[#This Row],[TotalMiles]])*100</f>
        <v>86.174496644295303</v>
      </c>
      <c r="Q34" s="25">
        <f>data[[#This Row],[ShippingCost]]/data[[#This Row],[TotalMiles]]</f>
        <v>6.789261744966443</v>
      </c>
      <c r="R34" s="17">
        <v>5058</v>
      </c>
      <c r="S34" s="25">
        <f>data[[#This Row],[Revenue]]/data[[#This Row],[TotalMiles]]</f>
        <v>7.2926174496644292</v>
      </c>
      <c r="T34" s="26">
        <f>data[[#This Row],[Revenue]]-data[[#This Row],[ShippingCost]]</f>
        <v>375</v>
      </c>
      <c r="U34" s="17">
        <v>5433</v>
      </c>
      <c r="V34" s="17">
        <v>94</v>
      </c>
      <c r="W34" s="17" t="s">
        <v>68</v>
      </c>
      <c r="X34" s="17">
        <v>3</v>
      </c>
      <c r="Y34" s="17">
        <f>data[[#This Row],[DeliveryDate]]-data[[#This Row],[ShipDate]]</f>
        <v>-6</v>
      </c>
      <c r="Z34" s="17" t="str">
        <f>IF(data[[#This Row],[Actual Delivery Days]]&gt;AD35,"Yes","No")</f>
        <v>No</v>
      </c>
    </row>
    <row r="35" spans="1:26">
      <c r="A35" s="17">
        <v>10533</v>
      </c>
      <c r="B35" s="17">
        <v>2</v>
      </c>
      <c r="C35" s="17">
        <v>7</v>
      </c>
      <c r="D35" s="17" t="s">
        <v>543</v>
      </c>
      <c r="E35" s="17" t="s">
        <v>319</v>
      </c>
      <c r="F35" s="17" t="str">
        <f>TEXT(data[[#This Row],[ShipDate]],"yyyy - mmmm")</f>
        <v>2016 - June</v>
      </c>
      <c r="G35" s="17" t="str">
        <f>data[[#This Row],[OriginCity]] &amp; " - "  &amp; data[[#This Row],[DestinationCity]]</f>
        <v>Davenport - Appleton</v>
      </c>
      <c r="H35" s="17" t="s">
        <v>105</v>
      </c>
      <c r="I35" s="17" t="s">
        <v>106</v>
      </c>
      <c r="J35" s="17">
        <v>10</v>
      </c>
      <c r="K35" s="17" t="s">
        <v>85</v>
      </c>
      <c r="L35" s="17" t="s">
        <v>29</v>
      </c>
      <c r="M35" s="17" t="s">
        <v>499</v>
      </c>
      <c r="N35" s="17">
        <v>590</v>
      </c>
      <c r="O35" s="17">
        <v>348</v>
      </c>
      <c r="P35" s="26">
        <f>(data[[#This Row],[LoadedMiles]]/data[[#This Row],[TotalMiles]])*100</f>
        <v>58.983050847457633</v>
      </c>
      <c r="Q35" s="25">
        <f>data[[#This Row],[ShippingCost]]/data[[#This Row],[TotalMiles]]</f>
        <v>3.9898305084745762</v>
      </c>
      <c r="R35" s="17">
        <v>2354</v>
      </c>
      <c r="S35" s="25">
        <f>data[[#This Row],[Revenue]]/data[[#This Row],[TotalMiles]]</f>
        <v>5.1525423728813555</v>
      </c>
      <c r="T35" s="26">
        <f>data[[#This Row],[Revenue]]-data[[#This Row],[ShippingCost]]</f>
        <v>686</v>
      </c>
      <c r="U35" s="17">
        <v>3040</v>
      </c>
      <c r="V35" s="17">
        <v>50</v>
      </c>
      <c r="W35" s="17" t="s">
        <v>68</v>
      </c>
      <c r="X35" s="17">
        <v>4</v>
      </c>
      <c r="Y35" s="17">
        <f>data[[#This Row],[DeliveryDate]]-data[[#This Row],[ShipDate]]</f>
        <v>7</v>
      </c>
      <c r="Z35" s="17" t="str">
        <f>IF(data[[#This Row],[Actual Delivery Days]]&gt;AD36,"Yes","No")</f>
        <v>Yes</v>
      </c>
    </row>
    <row r="36" spans="1:26">
      <c r="A36" s="17">
        <v>10541</v>
      </c>
      <c r="B36" s="17">
        <v>2</v>
      </c>
      <c r="C36" s="17">
        <v>4</v>
      </c>
      <c r="D36" s="17" t="s">
        <v>554</v>
      </c>
      <c r="E36" s="17" t="s">
        <v>426</v>
      </c>
      <c r="F36" s="17" t="str">
        <f>TEXT(data[[#This Row],[ShipDate]],"yyyy - mmmm")</f>
        <v>2016 - July</v>
      </c>
      <c r="G36" s="17" t="str">
        <f>data[[#This Row],[OriginCity]] &amp; " - "  &amp; data[[#This Row],[DestinationCity]]</f>
        <v>Monon - Lansing</v>
      </c>
      <c r="H36" s="17" t="s">
        <v>53</v>
      </c>
      <c r="I36" s="17" t="s">
        <v>44</v>
      </c>
      <c r="J36" s="17">
        <v>10</v>
      </c>
      <c r="K36" s="17" t="s">
        <v>66</v>
      </c>
      <c r="L36" s="17" t="s">
        <v>21</v>
      </c>
      <c r="M36" s="17" t="s">
        <v>492</v>
      </c>
      <c r="N36" s="17">
        <v>1057</v>
      </c>
      <c r="O36" s="17">
        <v>384</v>
      </c>
      <c r="P36" s="26">
        <f>(data[[#This Row],[LoadedMiles]]/data[[#This Row],[TotalMiles]])*100</f>
        <v>36.329233680227055</v>
      </c>
      <c r="Q36" s="25">
        <f>data[[#This Row],[ShippingCost]]/data[[#This Row],[TotalMiles]]</f>
        <v>8.3235572374645219</v>
      </c>
      <c r="R36" s="17">
        <v>8798</v>
      </c>
      <c r="S36" s="25">
        <f>data[[#This Row],[Revenue]]/data[[#This Row],[TotalMiles]]</f>
        <v>6.2620624408703875</v>
      </c>
      <c r="T36" s="26">
        <f>data[[#This Row],[Revenue]]-data[[#This Row],[ShippingCost]]</f>
        <v>-2179</v>
      </c>
      <c r="U36" s="17">
        <v>6619</v>
      </c>
      <c r="V36" s="17">
        <v>76</v>
      </c>
      <c r="W36" s="17" t="s">
        <v>68</v>
      </c>
      <c r="X36" s="17">
        <v>3</v>
      </c>
      <c r="Y36" s="17">
        <f>data[[#This Row],[DeliveryDate]]-data[[#This Row],[ShipDate]]</f>
        <v>10</v>
      </c>
      <c r="Z36" s="17" t="str">
        <f>IF(data[[#This Row],[Actual Delivery Days]]&gt;AD37,"Yes","No")</f>
        <v>Yes</v>
      </c>
    </row>
    <row r="37" spans="1:26">
      <c r="A37" s="17">
        <v>10548</v>
      </c>
      <c r="B37" s="17">
        <v>2</v>
      </c>
      <c r="C37" s="17">
        <v>7</v>
      </c>
      <c r="D37" s="17" t="s">
        <v>564</v>
      </c>
      <c r="E37" s="17" t="s">
        <v>341</v>
      </c>
      <c r="F37" s="17" t="str">
        <f>TEXT(data[[#This Row],[ShipDate]],"yyyy - mmmm")</f>
        <v>2016 - August</v>
      </c>
      <c r="G37" s="17" t="str">
        <f>data[[#This Row],[OriginCity]] &amp; " - "  &amp; data[[#This Row],[DestinationCity]]</f>
        <v>Bangor - Davenport</v>
      </c>
      <c r="H37" s="17" t="s">
        <v>104</v>
      </c>
      <c r="I37" s="17" t="s">
        <v>21</v>
      </c>
      <c r="J37" s="17">
        <v>10</v>
      </c>
      <c r="K37" s="17" t="s">
        <v>105</v>
      </c>
      <c r="L37" s="17" t="s">
        <v>106</v>
      </c>
      <c r="M37" s="17" t="s">
        <v>139</v>
      </c>
      <c r="N37" s="17">
        <v>578</v>
      </c>
      <c r="O37" s="17">
        <v>578</v>
      </c>
      <c r="P37" s="26">
        <f>(data[[#This Row],[LoadedMiles]]/data[[#This Row],[TotalMiles]])*100</f>
        <v>100</v>
      </c>
      <c r="Q37" s="25">
        <f>data[[#This Row],[ShippingCost]]/data[[#This Row],[TotalMiles]]</f>
        <v>8.8685121107266429</v>
      </c>
      <c r="R37" s="17">
        <v>5126</v>
      </c>
      <c r="S37" s="25">
        <f>data[[#This Row],[Revenue]]/data[[#This Row],[TotalMiles]]</f>
        <v>10.121107266435986</v>
      </c>
      <c r="T37" s="26">
        <f>data[[#This Row],[Revenue]]-data[[#This Row],[ShippingCost]]</f>
        <v>724</v>
      </c>
      <c r="U37" s="17">
        <v>5850</v>
      </c>
      <c r="V37" s="17">
        <v>93</v>
      </c>
      <c r="W37" s="17" t="s">
        <v>68</v>
      </c>
      <c r="X37" s="17">
        <v>1</v>
      </c>
      <c r="Y37" s="17">
        <f>data[[#This Row],[DeliveryDate]]-data[[#This Row],[ShipDate]]</f>
        <v>9</v>
      </c>
      <c r="Z37" s="17" t="str">
        <f>IF(data[[#This Row],[Actual Delivery Days]]&gt;AD38,"Yes","No")</f>
        <v>Yes</v>
      </c>
    </row>
    <row r="38" spans="1:26">
      <c r="A38" s="17">
        <v>10558</v>
      </c>
      <c r="B38" s="17">
        <v>2</v>
      </c>
      <c r="C38" s="17">
        <v>5</v>
      </c>
      <c r="D38" s="17" t="s">
        <v>576</v>
      </c>
      <c r="E38" s="17" t="s">
        <v>274</v>
      </c>
      <c r="F38" s="17" t="str">
        <f>TEXT(data[[#This Row],[ShipDate]],"yyyy - mmmm")</f>
        <v>2016 - March</v>
      </c>
      <c r="G38" s="17" t="str">
        <f>data[[#This Row],[OriginCity]] &amp; " - "  &amp; data[[#This Row],[DestinationCity]]</f>
        <v>Northbrook - Naperville</v>
      </c>
      <c r="H38" s="17" t="s">
        <v>45</v>
      </c>
      <c r="I38" s="17" t="s">
        <v>31</v>
      </c>
      <c r="J38" s="17">
        <v>10</v>
      </c>
      <c r="K38" s="17" t="s">
        <v>48</v>
      </c>
      <c r="L38" s="17" t="s">
        <v>31</v>
      </c>
      <c r="M38" s="17" t="s">
        <v>355</v>
      </c>
      <c r="N38" s="17">
        <v>1145</v>
      </c>
      <c r="O38" s="17">
        <v>236</v>
      </c>
      <c r="P38" s="26">
        <f>(data[[#This Row],[LoadedMiles]]/data[[#This Row],[TotalMiles]])*100</f>
        <v>20.611353711790393</v>
      </c>
      <c r="Q38" s="25">
        <f>data[[#This Row],[ShippingCost]]/data[[#This Row],[TotalMiles]]</f>
        <v>1.8847161572052402</v>
      </c>
      <c r="R38" s="17">
        <v>2158</v>
      </c>
      <c r="S38" s="25">
        <f>data[[#This Row],[Revenue]]/data[[#This Row],[TotalMiles]]</f>
        <v>2.3572052401746726</v>
      </c>
      <c r="T38" s="26">
        <f>data[[#This Row],[Revenue]]-data[[#This Row],[ShippingCost]]</f>
        <v>541</v>
      </c>
      <c r="U38" s="17">
        <v>2699</v>
      </c>
      <c r="V38" s="17">
        <v>77</v>
      </c>
      <c r="W38" s="17" t="s">
        <v>68</v>
      </c>
      <c r="X38" s="17">
        <v>9</v>
      </c>
      <c r="Y38" s="17">
        <f>data[[#This Row],[DeliveryDate]]-data[[#This Row],[ShipDate]]</f>
        <v>10</v>
      </c>
      <c r="Z38" s="17" t="str">
        <f>IF(data[[#This Row],[Actual Delivery Days]]&gt;AD39,"Yes","No")</f>
        <v>Yes</v>
      </c>
    </row>
    <row r="39" spans="1:26">
      <c r="A39" s="17">
        <v>10599</v>
      </c>
      <c r="B39" s="17">
        <v>1</v>
      </c>
      <c r="C39" s="17">
        <v>8</v>
      </c>
      <c r="D39" s="17" t="s">
        <v>91</v>
      </c>
      <c r="E39" s="17" t="s">
        <v>42</v>
      </c>
      <c r="F39" s="17" t="str">
        <f>TEXT(data[[#This Row],[ShipDate]],"yyyy - mmmm")</f>
        <v>2016 - May</v>
      </c>
      <c r="G39" s="17" t="str">
        <f>data[[#This Row],[OriginCity]] &amp; " - "  &amp; data[[#This Row],[DestinationCity]]</f>
        <v>Grand Rapids - Toledo</v>
      </c>
      <c r="H39" s="17" t="s">
        <v>20</v>
      </c>
      <c r="I39" s="17" t="s">
        <v>21</v>
      </c>
      <c r="J39" s="17">
        <v>10</v>
      </c>
      <c r="K39" s="17" t="s">
        <v>22</v>
      </c>
      <c r="L39" s="17" t="s">
        <v>23</v>
      </c>
      <c r="M39" s="17" t="s">
        <v>437</v>
      </c>
      <c r="N39" s="17">
        <v>985</v>
      </c>
      <c r="O39" s="17">
        <v>270</v>
      </c>
      <c r="P39" s="26">
        <f>(data[[#This Row],[LoadedMiles]]/data[[#This Row],[TotalMiles]])*100</f>
        <v>27.411167512690355</v>
      </c>
      <c r="Q39" s="25">
        <f>data[[#This Row],[ShippingCost]]/data[[#This Row],[TotalMiles]]</f>
        <v>4.7055837563451774</v>
      </c>
      <c r="R39" s="17">
        <v>4635</v>
      </c>
      <c r="S39" s="25">
        <f>data[[#This Row],[Revenue]]/data[[#This Row],[TotalMiles]]</f>
        <v>4.9969543147208118</v>
      </c>
      <c r="T39" s="26">
        <f>data[[#This Row],[Revenue]]-data[[#This Row],[ShippingCost]]</f>
        <v>287</v>
      </c>
      <c r="U39" s="17">
        <v>4922</v>
      </c>
      <c r="V39" s="17">
        <v>56</v>
      </c>
      <c r="W39" s="17" t="s">
        <v>68</v>
      </c>
      <c r="X39" s="17">
        <v>1</v>
      </c>
      <c r="Y39" s="17">
        <f>data[[#This Row],[DeliveryDate]]-data[[#This Row],[ShipDate]]</f>
        <v>10</v>
      </c>
      <c r="Z39" s="17" t="str">
        <f>IF(data[[#This Row],[Actual Delivery Days]]&gt;AD40,"Yes","No")</f>
        <v>Yes</v>
      </c>
    </row>
    <row r="40" spans="1:26">
      <c r="A40" s="17">
        <v>10600</v>
      </c>
      <c r="B40" s="17">
        <v>2</v>
      </c>
      <c r="C40" s="17">
        <v>4</v>
      </c>
      <c r="D40" s="17" t="s">
        <v>96</v>
      </c>
      <c r="E40" s="17" t="s">
        <v>521</v>
      </c>
      <c r="F40" s="17" t="str">
        <f>TEXT(data[[#This Row],[ShipDate]],"yyyy - mmmm")</f>
        <v>2016 - February</v>
      </c>
      <c r="G40" s="17" t="str">
        <f>data[[#This Row],[OriginCity]] &amp; " - "  &amp; data[[#This Row],[DestinationCity]]</f>
        <v>Milwaukee - Springfield</v>
      </c>
      <c r="H40" s="17" t="s">
        <v>28</v>
      </c>
      <c r="I40" s="17" t="s">
        <v>29</v>
      </c>
      <c r="J40" s="17">
        <v>10</v>
      </c>
      <c r="K40" s="17" t="s">
        <v>30</v>
      </c>
      <c r="L40" s="17" t="s">
        <v>31</v>
      </c>
      <c r="M40" s="17" t="s">
        <v>82</v>
      </c>
      <c r="N40" s="17">
        <v>523</v>
      </c>
      <c r="O40" s="17">
        <v>336</v>
      </c>
      <c r="P40" s="26">
        <f>(data[[#This Row],[LoadedMiles]]/data[[#This Row],[TotalMiles]])*100</f>
        <v>64.244741873804969</v>
      </c>
      <c r="Q40" s="25">
        <f>data[[#This Row],[ShippingCost]]/data[[#This Row],[TotalMiles]]</f>
        <v>6.359464627151052</v>
      </c>
      <c r="R40" s="17">
        <v>3326</v>
      </c>
      <c r="S40" s="25">
        <f>data[[#This Row],[Revenue]]/data[[#This Row],[TotalMiles]]</f>
        <v>3.7839388145315489</v>
      </c>
      <c r="T40" s="26">
        <f>data[[#This Row],[Revenue]]-data[[#This Row],[ShippingCost]]</f>
        <v>-1347</v>
      </c>
      <c r="U40" s="17">
        <v>1979</v>
      </c>
      <c r="V40" s="17">
        <v>92</v>
      </c>
      <c r="W40" s="17" t="s">
        <v>68</v>
      </c>
      <c r="X40" s="17">
        <v>8</v>
      </c>
      <c r="Y40" s="17">
        <f>data[[#This Row],[DeliveryDate]]-data[[#This Row],[ShipDate]]</f>
        <v>42</v>
      </c>
      <c r="Z40" s="17" t="str">
        <f>IF(data[[#This Row],[Actual Delivery Days]]&gt;AD41,"Yes","No")</f>
        <v>Yes</v>
      </c>
    </row>
    <row r="41" spans="1:26">
      <c r="A41" s="17">
        <v>10615</v>
      </c>
      <c r="B41" s="17">
        <v>2</v>
      </c>
      <c r="C41" s="17">
        <v>6</v>
      </c>
      <c r="D41" s="17" t="s">
        <v>143</v>
      </c>
      <c r="E41" s="17" t="s">
        <v>437</v>
      </c>
      <c r="F41" s="17" t="str">
        <f>TEXT(data[[#This Row],[ShipDate]],"yyyy - mmmm")</f>
        <v>2016 - May</v>
      </c>
      <c r="G41" s="17" t="str">
        <f>data[[#This Row],[OriginCity]] &amp; " - "  &amp; data[[#This Row],[DestinationCity]]</f>
        <v>Toledo - Detriot</v>
      </c>
      <c r="H41" s="17" t="s">
        <v>22</v>
      </c>
      <c r="I41" s="17" t="s">
        <v>23</v>
      </c>
      <c r="J41" s="17">
        <v>10</v>
      </c>
      <c r="K41" s="17" t="s">
        <v>52</v>
      </c>
      <c r="L41" s="17" t="s">
        <v>21</v>
      </c>
      <c r="M41" s="17" t="s">
        <v>315</v>
      </c>
      <c r="N41" s="17">
        <v>1104</v>
      </c>
      <c r="O41" s="17">
        <v>765</v>
      </c>
      <c r="P41" s="26">
        <f>(data[[#This Row],[LoadedMiles]]/data[[#This Row],[TotalMiles]])*100</f>
        <v>69.293478260869563</v>
      </c>
      <c r="Q41" s="25">
        <f>data[[#This Row],[ShippingCost]]/data[[#This Row],[TotalMiles]]</f>
        <v>0.60235507246376807</v>
      </c>
      <c r="R41" s="17">
        <v>665</v>
      </c>
      <c r="S41" s="25">
        <f>data[[#This Row],[Revenue]]/data[[#This Row],[TotalMiles]]</f>
        <v>0.98913043478260865</v>
      </c>
      <c r="T41" s="26">
        <f>data[[#This Row],[Revenue]]-data[[#This Row],[ShippingCost]]</f>
        <v>427</v>
      </c>
      <c r="U41" s="17">
        <v>1092</v>
      </c>
      <c r="V41" s="17">
        <v>57</v>
      </c>
      <c r="W41" s="17" t="s">
        <v>68</v>
      </c>
      <c r="X41" s="17">
        <v>2</v>
      </c>
      <c r="Y41" s="17">
        <f>data[[#This Row],[DeliveryDate]]-data[[#This Row],[ShipDate]]</f>
        <v>10</v>
      </c>
      <c r="Z41" s="17" t="str">
        <f>IF(data[[#This Row],[Actual Delivery Days]]&gt;AD42,"Yes","No")</f>
        <v>Yes</v>
      </c>
    </row>
    <row r="42" spans="1:26">
      <c r="A42" s="17">
        <v>10616</v>
      </c>
      <c r="B42" s="17">
        <v>1</v>
      </c>
      <c r="C42" s="17">
        <v>5</v>
      </c>
      <c r="D42" s="17" t="s">
        <v>145</v>
      </c>
      <c r="E42" s="17" t="s">
        <v>150</v>
      </c>
      <c r="F42" s="17" t="str">
        <f>TEXT(data[[#This Row],[ShipDate]],"yyyy - mmmm")</f>
        <v>2016 - July</v>
      </c>
      <c r="G42" s="17" t="str">
        <f>data[[#This Row],[OriginCity]] &amp; " - "  &amp; data[[#This Row],[DestinationCity]]</f>
        <v>Lansing - Dayton</v>
      </c>
      <c r="H42" s="17" t="s">
        <v>66</v>
      </c>
      <c r="I42" s="17" t="s">
        <v>21</v>
      </c>
      <c r="J42" s="17">
        <v>10</v>
      </c>
      <c r="K42" s="17" t="s">
        <v>93</v>
      </c>
      <c r="L42" s="17" t="s">
        <v>23</v>
      </c>
      <c r="M42" s="17" t="s">
        <v>416</v>
      </c>
      <c r="N42" s="17">
        <v>887</v>
      </c>
      <c r="O42" s="17">
        <v>580</v>
      </c>
      <c r="P42" s="26">
        <f>(data[[#This Row],[LoadedMiles]]/data[[#This Row],[TotalMiles]])*100</f>
        <v>65.388951521984211</v>
      </c>
      <c r="Q42" s="25">
        <f>data[[#This Row],[ShippingCost]]/data[[#This Row],[TotalMiles]]</f>
        <v>0.7688838782412627</v>
      </c>
      <c r="R42" s="17">
        <v>682</v>
      </c>
      <c r="S42" s="25">
        <f>data[[#This Row],[Revenue]]/data[[#This Row],[TotalMiles]]</f>
        <v>1.519729425028185</v>
      </c>
      <c r="T42" s="26">
        <f>data[[#This Row],[Revenue]]-data[[#This Row],[ShippingCost]]</f>
        <v>666</v>
      </c>
      <c r="U42" s="17">
        <v>1348</v>
      </c>
      <c r="V42" s="17">
        <v>86</v>
      </c>
      <c r="W42" s="17" t="s">
        <v>68</v>
      </c>
      <c r="X42" s="17">
        <v>4</v>
      </c>
      <c r="Y42" s="17">
        <f>data[[#This Row],[DeliveryDate]]-data[[#This Row],[ShipDate]]</f>
        <v>10</v>
      </c>
      <c r="Z42" s="17" t="str">
        <f>IF(data[[#This Row],[Actual Delivery Days]]&gt;AD43,"Yes","No")</f>
        <v>Yes</v>
      </c>
    </row>
    <row r="43" spans="1:26">
      <c r="A43" s="17">
        <v>10617</v>
      </c>
      <c r="B43" s="17">
        <v>2</v>
      </c>
      <c r="C43" s="17">
        <v>5</v>
      </c>
      <c r="D43" s="17" t="s">
        <v>148</v>
      </c>
      <c r="E43" s="17" t="s">
        <v>341</v>
      </c>
      <c r="F43" s="17" t="str">
        <f>TEXT(data[[#This Row],[ShipDate]],"yyyy - mmmm")</f>
        <v>2016 - August</v>
      </c>
      <c r="G43" s="17" t="str">
        <f>data[[#This Row],[OriginCity]] &amp; " - "  &amp; data[[#This Row],[DestinationCity]]</f>
        <v>Bangor - Davenport</v>
      </c>
      <c r="H43" s="17" t="s">
        <v>104</v>
      </c>
      <c r="I43" s="17" t="s">
        <v>21</v>
      </c>
      <c r="J43" s="17">
        <v>10</v>
      </c>
      <c r="K43" s="17" t="s">
        <v>105</v>
      </c>
      <c r="L43" s="17" t="s">
        <v>106</v>
      </c>
      <c r="M43" s="17" t="s">
        <v>587</v>
      </c>
      <c r="N43" s="17">
        <v>870</v>
      </c>
      <c r="O43" s="17">
        <v>610</v>
      </c>
      <c r="P43" s="26">
        <f>(data[[#This Row],[LoadedMiles]]/data[[#This Row],[TotalMiles]])*100</f>
        <v>70.114942528735639</v>
      </c>
      <c r="Q43" s="25">
        <f>data[[#This Row],[ShippingCost]]/data[[#This Row],[TotalMiles]]</f>
        <v>6.3390804597701154</v>
      </c>
      <c r="R43" s="17">
        <v>5515</v>
      </c>
      <c r="S43" s="25">
        <f>data[[#This Row],[Revenue]]/data[[#This Row],[TotalMiles]]</f>
        <v>6.6528735632183906</v>
      </c>
      <c r="T43" s="26">
        <f>data[[#This Row],[Revenue]]-data[[#This Row],[ShippingCost]]</f>
        <v>273</v>
      </c>
      <c r="U43" s="17">
        <v>5788</v>
      </c>
      <c r="V43" s="17">
        <v>57</v>
      </c>
      <c r="W43" s="17" t="s">
        <v>68</v>
      </c>
      <c r="X43" s="17">
        <v>10</v>
      </c>
      <c r="Y43" s="17">
        <f>data[[#This Row],[DeliveryDate]]-data[[#This Row],[ShipDate]]</f>
        <v>10</v>
      </c>
      <c r="Z43" s="17" t="str">
        <f>IF(data[[#This Row],[Actual Delivery Days]]&gt;AD44,"Yes","No")</f>
        <v>Yes</v>
      </c>
    </row>
    <row r="44" spans="1:26">
      <c r="A44" s="17">
        <v>10635</v>
      </c>
      <c r="B44" s="17">
        <v>2</v>
      </c>
      <c r="C44" s="17">
        <v>7</v>
      </c>
      <c r="D44" s="17" t="s">
        <v>194</v>
      </c>
      <c r="E44" s="17" t="s">
        <v>513</v>
      </c>
      <c r="F44" s="17" t="str">
        <f>TEXT(data[[#This Row],[ShipDate]],"yyyy - mmmm")</f>
        <v>2016 - August</v>
      </c>
      <c r="G44" s="17" t="str">
        <f>data[[#This Row],[OriginCity]] &amp; " - "  &amp; data[[#This Row],[DestinationCity]]</f>
        <v>Appleton - Grand Rapids</v>
      </c>
      <c r="H44" s="17" t="s">
        <v>85</v>
      </c>
      <c r="I44" s="17" t="s">
        <v>29</v>
      </c>
      <c r="J44" s="17">
        <v>10</v>
      </c>
      <c r="K44" s="17" t="s">
        <v>20</v>
      </c>
      <c r="L44" s="17" t="s">
        <v>21</v>
      </c>
      <c r="M44" s="17" t="s">
        <v>211</v>
      </c>
      <c r="N44" s="17">
        <v>420</v>
      </c>
      <c r="O44" s="17">
        <v>407</v>
      </c>
      <c r="P44" s="26">
        <f>(data[[#This Row],[LoadedMiles]]/data[[#This Row],[TotalMiles]])*100</f>
        <v>96.904761904761898</v>
      </c>
      <c r="Q44" s="25">
        <f>data[[#This Row],[ShippingCost]]/data[[#This Row],[TotalMiles]]</f>
        <v>10.876190476190477</v>
      </c>
      <c r="R44" s="17">
        <v>4568</v>
      </c>
      <c r="S44" s="25">
        <f>data[[#This Row],[Revenue]]/data[[#This Row],[TotalMiles]]</f>
        <v>13.035714285714286</v>
      </c>
      <c r="T44" s="26">
        <f>data[[#This Row],[Revenue]]-data[[#This Row],[ShippingCost]]</f>
        <v>907</v>
      </c>
      <c r="U44" s="17">
        <v>5475</v>
      </c>
      <c r="V44" s="17">
        <v>58</v>
      </c>
      <c r="W44" s="17" t="s">
        <v>68</v>
      </c>
      <c r="X44" s="17">
        <v>4</v>
      </c>
      <c r="Y44" s="17">
        <f>data[[#This Row],[DeliveryDate]]-data[[#This Row],[ShipDate]]</f>
        <v>10</v>
      </c>
      <c r="Z44" s="17" t="str">
        <f>IF(data[[#This Row],[Actual Delivery Days]]&gt;AD45,"Yes","No")</f>
        <v>Yes</v>
      </c>
    </row>
    <row r="45" spans="1:26">
      <c r="A45" s="17">
        <v>10637</v>
      </c>
      <c r="B45" s="17">
        <v>2</v>
      </c>
      <c r="C45" s="17">
        <v>5</v>
      </c>
      <c r="D45" s="17" t="s">
        <v>198</v>
      </c>
      <c r="E45" s="17" t="s">
        <v>413</v>
      </c>
      <c r="F45" s="17" t="str">
        <f>TEXT(data[[#This Row],[ShipDate]],"yyyy - mmmm")</f>
        <v>2016 - April</v>
      </c>
      <c r="G45" s="17" t="str">
        <f>data[[#This Row],[OriginCity]] &amp; " - "  &amp; data[[#This Row],[DestinationCity]]</f>
        <v>Dayton - Elgin</v>
      </c>
      <c r="H45" s="17" t="s">
        <v>93</v>
      </c>
      <c r="I45" s="17" t="s">
        <v>23</v>
      </c>
      <c r="J45" s="17">
        <v>10</v>
      </c>
      <c r="K45" s="17" t="s">
        <v>94</v>
      </c>
      <c r="L45" s="17" t="s">
        <v>31</v>
      </c>
      <c r="M45" s="17" t="s">
        <v>285</v>
      </c>
      <c r="N45" s="17">
        <v>438</v>
      </c>
      <c r="O45" s="17">
        <v>212</v>
      </c>
      <c r="P45" s="26">
        <f>(data[[#This Row],[LoadedMiles]]/data[[#This Row],[TotalMiles]])*100</f>
        <v>48.401826484018265</v>
      </c>
      <c r="Q45" s="25">
        <f>data[[#This Row],[ShippingCost]]/data[[#This Row],[TotalMiles]]</f>
        <v>10.974885844748858</v>
      </c>
      <c r="R45" s="17">
        <v>4807</v>
      </c>
      <c r="S45" s="25">
        <f>data[[#This Row],[Revenue]]/data[[#This Row],[TotalMiles]]</f>
        <v>12.328767123287671</v>
      </c>
      <c r="T45" s="26">
        <f>data[[#This Row],[Revenue]]-data[[#This Row],[ShippingCost]]</f>
        <v>593</v>
      </c>
      <c r="U45" s="17">
        <v>5400</v>
      </c>
      <c r="V45" s="17">
        <v>93</v>
      </c>
      <c r="W45" s="17" t="s">
        <v>68</v>
      </c>
      <c r="X45" s="17">
        <v>4</v>
      </c>
      <c r="Y45" s="17">
        <f>data[[#This Row],[DeliveryDate]]-data[[#This Row],[ShipDate]]</f>
        <v>10</v>
      </c>
      <c r="Z45" s="17" t="str">
        <f>IF(data[[#This Row],[Actual Delivery Days]]&gt;AD46,"Yes","No")</f>
        <v>Yes</v>
      </c>
    </row>
    <row r="46" spans="1:26">
      <c r="A46" s="17">
        <v>10638</v>
      </c>
      <c r="B46" s="17">
        <v>2</v>
      </c>
      <c r="C46" s="17">
        <v>6</v>
      </c>
      <c r="D46" s="17" t="s">
        <v>201</v>
      </c>
      <c r="E46" s="17" t="s">
        <v>290</v>
      </c>
      <c r="F46" s="17" t="str">
        <f>TEXT(data[[#This Row],[ShipDate]],"yyyy - mmmm")</f>
        <v>2016 - February</v>
      </c>
      <c r="G46" s="17" t="str">
        <f>data[[#This Row],[OriginCity]] &amp; " - "  &amp; data[[#This Row],[DestinationCity]]</f>
        <v>Toledo - Detriot</v>
      </c>
      <c r="H46" s="17" t="s">
        <v>22</v>
      </c>
      <c r="I46" s="17" t="s">
        <v>23</v>
      </c>
      <c r="J46" s="17">
        <v>10</v>
      </c>
      <c r="K46" s="17" t="s">
        <v>52</v>
      </c>
      <c r="L46" s="17" t="s">
        <v>21</v>
      </c>
      <c r="M46" s="17" t="s">
        <v>82</v>
      </c>
      <c r="N46" s="17">
        <v>417</v>
      </c>
      <c r="O46" s="17">
        <v>321</v>
      </c>
      <c r="P46" s="26">
        <f>(data[[#This Row],[LoadedMiles]]/data[[#This Row],[TotalMiles]])*100</f>
        <v>76.978417266187051</v>
      </c>
      <c r="Q46" s="25">
        <f>data[[#This Row],[ShippingCost]]/data[[#This Row],[TotalMiles]]</f>
        <v>9.1870503597122308</v>
      </c>
      <c r="R46" s="17">
        <v>3831</v>
      </c>
      <c r="S46" s="25">
        <f>data[[#This Row],[Revenue]]/data[[#This Row],[TotalMiles]]</f>
        <v>11.520383693045563</v>
      </c>
      <c r="T46" s="26">
        <f>data[[#This Row],[Revenue]]-data[[#This Row],[ShippingCost]]</f>
        <v>973</v>
      </c>
      <c r="U46" s="17">
        <v>4804</v>
      </c>
      <c r="V46" s="17">
        <v>75</v>
      </c>
      <c r="W46" s="17" t="s">
        <v>68</v>
      </c>
      <c r="X46" s="17">
        <v>6</v>
      </c>
      <c r="Y46" s="17">
        <f>data[[#This Row],[DeliveryDate]]-data[[#This Row],[ShipDate]]</f>
        <v>40</v>
      </c>
      <c r="Z46" s="17" t="str">
        <f>IF(data[[#This Row],[Actual Delivery Days]]&gt;AD47,"Yes","No")</f>
        <v>Yes</v>
      </c>
    </row>
    <row r="47" spans="1:26">
      <c r="A47" s="17">
        <v>10653</v>
      </c>
      <c r="B47" s="17">
        <v>1</v>
      </c>
      <c r="C47" s="17">
        <v>5</v>
      </c>
      <c r="D47" s="17" t="s">
        <v>235</v>
      </c>
      <c r="E47" s="17" t="s">
        <v>191</v>
      </c>
      <c r="F47" s="17" t="str">
        <f>TEXT(data[[#This Row],[ShipDate]],"yyyy - mmmm")</f>
        <v>2016 - July</v>
      </c>
      <c r="G47" s="17" t="str">
        <f>data[[#This Row],[OriginCity]] &amp; " - "  &amp; data[[#This Row],[DestinationCity]]</f>
        <v>Monon - Lansing</v>
      </c>
      <c r="H47" s="17" t="s">
        <v>53</v>
      </c>
      <c r="I47" s="17" t="s">
        <v>44</v>
      </c>
      <c r="J47" s="17">
        <v>10</v>
      </c>
      <c r="K47" s="17" t="s">
        <v>66</v>
      </c>
      <c r="L47" s="17" t="s">
        <v>21</v>
      </c>
      <c r="M47" s="17" t="s">
        <v>467</v>
      </c>
      <c r="N47" s="17">
        <v>308</v>
      </c>
      <c r="O47" s="17">
        <v>286</v>
      </c>
      <c r="P47" s="26">
        <f>(data[[#This Row],[LoadedMiles]]/data[[#This Row],[TotalMiles]])*100</f>
        <v>92.857142857142861</v>
      </c>
      <c r="Q47" s="25">
        <f>data[[#This Row],[ShippingCost]]/data[[#This Row],[TotalMiles]]</f>
        <v>19.642857142857142</v>
      </c>
      <c r="R47" s="17">
        <v>6050</v>
      </c>
      <c r="S47" s="25">
        <f>data[[#This Row],[Revenue]]/data[[#This Row],[TotalMiles]]</f>
        <v>21.714285714285715</v>
      </c>
      <c r="T47" s="26">
        <f>data[[#This Row],[Revenue]]-data[[#This Row],[ShippingCost]]</f>
        <v>638</v>
      </c>
      <c r="U47" s="17">
        <v>6688</v>
      </c>
      <c r="V47" s="17">
        <v>59</v>
      </c>
      <c r="W47" s="17" t="s">
        <v>68</v>
      </c>
      <c r="X47" s="17">
        <v>1</v>
      </c>
      <c r="Y47" s="17">
        <f>data[[#This Row],[DeliveryDate]]-data[[#This Row],[ShipDate]]</f>
        <v>10</v>
      </c>
      <c r="Z47" s="17" t="str">
        <f>IF(data[[#This Row],[Actual Delivery Days]]&gt;AD48,"Yes","No")</f>
        <v>Yes</v>
      </c>
    </row>
    <row r="48" spans="1:26">
      <c r="A48" s="17">
        <v>10656</v>
      </c>
      <c r="B48" s="17">
        <v>1</v>
      </c>
      <c r="C48" s="17">
        <v>8</v>
      </c>
      <c r="D48" s="17" t="s">
        <v>242</v>
      </c>
      <c r="E48" s="17" t="s">
        <v>454</v>
      </c>
      <c r="F48" s="17" t="str">
        <f>TEXT(data[[#This Row],[ShipDate]],"yyyy - mmmm")</f>
        <v>2016 - March</v>
      </c>
      <c r="G48" s="17" t="str">
        <f>data[[#This Row],[OriginCity]] &amp; " - "  &amp; data[[#This Row],[DestinationCity]]</f>
        <v>Naperville - Indianapolis</v>
      </c>
      <c r="H48" s="17" t="s">
        <v>48</v>
      </c>
      <c r="I48" s="17" t="s">
        <v>31</v>
      </c>
      <c r="J48" s="17">
        <v>10</v>
      </c>
      <c r="K48" s="17" t="s">
        <v>43</v>
      </c>
      <c r="L48" s="17" t="s">
        <v>44</v>
      </c>
      <c r="M48" s="17" t="s">
        <v>51</v>
      </c>
      <c r="N48" s="17">
        <v>431</v>
      </c>
      <c r="O48" s="17">
        <v>431</v>
      </c>
      <c r="P48" s="26">
        <f>(data[[#This Row],[LoadedMiles]]/data[[#This Row],[TotalMiles]])*100</f>
        <v>100</v>
      </c>
      <c r="Q48" s="25">
        <f>data[[#This Row],[ShippingCost]]/data[[#This Row],[TotalMiles]]</f>
        <v>8.9234338747099766</v>
      </c>
      <c r="R48" s="17">
        <v>3846</v>
      </c>
      <c r="S48" s="25">
        <f>data[[#This Row],[Revenue]]/data[[#This Row],[TotalMiles]]</f>
        <v>10.501160092807424</v>
      </c>
      <c r="T48" s="26">
        <f>data[[#This Row],[Revenue]]-data[[#This Row],[ShippingCost]]</f>
        <v>680</v>
      </c>
      <c r="U48" s="17">
        <v>4526</v>
      </c>
      <c r="V48" s="17">
        <v>78</v>
      </c>
      <c r="W48" s="17" t="s">
        <v>68</v>
      </c>
      <c r="X48" s="17">
        <v>1</v>
      </c>
      <c r="Y48" s="17">
        <f>data[[#This Row],[DeliveryDate]]-data[[#This Row],[ShipDate]]</f>
        <v>10</v>
      </c>
      <c r="Z48" s="17" t="str">
        <f>IF(data[[#This Row],[Actual Delivery Days]]&gt;AD49,"Yes","No")</f>
        <v>Yes</v>
      </c>
    </row>
    <row r="49" spans="1:26">
      <c r="A49" s="17">
        <v>10657</v>
      </c>
      <c r="B49" s="17">
        <v>1</v>
      </c>
      <c r="C49" s="17">
        <v>4</v>
      </c>
      <c r="D49" s="17" t="s">
        <v>244</v>
      </c>
      <c r="E49" s="17" t="s">
        <v>141</v>
      </c>
      <c r="F49" s="17" t="str">
        <f>TEXT(data[[#This Row],[ShipDate]],"yyyy - mmmm")</f>
        <v>2016 - August</v>
      </c>
      <c r="G49" s="17" t="str">
        <f>data[[#This Row],[OriginCity]] &amp; " - "  &amp; data[[#This Row],[DestinationCity]]</f>
        <v>Rockford - Green Bay</v>
      </c>
      <c r="H49" s="17" t="s">
        <v>40</v>
      </c>
      <c r="I49" s="17" t="s">
        <v>31</v>
      </c>
      <c r="J49" s="17">
        <v>10</v>
      </c>
      <c r="K49" s="17" t="s">
        <v>75</v>
      </c>
      <c r="L49" s="17" t="s">
        <v>29</v>
      </c>
      <c r="M49" s="17" t="s">
        <v>82</v>
      </c>
      <c r="N49" s="17">
        <v>496</v>
      </c>
      <c r="O49" s="17">
        <v>496</v>
      </c>
      <c r="P49" s="26">
        <f>(data[[#This Row],[LoadedMiles]]/data[[#This Row],[TotalMiles]])*100</f>
        <v>100</v>
      </c>
      <c r="Q49" s="25">
        <f>data[[#This Row],[ShippingCost]]/data[[#This Row],[TotalMiles]]</f>
        <v>8.2903225806451619</v>
      </c>
      <c r="R49" s="17">
        <v>4112</v>
      </c>
      <c r="S49" s="25">
        <f>data[[#This Row],[Revenue]]/data[[#This Row],[TotalMiles]]</f>
        <v>3.6068548387096775</v>
      </c>
      <c r="T49" s="26">
        <f>data[[#This Row],[Revenue]]-data[[#This Row],[ShippingCost]]</f>
        <v>-2323</v>
      </c>
      <c r="U49" s="17">
        <v>1789</v>
      </c>
      <c r="V49" s="17">
        <v>89</v>
      </c>
      <c r="W49" s="17" t="s">
        <v>68</v>
      </c>
      <c r="X49" s="17">
        <v>2</v>
      </c>
      <c r="Y49" s="17">
        <f>data[[#This Row],[DeliveryDate]]-data[[#This Row],[ShipDate]]</f>
        <v>-137</v>
      </c>
      <c r="Z49" s="17" t="str">
        <f>IF(data[[#This Row],[Actual Delivery Days]]&gt;AD50,"Yes","No")</f>
        <v>No</v>
      </c>
    </row>
    <row r="50" spans="1:26">
      <c r="A50" s="17">
        <v>10662</v>
      </c>
      <c r="B50" s="17">
        <v>1</v>
      </c>
      <c r="C50" s="17">
        <v>4</v>
      </c>
      <c r="D50" s="17" t="s">
        <v>256</v>
      </c>
      <c r="E50" s="17" t="s">
        <v>444</v>
      </c>
      <c r="F50" s="17" t="str">
        <f>TEXT(data[[#This Row],[ShipDate]],"yyyy - mmmm")</f>
        <v>2016 - June</v>
      </c>
      <c r="G50" s="17" t="str">
        <f>data[[#This Row],[OriginCity]] &amp; " - "  &amp; data[[#This Row],[DestinationCity]]</f>
        <v>Bangor - Davenport</v>
      </c>
      <c r="H50" s="17" t="s">
        <v>104</v>
      </c>
      <c r="I50" s="17" t="s">
        <v>21</v>
      </c>
      <c r="J50" s="17">
        <v>10</v>
      </c>
      <c r="K50" s="17" t="s">
        <v>105</v>
      </c>
      <c r="L50" s="17" t="s">
        <v>106</v>
      </c>
      <c r="M50" s="17" t="s">
        <v>136</v>
      </c>
      <c r="N50" s="17">
        <v>528</v>
      </c>
      <c r="O50" s="17">
        <v>528</v>
      </c>
      <c r="P50" s="26">
        <f>(data[[#This Row],[LoadedMiles]]/data[[#This Row],[TotalMiles]])*100</f>
        <v>100</v>
      </c>
      <c r="Q50" s="25">
        <f>data[[#This Row],[ShippingCost]]/data[[#This Row],[TotalMiles]]</f>
        <v>15.268939393939394</v>
      </c>
      <c r="R50" s="17">
        <v>8062</v>
      </c>
      <c r="S50" s="25">
        <f>data[[#This Row],[Revenue]]/data[[#This Row],[TotalMiles]]</f>
        <v>11.859848484848484</v>
      </c>
      <c r="T50" s="26">
        <f>data[[#This Row],[Revenue]]-data[[#This Row],[ShippingCost]]</f>
        <v>-1800</v>
      </c>
      <c r="U50" s="17">
        <v>6262</v>
      </c>
      <c r="V50" s="17">
        <v>70</v>
      </c>
      <c r="W50" s="17" t="s">
        <v>68</v>
      </c>
      <c r="X50" s="17">
        <v>7</v>
      </c>
      <c r="Y50" s="17">
        <f>data[[#This Row],[DeliveryDate]]-data[[#This Row],[ShipDate]]</f>
        <v>9</v>
      </c>
      <c r="Z50" s="17" t="str">
        <f>IF(data[[#This Row],[Actual Delivery Days]]&gt;AD51,"Yes","No")</f>
        <v>Yes</v>
      </c>
    </row>
    <row r="51" spans="1:26">
      <c r="A51" s="17">
        <v>10679</v>
      </c>
      <c r="B51" s="17">
        <v>1</v>
      </c>
      <c r="C51" s="17">
        <v>8</v>
      </c>
      <c r="D51" s="17" t="s">
        <v>292</v>
      </c>
      <c r="E51" s="17" t="s">
        <v>54</v>
      </c>
      <c r="F51" s="17" t="str">
        <f>TEXT(data[[#This Row],[ShipDate]],"yyyy - mmmm")</f>
        <v>2016 - April</v>
      </c>
      <c r="G51" s="17" t="str">
        <f>data[[#This Row],[OriginCity]] &amp; " - "  &amp; data[[#This Row],[DestinationCity]]</f>
        <v>Appleton - Grand Rapids</v>
      </c>
      <c r="H51" s="17" t="s">
        <v>85</v>
      </c>
      <c r="I51" s="17" t="s">
        <v>29</v>
      </c>
      <c r="J51" s="17">
        <v>10</v>
      </c>
      <c r="K51" s="17" t="s">
        <v>20</v>
      </c>
      <c r="L51" s="17" t="s">
        <v>21</v>
      </c>
      <c r="M51" s="17" t="s">
        <v>418</v>
      </c>
      <c r="N51" s="17">
        <v>537</v>
      </c>
      <c r="O51" s="17">
        <v>522</v>
      </c>
      <c r="P51" s="26">
        <f>(data[[#This Row],[LoadedMiles]]/data[[#This Row],[TotalMiles]])*100</f>
        <v>97.206703910614522</v>
      </c>
      <c r="Q51" s="25">
        <f>data[[#This Row],[ShippingCost]]/data[[#This Row],[TotalMiles]]</f>
        <v>7.4972067039106145</v>
      </c>
      <c r="R51" s="17">
        <v>4026</v>
      </c>
      <c r="S51" s="25">
        <f>data[[#This Row],[Revenue]]/data[[#This Row],[TotalMiles]]</f>
        <v>8.6238361266294223</v>
      </c>
      <c r="T51" s="26">
        <f>data[[#This Row],[Revenue]]-data[[#This Row],[ShippingCost]]</f>
        <v>605</v>
      </c>
      <c r="U51" s="17">
        <v>4631</v>
      </c>
      <c r="V51" s="17">
        <v>64</v>
      </c>
      <c r="W51" s="17" t="s">
        <v>68</v>
      </c>
      <c r="X51" s="17">
        <v>2</v>
      </c>
      <c r="Y51" s="17">
        <f>data[[#This Row],[DeliveryDate]]-data[[#This Row],[ShipDate]]</f>
        <v>9</v>
      </c>
      <c r="Z51" s="17" t="str">
        <f>IF(data[[#This Row],[Actual Delivery Days]]&gt;AD52,"Yes","No")</f>
        <v>Yes</v>
      </c>
    </row>
    <row r="52" spans="1:26">
      <c r="A52" s="17">
        <v>10689</v>
      </c>
      <c r="B52" s="17">
        <v>2</v>
      </c>
      <c r="C52" s="17">
        <v>4</v>
      </c>
      <c r="D52" s="17" t="s">
        <v>313</v>
      </c>
      <c r="E52" s="17" t="s">
        <v>454</v>
      </c>
      <c r="F52" s="17" t="str">
        <f>TEXT(data[[#This Row],[ShipDate]],"yyyy - mmmm")</f>
        <v>2016 - March</v>
      </c>
      <c r="G52" s="17" t="str">
        <f>data[[#This Row],[OriginCity]] &amp; " - "  &amp; data[[#This Row],[DestinationCity]]</f>
        <v>Milwaukee - Springfield</v>
      </c>
      <c r="H52" s="17" t="s">
        <v>28</v>
      </c>
      <c r="I52" s="17" t="s">
        <v>29</v>
      </c>
      <c r="J52" s="17">
        <v>10</v>
      </c>
      <c r="K52" s="17" t="s">
        <v>30</v>
      </c>
      <c r="L52" s="17" t="s">
        <v>31</v>
      </c>
      <c r="M52" s="17" t="s">
        <v>51</v>
      </c>
      <c r="N52" s="17">
        <v>631</v>
      </c>
      <c r="O52" s="17">
        <v>319</v>
      </c>
      <c r="P52" s="26">
        <f>(data[[#This Row],[LoadedMiles]]/data[[#This Row],[TotalMiles]])*100</f>
        <v>50.554675118858952</v>
      </c>
      <c r="Q52" s="25">
        <f>data[[#This Row],[ShippingCost]]/data[[#This Row],[TotalMiles]]</f>
        <v>7.5927099841521395</v>
      </c>
      <c r="R52" s="17">
        <v>4791</v>
      </c>
      <c r="S52" s="25">
        <f>data[[#This Row],[Revenue]]/data[[#This Row],[TotalMiles]]</f>
        <v>3.4136291600633912</v>
      </c>
      <c r="T52" s="26">
        <f>data[[#This Row],[Revenue]]-data[[#This Row],[ShippingCost]]</f>
        <v>-2637</v>
      </c>
      <c r="U52" s="17">
        <v>2154</v>
      </c>
      <c r="V52" s="17">
        <v>67</v>
      </c>
      <c r="W52" s="17" t="s">
        <v>68</v>
      </c>
      <c r="X52" s="17">
        <v>5</v>
      </c>
      <c r="Y52" s="17">
        <f>data[[#This Row],[DeliveryDate]]-data[[#This Row],[ShipDate]]</f>
        <v>10</v>
      </c>
      <c r="Z52" s="17" t="str">
        <f>IF(data[[#This Row],[Actual Delivery Days]]&gt;AD53,"Yes","No")</f>
        <v>Yes</v>
      </c>
    </row>
    <row r="53" spans="1:26">
      <c r="A53" s="17">
        <v>10727</v>
      </c>
      <c r="B53" s="17">
        <v>1</v>
      </c>
      <c r="C53" s="17">
        <v>8</v>
      </c>
      <c r="D53" s="17" t="s">
        <v>378</v>
      </c>
      <c r="E53" s="17" t="s">
        <v>449</v>
      </c>
      <c r="F53" s="17" t="str">
        <f>TEXT(data[[#This Row],[ShipDate]],"yyyy - mmmm")</f>
        <v>2016 - March</v>
      </c>
      <c r="G53" s="17" t="str">
        <f>data[[#This Row],[OriginCity]] &amp; " - "  &amp; data[[#This Row],[DestinationCity]]</f>
        <v>Lansing - Dayton</v>
      </c>
      <c r="H53" s="17" t="s">
        <v>66</v>
      </c>
      <c r="I53" s="17" t="s">
        <v>21</v>
      </c>
      <c r="J53" s="17">
        <v>10</v>
      </c>
      <c r="K53" s="17" t="s">
        <v>93</v>
      </c>
      <c r="L53" s="17" t="s">
        <v>23</v>
      </c>
      <c r="M53" s="17" t="s">
        <v>272</v>
      </c>
      <c r="N53" s="17">
        <v>968</v>
      </c>
      <c r="O53" s="17">
        <v>630</v>
      </c>
      <c r="P53" s="26">
        <f>(data[[#This Row],[LoadedMiles]]/data[[#This Row],[TotalMiles]])*100</f>
        <v>65.082644628099175</v>
      </c>
      <c r="Q53" s="25">
        <f>data[[#This Row],[ShippingCost]]/data[[#This Row],[TotalMiles]]</f>
        <v>6.0836776859504136</v>
      </c>
      <c r="R53" s="17">
        <v>5889</v>
      </c>
      <c r="S53" s="25">
        <f>data[[#This Row],[Revenue]]/data[[#This Row],[TotalMiles]]</f>
        <v>6.2882231404958677</v>
      </c>
      <c r="T53" s="26">
        <f>data[[#This Row],[Revenue]]-data[[#This Row],[ShippingCost]]</f>
        <v>198</v>
      </c>
      <c r="U53" s="17">
        <v>6087</v>
      </c>
      <c r="V53" s="17">
        <v>66</v>
      </c>
      <c r="W53" s="17" t="s">
        <v>68</v>
      </c>
      <c r="X53" s="17">
        <v>8</v>
      </c>
      <c r="Y53" s="17">
        <f>data[[#This Row],[DeliveryDate]]-data[[#This Row],[ShipDate]]</f>
        <v>10</v>
      </c>
      <c r="Z53" s="17" t="str">
        <f>IF(data[[#This Row],[Actual Delivery Days]]&gt;AD54,"Yes","No")</f>
        <v>Yes</v>
      </c>
    </row>
    <row r="54" spans="1:26">
      <c r="A54" s="17">
        <v>10768</v>
      </c>
      <c r="B54" s="17">
        <v>2</v>
      </c>
      <c r="C54" s="17">
        <v>4</v>
      </c>
      <c r="D54" s="17" t="s">
        <v>452</v>
      </c>
      <c r="E54" s="17" t="s">
        <v>333</v>
      </c>
      <c r="F54" s="17" t="str">
        <f>TEXT(data[[#This Row],[ShipDate]],"yyyy - mmmm")</f>
        <v>2016 - February</v>
      </c>
      <c r="G54" s="17" t="str">
        <f>data[[#This Row],[OriginCity]] &amp; " - "  &amp; data[[#This Row],[DestinationCity]]</f>
        <v>Lansing - Dayton</v>
      </c>
      <c r="H54" s="17" t="s">
        <v>66</v>
      </c>
      <c r="I54" s="17" t="s">
        <v>21</v>
      </c>
      <c r="J54" s="17">
        <v>10</v>
      </c>
      <c r="K54" s="17" t="s">
        <v>93</v>
      </c>
      <c r="L54" s="17" t="s">
        <v>23</v>
      </c>
      <c r="M54" s="17" t="s">
        <v>132</v>
      </c>
      <c r="N54" s="17">
        <v>1005</v>
      </c>
      <c r="O54" s="17">
        <v>206</v>
      </c>
      <c r="P54" s="26">
        <f>(data[[#This Row],[LoadedMiles]]/data[[#This Row],[TotalMiles]])*100</f>
        <v>20.497512437810943</v>
      </c>
      <c r="Q54" s="25">
        <f>data[[#This Row],[ShippingCost]]/data[[#This Row],[TotalMiles]]</f>
        <v>4.684577114427861</v>
      </c>
      <c r="R54" s="17">
        <v>4708</v>
      </c>
      <c r="S54" s="25">
        <f>data[[#This Row],[Revenue]]/data[[#This Row],[TotalMiles]]</f>
        <v>2.3731343283582089</v>
      </c>
      <c r="T54" s="26">
        <f>data[[#This Row],[Revenue]]-data[[#This Row],[ShippingCost]]</f>
        <v>-2323</v>
      </c>
      <c r="U54" s="17">
        <v>2385</v>
      </c>
      <c r="V54" s="17">
        <v>62</v>
      </c>
      <c r="W54" s="17" t="s">
        <v>68</v>
      </c>
      <c r="X54" s="17">
        <v>4</v>
      </c>
      <c r="Y54" s="17">
        <f>data[[#This Row],[DeliveryDate]]-data[[#This Row],[ShipDate]]</f>
        <v>9</v>
      </c>
      <c r="Z54" s="17" t="str">
        <f>IF(data[[#This Row],[Actual Delivery Days]]&gt;AD55,"Yes","No")</f>
        <v>Yes</v>
      </c>
    </row>
    <row r="55" spans="1:26">
      <c r="A55" s="17">
        <v>10779</v>
      </c>
      <c r="B55" s="17">
        <v>1</v>
      </c>
      <c r="C55" s="17">
        <v>4</v>
      </c>
      <c r="D55" s="17" t="s">
        <v>468</v>
      </c>
      <c r="E55" s="17" t="s">
        <v>152</v>
      </c>
      <c r="F55" s="17" t="str">
        <f>TEXT(data[[#This Row],[ShipDate]],"yyyy - mmmm")</f>
        <v>2016 - January</v>
      </c>
      <c r="G55" s="17" t="str">
        <f>data[[#This Row],[OriginCity]] &amp; " - "  &amp; data[[#This Row],[DestinationCity]]</f>
        <v>Northbrook - Naperville</v>
      </c>
      <c r="H55" s="17" t="s">
        <v>45</v>
      </c>
      <c r="I55" s="17" t="s">
        <v>31</v>
      </c>
      <c r="J55" s="17">
        <v>10</v>
      </c>
      <c r="K55" s="17" t="s">
        <v>48</v>
      </c>
      <c r="L55" s="17" t="s">
        <v>31</v>
      </c>
      <c r="M55" s="17" t="s">
        <v>290</v>
      </c>
      <c r="N55" s="17">
        <v>926</v>
      </c>
      <c r="O55" s="17">
        <v>648</v>
      </c>
      <c r="P55" s="26">
        <f>(data[[#This Row],[LoadedMiles]]/data[[#This Row],[TotalMiles]])*100</f>
        <v>69.978401727861765</v>
      </c>
      <c r="Q55" s="25">
        <f>data[[#This Row],[ShippingCost]]/data[[#This Row],[TotalMiles]]</f>
        <v>7.7354211663066952</v>
      </c>
      <c r="R55" s="17">
        <v>7163</v>
      </c>
      <c r="S55" s="25">
        <f>data[[#This Row],[Revenue]]/data[[#This Row],[TotalMiles]]</f>
        <v>5.6209503239740819</v>
      </c>
      <c r="T55" s="26">
        <f>data[[#This Row],[Revenue]]-data[[#This Row],[ShippingCost]]</f>
        <v>-1958</v>
      </c>
      <c r="U55" s="17">
        <v>5205</v>
      </c>
      <c r="V55" s="17">
        <v>60</v>
      </c>
      <c r="W55" s="17" t="s">
        <v>68</v>
      </c>
      <c r="X55" s="17">
        <v>6</v>
      </c>
      <c r="Y55" s="17">
        <f>data[[#This Row],[DeliveryDate]]-data[[#This Row],[ShipDate]]</f>
        <v>10</v>
      </c>
      <c r="Z55" s="17" t="str">
        <f>IF(data[[#This Row],[Actual Delivery Days]]&gt;AD56,"Yes","No")</f>
        <v>Yes</v>
      </c>
    </row>
    <row r="56" spans="1:26">
      <c r="A56" s="17">
        <v>10780</v>
      </c>
      <c r="B56" s="17">
        <v>2</v>
      </c>
      <c r="C56" s="17">
        <v>5</v>
      </c>
      <c r="D56" s="17" t="s">
        <v>471</v>
      </c>
      <c r="E56" s="17" t="s">
        <v>387</v>
      </c>
      <c r="F56" s="17" t="str">
        <f>TEXT(data[[#This Row],[ShipDate]],"yyyy - mmmm")</f>
        <v>2016 - August</v>
      </c>
      <c r="G56" s="17" t="str">
        <f>data[[#This Row],[OriginCity]] &amp; " - "  &amp; data[[#This Row],[DestinationCity]]</f>
        <v>Gary - Milwaukee</v>
      </c>
      <c r="H56" s="17" t="s">
        <v>57</v>
      </c>
      <c r="I56" s="17" t="s">
        <v>44</v>
      </c>
      <c r="J56" s="17">
        <v>10</v>
      </c>
      <c r="K56" s="17" t="s">
        <v>28</v>
      </c>
      <c r="L56" s="17" t="s">
        <v>29</v>
      </c>
      <c r="M56" s="17" t="s">
        <v>302</v>
      </c>
      <c r="N56" s="17">
        <v>935</v>
      </c>
      <c r="O56" s="17">
        <v>549</v>
      </c>
      <c r="P56" s="26">
        <f>(data[[#This Row],[LoadedMiles]]/data[[#This Row],[TotalMiles]])*100</f>
        <v>58.716577540106954</v>
      </c>
      <c r="Q56" s="25">
        <f>data[[#This Row],[ShippingCost]]/data[[#This Row],[TotalMiles]]</f>
        <v>1.7614973262032085</v>
      </c>
      <c r="R56" s="17">
        <v>1647</v>
      </c>
      <c r="S56" s="25">
        <f>data[[#This Row],[Revenue]]/data[[#This Row],[TotalMiles]]</f>
        <v>2.6256684491978608</v>
      </c>
      <c r="T56" s="26">
        <f>data[[#This Row],[Revenue]]-data[[#This Row],[ShippingCost]]</f>
        <v>808</v>
      </c>
      <c r="U56" s="17">
        <v>2455</v>
      </c>
      <c r="V56" s="17">
        <v>59</v>
      </c>
      <c r="W56" s="17" t="s">
        <v>68</v>
      </c>
      <c r="X56" s="17">
        <v>2</v>
      </c>
      <c r="Y56" s="17">
        <f>data[[#This Row],[DeliveryDate]]-data[[#This Row],[ShipDate]]</f>
        <v>10</v>
      </c>
      <c r="Z56" s="17" t="str">
        <f>IF(data[[#This Row],[Actual Delivery Days]]&gt;AD57,"Yes","No")</f>
        <v>Yes</v>
      </c>
    </row>
    <row r="57" spans="1:26">
      <c r="A57" s="17">
        <v>10782</v>
      </c>
      <c r="B57" s="17">
        <v>2</v>
      </c>
      <c r="C57" s="17">
        <v>8</v>
      </c>
      <c r="D57" s="17" t="s">
        <v>475</v>
      </c>
      <c r="E57" s="17" t="s">
        <v>63</v>
      </c>
      <c r="F57" s="17" t="str">
        <f>TEXT(data[[#This Row],[ShipDate]],"yyyy - mmmm")</f>
        <v>2016 - July</v>
      </c>
      <c r="G57" s="17" t="str">
        <f>data[[#This Row],[OriginCity]] &amp; " - "  &amp; data[[#This Row],[DestinationCity]]</f>
        <v>Monon - Lansing</v>
      </c>
      <c r="H57" s="17" t="s">
        <v>53</v>
      </c>
      <c r="I57" s="17" t="s">
        <v>44</v>
      </c>
      <c r="J57" s="17">
        <v>10</v>
      </c>
      <c r="K57" s="17" t="s">
        <v>66</v>
      </c>
      <c r="L57" s="17" t="s">
        <v>21</v>
      </c>
      <c r="M57" s="17" t="s">
        <v>82</v>
      </c>
      <c r="N57" s="17">
        <v>843</v>
      </c>
      <c r="O57" s="17">
        <v>707</v>
      </c>
      <c r="P57" s="26">
        <f>(data[[#This Row],[LoadedMiles]]/data[[#This Row],[TotalMiles]])*100</f>
        <v>83.867141162514827</v>
      </c>
      <c r="Q57" s="25">
        <f>data[[#This Row],[ShippingCost]]/data[[#This Row],[TotalMiles]]</f>
        <v>6.2040332147093711</v>
      </c>
      <c r="R57" s="17">
        <v>5230</v>
      </c>
      <c r="S57" s="25">
        <f>data[[#This Row],[Revenue]]/data[[#This Row],[TotalMiles]]</f>
        <v>6.9134045077105579</v>
      </c>
      <c r="T57" s="26">
        <f>data[[#This Row],[Revenue]]-data[[#This Row],[ShippingCost]]</f>
        <v>598</v>
      </c>
      <c r="U57" s="17">
        <v>5828</v>
      </c>
      <c r="V57" s="17">
        <v>84</v>
      </c>
      <c r="W57" s="17" t="s">
        <v>68</v>
      </c>
      <c r="X57" s="17">
        <v>4</v>
      </c>
      <c r="Y57" s="17">
        <f>data[[#This Row],[DeliveryDate]]-data[[#This Row],[ShipDate]]</f>
        <v>-127</v>
      </c>
      <c r="Z57" s="17" t="str">
        <f>IF(data[[#This Row],[Actual Delivery Days]]&gt;AD58,"Yes","No")</f>
        <v>No</v>
      </c>
    </row>
    <row r="58" spans="1:26">
      <c r="A58" s="17">
        <v>10817</v>
      </c>
      <c r="B58" s="17">
        <v>2</v>
      </c>
      <c r="C58" s="17">
        <v>7</v>
      </c>
      <c r="D58" s="17" t="s">
        <v>520</v>
      </c>
      <c r="E58" s="17" t="s">
        <v>279</v>
      </c>
      <c r="F58" s="17" t="str">
        <f>TEXT(data[[#This Row],[ShipDate]],"yyyy - mmmm")</f>
        <v>2016 - June</v>
      </c>
      <c r="G58" s="17" t="str">
        <f>data[[#This Row],[OriginCity]] &amp; " - "  &amp; data[[#This Row],[DestinationCity]]</f>
        <v>Grand Rapids - Toledo</v>
      </c>
      <c r="H58" s="17" t="s">
        <v>20</v>
      </c>
      <c r="I58" s="17" t="s">
        <v>21</v>
      </c>
      <c r="J58" s="17">
        <v>10</v>
      </c>
      <c r="K58" s="17" t="s">
        <v>22</v>
      </c>
      <c r="L58" s="17" t="s">
        <v>23</v>
      </c>
      <c r="M58" s="17" t="s">
        <v>399</v>
      </c>
      <c r="N58" s="17">
        <v>398</v>
      </c>
      <c r="O58" s="17">
        <v>398</v>
      </c>
      <c r="P58" s="26">
        <f>(data[[#This Row],[LoadedMiles]]/data[[#This Row],[TotalMiles]])*100</f>
        <v>100</v>
      </c>
      <c r="Q58" s="25">
        <f>data[[#This Row],[ShippingCost]]/data[[#This Row],[TotalMiles]]</f>
        <v>7.0025125628140703</v>
      </c>
      <c r="R58" s="17">
        <v>2787</v>
      </c>
      <c r="S58" s="25">
        <f>data[[#This Row],[Revenue]]/data[[#This Row],[TotalMiles]]</f>
        <v>8.9824120603015079</v>
      </c>
      <c r="T58" s="26">
        <f>data[[#This Row],[Revenue]]-data[[#This Row],[ShippingCost]]</f>
        <v>788</v>
      </c>
      <c r="U58" s="17">
        <v>3575</v>
      </c>
      <c r="V58" s="17">
        <v>80</v>
      </c>
      <c r="W58" s="17" t="s">
        <v>68</v>
      </c>
      <c r="X58" s="17">
        <v>7</v>
      </c>
      <c r="Y58" s="17">
        <f>data[[#This Row],[DeliveryDate]]-data[[#This Row],[ShipDate]]</f>
        <v>10</v>
      </c>
      <c r="Z58" s="17" t="str">
        <f>IF(data[[#This Row],[Actual Delivery Days]]&gt;AD59,"Yes","No")</f>
        <v>Yes</v>
      </c>
    </row>
    <row r="59" spans="1:26">
      <c r="A59" s="17">
        <v>10821</v>
      </c>
      <c r="B59" s="17">
        <v>1</v>
      </c>
      <c r="C59" s="17">
        <v>8</v>
      </c>
      <c r="D59" s="17" t="s">
        <v>528</v>
      </c>
      <c r="E59" s="17" t="s">
        <v>341</v>
      </c>
      <c r="F59" s="17" t="str">
        <f>TEXT(data[[#This Row],[ShipDate]],"yyyy - mmmm")</f>
        <v>2016 - August</v>
      </c>
      <c r="G59" s="17" t="str">
        <f>data[[#This Row],[OriginCity]] &amp; " - "  &amp; data[[#This Row],[DestinationCity]]</f>
        <v>Detriot - Monon</v>
      </c>
      <c r="H59" s="17" t="s">
        <v>52</v>
      </c>
      <c r="I59" s="17" t="s">
        <v>21</v>
      </c>
      <c r="J59" s="17">
        <v>10</v>
      </c>
      <c r="K59" s="17" t="s">
        <v>53</v>
      </c>
      <c r="L59" s="17" t="s">
        <v>44</v>
      </c>
      <c r="M59" s="17" t="s">
        <v>38</v>
      </c>
      <c r="N59" s="17">
        <v>738</v>
      </c>
      <c r="O59" s="17">
        <v>626</v>
      </c>
      <c r="P59" s="26">
        <f>(data[[#This Row],[LoadedMiles]]/data[[#This Row],[TotalMiles]])*100</f>
        <v>84.823848238482384</v>
      </c>
      <c r="Q59" s="25">
        <f>data[[#This Row],[ShippingCost]]/data[[#This Row],[TotalMiles]]</f>
        <v>2.2520325203252032</v>
      </c>
      <c r="R59" s="17">
        <v>1662</v>
      </c>
      <c r="S59" s="25">
        <f>data[[#This Row],[Revenue]]/data[[#This Row],[TotalMiles]]</f>
        <v>2.9051490514905147</v>
      </c>
      <c r="T59" s="26">
        <f>data[[#This Row],[Revenue]]-data[[#This Row],[ShippingCost]]</f>
        <v>482</v>
      </c>
      <c r="U59" s="17">
        <v>2144</v>
      </c>
      <c r="V59" s="17">
        <v>50</v>
      </c>
      <c r="W59" s="17" t="s">
        <v>68</v>
      </c>
      <c r="X59" s="17">
        <v>10</v>
      </c>
      <c r="Y59" s="17">
        <f>data[[#This Row],[DeliveryDate]]-data[[#This Row],[ShipDate]]</f>
        <v>7</v>
      </c>
      <c r="Z59" s="17" t="str">
        <f>IF(data[[#This Row],[Actual Delivery Days]]&gt;AD60,"Yes","No")</f>
        <v>Yes</v>
      </c>
    </row>
    <row r="60" spans="1:26">
      <c r="A60" s="17">
        <v>10833</v>
      </c>
      <c r="B60" s="17">
        <v>2</v>
      </c>
      <c r="C60" s="17">
        <v>8</v>
      </c>
      <c r="D60" s="17" t="s">
        <v>546</v>
      </c>
      <c r="E60" s="17" t="s">
        <v>408</v>
      </c>
      <c r="F60" s="17" t="str">
        <f>TEXT(data[[#This Row],[ShipDate]],"yyyy - mmmm")</f>
        <v>2016 - August</v>
      </c>
      <c r="G60" s="17" t="str">
        <f>data[[#This Row],[OriginCity]] &amp; " - "  &amp; data[[#This Row],[DestinationCity]]</f>
        <v>Lansing - Dayton</v>
      </c>
      <c r="H60" s="17" t="s">
        <v>66</v>
      </c>
      <c r="I60" s="17" t="s">
        <v>21</v>
      </c>
      <c r="J60" s="17">
        <v>10</v>
      </c>
      <c r="K60" s="17" t="s">
        <v>93</v>
      </c>
      <c r="L60" s="17" t="s">
        <v>23</v>
      </c>
      <c r="M60" s="17" t="s">
        <v>216</v>
      </c>
      <c r="N60" s="17">
        <v>668</v>
      </c>
      <c r="O60" s="17">
        <v>507</v>
      </c>
      <c r="P60" s="26">
        <f>(data[[#This Row],[LoadedMiles]]/data[[#This Row],[TotalMiles]])*100</f>
        <v>75.898203592814369</v>
      </c>
      <c r="Q60" s="25">
        <f>data[[#This Row],[ShippingCost]]/data[[#This Row],[TotalMiles]]</f>
        <v>2.05688622754491</v>
      </c>
      <c r="R60" s="17">
        <v>1374</v>
      </c>
      <c r="S60" s="25">
        <f>data[[#This Row],[Revenue]]/data[[#This Row],[TotalMiles]]</f>
        <v>2.44311377245509</v>
      </c>
      <c r="T60" s="26">
        <f>data[[#This Row],[Revenue]]-data[[#This Row],[ShippingCost]]</f>
        <v>258</v>
      </c>
      <c r="U60" s="17">
        <v>1632</v>
      </c>
      <c r="V60" s="17">
        <v>65</v>
      </c>
      <c r="W60" s="17" t="s">
        <v>68</v>
      </c>
      <c r="X60" s="17">
        <v>4</v>
      </c>
      <c r="Y60" s="17">
        <f>data[[#This Row],[DeliveryDate]]-data[[#This Row],[ShipDate]]</f>
        <v>10</v>
      </c>
      <c r="Z60" s="17" t="str">
        <f>IF(data[[#This Row],[Actual Delivery Days]]&gt;AD61,"Yes","No")</f>
        <v>Yes</v>
      </c>
    </row>
    <row r="61" spans="1:26">
      <c r="A61" s="17">
        <v>10854</v>
      </c>
      <c r="B61" s="17">
        <v>1</v>
      </c>
      <c r="C61" s="17">
        <v>2</v>
      </c>
      <c r="D61" s="17" t="s">
        <v>569</v>
      </c>
      <c r="E61" s="17" t="s">
        <v>424</v>
      </c>
      <c r="F61" s="17" t="str">
        <f>TEXT(data[[#This Row],[ShipDate]],"yyyy - mmmm")</f>
        <v>2016 - January</v>
      </c>
      <c r="G61" s="17" t="str">
        <f>data[[#This Row],[OriginCity]] &amp; " - "  &amp; data[[#This Row],[DestinationCity]]</f>
        <v>Cincinnati - Gary</v>
      </c>
      <c r="H61" s="17" t="s">
        <v>89</v>
      </c>
      <c r="I61" s="17" t="s">
        <v>23</v>
      </c>
      <c r="J61" s="17">
        <v>10</v>
      </c>
      <c r="K61" s="17" t="s">
        <v>57</v>
      </c>
      <c r="L61" s="17" t="s">
        <v>44</v>
      </c>
      <c r="M61" s="17" t="s">
        <v>204</v>
      </c>
      <c r="N61" s="17">
        <v>581</v>
      </c>
      <c r="O61" s="17">
        <v>581</v>
      </c>
      <c r="P61" s="26">
        <f>(data[[#This Row],[LoadedMiles]]/data[[#This Row],[TotalMiles]])*100</f>
        <v>100</v>
      </c>
      <c r="Q61" s="25">
        <f>data[[#This Row],[ShippingCost]]/data[[#This Row],[TotalMiles]]</f>
        <v>2.2289156626506026</v>
      </c>
      <c r="R61" s="17">
        <v>1295</v>
      </c>
      <c r="S61" s="25">
        <f>data[[#This Row],[Revenue]]/data[[#This Row],[TotalMiles]]</f>
        <v>3.4526678141135974</v>
      </c>
      <c r="T61" s="26">
        <f>data[[#This Row],[Revenue]]-data[[#This Row],[ShippingCost]]</f>
        <v>711</v>
      </c>
      <c r="U61" s="17">
        <v>2006</v>
      </c>
      <c r="V61" s="17">
        <v>51</v>
      </c>
      <c r="W61" s="17" t="s">
        <v>68</v>
      </c>
      <c r="X61" s="17">
        <v>9</v>
      </c>
      <c r="Y61" s="17">
        <f>data[[#This Row],[DeliveryDate]]-data[[#This Row],[ShipDate]]</f>
        <v>10</v>
      </c>
      <c r="Z61" s="17" t="str">
        <f>IF(data[[#This Row],[Actual Delivery Days]]&gt;AD62,"Yes","No")</f>
        <v>Yes</v>
      </c>
    </row>
    <row r="62" spans="1:26">
      <c r="A62" s="17">
        <v>10856</v>
      </c>
      <c r="B62" s="17">
        <v>1</v>
      </c>
      <c r="C62" s="17">
        <v>6</v>
      </c>
      <c r="D62" s="17" t="s">
        <v>571</v>
      </c>
      <c r="E62" s="17" t="s">
        <v>530</v>
      </c>
      <c r="F62" s="17" t="str">
        <f>TEXT(data[[#This Row],[ShipDate]],"yyyy - mmmm")</f>
        <v>2016 - January</v>
      </c>
      <c r="G62" s="17" t="str">
        <f>data[[#This Row],[OriginCity]] &amp; " - "  &amp; data[[#This Row],[DestinationCity]]</f>
        <v>Toledo - Detriot</v>
      </c>
      <c r="H62" s="17" t="s">
        <v>22</v>
      </c>
      <c r="I62" s="17" t="s">
        <v>23</v>
      </c>
      <c r="J62" s="17">
        <v>10</v>
      </c>
      <c r="K62" s="17" t="s">
        <v>52</v>
      </c>
      <c r="L62" s="17" t="s">
        <v>21</v>
      </c>
      <c r="M62" s="17" t="s">
        <v>82</v>
      </c>
      <c r="N62" s="17">
        <v>342</v>
      </c>
      <c r="O62" s="17">
        <v>253</v>
      </c>
      <c r="P62" s="26">
        <f>(data[[#This Row],[LoadedMiles]]/data[[#This Row],[TotalMiles]])*100</f>
        <v>73.976608187134502</v>
      </c>
      <c r="Q62" s="25">
        <f>data[[#This Row],[ShippingCost]]/data[[#This Row],[TotalMiles]]</f>
        <v>18.134502923976608</v>
      </c>
      <c r="R62" s="17">
        <v>6202</v>
      </c>
      <c r="S62" s="25">
        <f>data[[#This Row],[Revenue]]/data[[#This Row],[TotalMiles]]</f>
        <v>20.309941520467838</v>
      </c>
      <c r="T62" s="26">
        <f>data[[#This Row],[Revenue]]-data[[#This Row],[ShippingCost]]</f>
        <v>744</v>
      </c>
      <c r="U62" s="17">
        <v>6946</v>
      </c>
      <c r="V62" s="17">
        <v>83</v>
      </c>
      <c r="W62" s="17" t="s">
        <v>68</v>
      </c>
      <c r="X62" s="17">
        <v>3</v>
      </c>
      <c r="Y62" s="17">
        <f>data[[#This Row],[DeliveryDate]]-data[[#This Row],[ShipDate]]</f>
        <v>77</v>
      </c>
      <c r="Z62" s="17" t="str">
        <f>IF(data[[#This Row],[Actual Delivery Days]]&gt;AD63,"Yes","No")</f>
        <v>Yes</v>
      </c>
    </row>
    <row r="63" spans="1:26">
      <c r="A63" s="17">
        <v>10861</v>
      </c>
      <c r="B63" s="17">
        <v>1</v>
      </c>
      <c r="C63" s="17">
        <v>5</v>
      </c>
      <c r="D63" s="17" t="s">
        <v>578</v>
      </c>
      <c r="E63" s="17" t="s">
        <v>122</v>
      </c>
      <c r="F63" s="17" t="str">
        <f>TEXT(data[[#This Row],[ShipDate]],"yyyy - mmmm")</f>
        <v>2016 - April</v>
      </c>
      <c r="G63" s="17" t="str">
        <f>data[[#This Row],[OriginCity]] &amp; " - "  &amp; data[[#This Row],[DestinationCity]]</f>
        <v>Davenport - Appleton</v>
      </c>
      <c r="H63" s="17" t="s">
        <v>105</v>
      </c>
      <c r="I63" s="17" t="s">
        <v>106</v>
      </c>
      <c r="J63" s="17">
        <v>10</v>
      </c>
      <c r="K63" s="17" t="s">
        <v>85</v>
      </c>
      <c r="L63" s="17" t="s">
        <v>29</v>
      </c>
      <c r="M63" s="17" t="s">
        <v>158</v>
      </c>
      <c r="N63" s="17">
        <v>1100</v>
      </c>
      <c r="O63" s="17">
        <v>351</v>
      </c>
      <c r="P63" s="26">
        <f>(data[[#This Row],[LoadedMiles]]/data[[#This Row],[TotalMiles]])*100</f>
        <v>31.90909090909091</v>
      </c>
      <c r="Q63" s="25">
        <f>data[[#This Row],[ShippingCost]]/data[[#This Row],[TotalMiles]]</f>
        <v>7.0136363636363637</v>
      </c>
      <c r="R63" s="17">
        <v>7715</v>
      </c>
      <c r="S63" s="25">
        <f>data[[#This Row],[Revenue]]/data[[#This Row],[TotalMiles]]</f>
        <v>7.1409090909090907</v>
      </c>
      <c r="T63" s="26">
        <f>data[[#This Row],[Revenue]]-data[[#This Row],[ShippingCost]]</f>
        <v>140</v>
      </c>
      <c r="U63" s="17">
        <v>7855</v>
      </c>
      <c r="V63" s="17">
        <v>61</v>
      </c>
      <c r="W63" s="17" t="s">
        <v>68</v>
      </c>
      <c r="X63" s="17">
        <v>3</v>
      </c>
      <c r="Y63" s="17">
        <f>data[[#This Row],[DeliveryDate]]-data[[#This Row],[ShipDate]]</f>
        <v>7</v>
      </c>
      <c r="Z63" s="17" t="str">
        <f>IF(data[[#This Row],[Actual Delivery Days]]&gt;AD64,"Yes","No")</f>
        <v>Yes</v>
      </c>
    </row>
    <row r="64" spans="1:26">
      <c r="A64" s="17">
        <v>10889</v>
      </c>
      <c r="B64" s="17">
        <v>2</v>
      </c>
      <c r="C64" s="17">
        <v>5</v>
      </c>
      <c r="D64" s="17" t="s">
        <v>46</v>
      </c>
      <c r="E64" s="17" t="s">
        <v>197</v>
      </c>
      <c r="F64" s="17" t="str">
        <f>TEXT(data[[#This Row],[ShipDate]],"yyyy - mmmm")</f>
        <v>2016 - May</v>
      </c>
      <c r="G64" s="17" t="str">
        <f>data[[#This Row],[OriginCity]] &amp; " - "  &amp; data[[#This Row],[DestinationCity]]</f>
        <v>Northbrook - Naperville</v>
      </c>
      <c r="H64" s="17" t="s">
        <v>45</v>
      </c>
      <c r="I64" s="17" t="s">
        <v>31</v>
      </c>
      <c r="J64" s="17">
        <v>10</v>
      </c>
      <c r="K64" s="17" t="s">
        <v>48</v>
      </c>
      <c r="L64" s="17" t="s">
        <v>31</v>
      </c>
      <c r="M64" s="17" t="s">
        <v>231</v>
      </c>
      <c r="N64" s="17">
        <v>1155</v>
      </c>
      <c r="O64" s="17">
        <v>612</v>
      </c>
      <c r="P64" s="26">
        <f>(data[[#This Row],[LoadedMiles]]/data[[#This Row],[TotalMiles]])*100</f>
        <v>52.987012987012982</v>
      </c>
      <c r="Q64" s="25">
        <f>data[[#This Row],[ShippingCost]]/data[[#This Row],[TotalMiles]]</f>
        <v>4.8969696969696965</v>
      </c>
      <c r="R64" s="17">
        <v>5656</v>
      </c>
      <c r="S64" s="25">
        <f>data[[#This Row],[Revenue]]/data[[#This Row],[TotalMiles]]</f>
        <v>5.3627705627705629</v>
      </c>
      <c r="T64" s="26">
        <f>data[[#This Row],[Revenue]]-data[[#This Row],[ShippingCost]]</f>
        <v>538</v>
      </c>
      <c r="U64" s="17">
        <v>6194</v>
      </c>
      <c r="V64" s="17">
        <v>100</v>
      </c>
      <c r="W64" s="17" t="s">
        <v>68</v>
      </c>
      <c r="X64" s="17">
        <v>1</v>
      </c>
      <c r="Y64" s="17">
        <f>data[[#This Row],[DeliveryDate]]-data[[#This Row],[ShipDate]]</f>
        <v>10</v>
      </c>
      <c r="Z64" s="17" t="str">
        <f>IF(data[[#This Row],[Actual Delivery Days]]&gt;AD65,"Yes","No")</f>
        <v>Yes</v>
      </c>
    </row>
    <row r="65" spans="1:26">
      <c r="A65" s="17">
        <v>10910</v>
      </c>
      <c r="B65" s="17">
        <v>1</v>
      </c>
      <c r="C65" s="17">
        <v>5</v>
      </c>
      <c r="D65" s="17" t="s">
        <v>123</v>
      </c>
      <c r="E65" s="17" t="s">
        <v>327</v>
      </c>
      <c r="F65" s="17" t="str">
        <f>TEXT(data[[#This Row],[ShipDate]],"yyyy - mmmm")</f>
        <v>2016 - January</v>
      </c>
      <c r="G65" s="17" t="str">
        <f>data[[#This Row],[OriginCity]] &amp; " - "  &amp; data[[#This Row],[DestinationCity]]</f>
        <v>Springfield - Skokie</v>
      </c>
      <c r="H65" s="17" t="s">
        <v>30</v>
      </c>
      <c r="I65" s="17" t="s">
        <v>31</v>
      </c>
      <c r="J65" s="17">
        <v>10</v>
      </c>
      <c r="K65" s="17" t="s">
        <v>35</v>
      </c>
      <c r="L65" s="17" t="s">
        <v>31</v>
      </c>
      <c r="M65" s="17" t="s">
        <v>95</v>
      </c>
      <c r="N65" s="17">
        <v>1086</v>
      </c>
      <c r="O65" s="17">
        <v>417</v>
      </c>
      <c r="P65" s="26">
        <f>(data[[#This Row],[LoadedMiles]]/data[[#This Row],[TotalMiles]])*100</f>
        <v>38.39779005524862</v>
      </c>
      <c r="Q65" s="25">
        <f>data[[#This Row],[ShippingCost]]/data[[#This Row],[TotalMiles]]</f>
        <v>3.492633517495396</v>
      </c>
      <c r="R65" s="17">
        <v>3793</v>
      </c>
      <c r="S65" s="25">
        <f>data[[#This Row],[Revenue]]/data[[#This Row],[TotalMiles]]</f>
        <v>3.625230202578269</v>
      </c>
      <c r="T65" s="26">
        <f>data[[#This Row],[Revenue]]-data[[#This Row],[ShippingCost]]</f>
        <v>144</v>
      </c>
      <c r="U65" s="17">
        <v>3937</v>
      </c>
      <c r="V65" s="17">
        <v>62</v>
      </c>
      <c r="W65" s="17" t="s">
        <v>68</v>
      </c>
      <c r="X65" s="17">
        <v>10</v>
      </c>
      <c r="Y65" s="17">
        <f>data[[#This Row],[DeliveryDate]]-data[[#This Row],[ShipDate]]</f>
        <v>10</v>
      </c>
      <c r="Z65" s="17" t="str">
        <f>IF(data[[#This Row],[Actual Delivery Days]]&gt;AD66,"Yes","No")</f>
        <v>Yes</v>
      </c>
    </row>
    <row r="66" spans="1:26">
      <c r="A66" s="17">
        <v>10913</v>
      </c>
      <c r="B66" s="17">
        <v>3</v>
      </c>
      <c r="C66" s="17">
        <v>1</v>
      </c>
      <c r="D66" s="17" t="s">
        <v>131</v>
      </c>
      <c r="E66" s="17" t="s">
        <v>76</v>
      </c>
      <c r="F66" s="17" t="str">
        <f>TEXT(data[[#This Row],[ShipDate]],"yyyy - mmmm")</f>
        <v>2016 - March</v>
      </c>
      <c r="G66" s="17" t="str">
        <f>data[[#This Row],[OriginCity]] &amp; " - "  &amp; data[[#This Row],[DestinationCity]]</f>
        <v>Northbrook - Naperville</v>
      </c>
      <c r="H66" s="17" t="s">
        <v>45</v>
      </c>
      <c r="I66" s="17" t="s">
        <v>31</v>
      </c>
      <c r="J66" s="17">
        <v>10</v>
      </c>
      <c r="K66" s="17" t="s">
        <v>48</v>
      </c>
      <c r="L66" s="17" t="s">
        <v>31</v>
      </c>
      <c r="M66" s="17" t="s">
        <v>82</v>
      </c>
      <c r="N66" s="17">
        <v>1109</v>
      </c>
      <c r="O66" s="17">
        <v>505</v>
      </c>
      <c r="P66" s="26">
        <f>(data[[#This Row],[LoadedMiles]]/data[[#This Row],[TotalMiles]])*100</f>
        <v>45.536519386834982</v>
      </c>
      <c r="Q66" s="25">
        <f>data[[#This Row],[ShippingCost]]/data[[#This Row],[TotalMiles]]</f>
        <v>4.6871055004508566</v>
      </c>
      <c r="R66" s="17">
        <v>5198</v>
      </c>
      <c r="S66" s="25">
        <f>data[[#This Row],[Revenue]]/data[[#This Row],[TotalMiles]]</f>
        <v>9.1568981064021635</v>
      </c>
      <c r="T66" s="26">
        <f>data[[#This Row],[Revenue]]-data[[#This Row],[ShippingCost]]</f>
        <v>4957</v>
      </c>
      <c r="U66" s="17">
        <v>10155</v>
      </c>
      <c r="V66" s="17">
        <v>90</v>
      </c>
      <c r="W66" s="17" t="s">
        <v>68</v>
      </c>
      <c r="X66" s="17">
        <v>1</v>
      </c>
      <c r="Y66" s="17">
        <f>data[[#This Row],[DeliveryDate]]-data[[#This Row],[ShipDate]]</f>
        <v>13</v>
      </c>
      <c r="Z66" s="17" t="str">
        <f>IF(data[[#This Row],[Actual Delivery Days]]&gt;AD67,"Yes","No")</f>
        <v>Yes</v>
      </c>
    </row>
    <row r="67" spans="1:26">
      <c r="A67" s="17">
        <v>10936</v>
      </c>
      <c r="B67" s="17">
        <v>2</v>
      </c>
      <c r="C67" s="17">
        <v>4</v>
      </c>
      <c r="D67" s="17" t="s">
        <v>195</v>
      </c>
      <c r="E67" s="17" t="s">
        <v>246</v>
      </c>
      <c r="F67" s="17" t="str">
        <f>TEXT(data[[#This Row],[ShipDate]],"yyyy - mmmm")</f>
        <v>2016 - January</v>
      </c>
      <c r="G67" s="17" t="str">
        <f>data[[#This Row],[OriginCity]] &amp; " - "  &amp; data[[#This Row],[DestinationCity]]</f>
        <v>Gary - Milwaukee</v>
      </c>
      <c r="H67" s="17" t="s">
        <v>57</v>
      </c>
      <c r="I67" s="17" t="s">
        <v>44</v>
      </c>
      <c r="J67" s="17">
        <v>10</v>
      </c>
      <c r="K67" s="17" t="s">
        <v>28</v>
      </c>
      <c r="L67" s="17" t="s">
        <v>29</v>
      </c>
      <c r="M67" s="17" t="s">
        <v>166</v>
      </c>
      <c r="N67" s="17">
        <v>1037</v>
      </c>
      <c r="O67" s="17">
        <v>352</v>
      </c>
      <c r="P67" s="26">
        <f>(data[[#This Row],[LoadedMiles]]/data[[#This Row],[TotalMiles]])*100</f>
        <v>33.944069431051112</v>
      </c>
      <c r="Q67" s="25">
        <f>data[[#This Row],[ShippingCost]]/data[[#This Row],[TotalMiles]]</f>
        <v>2.3683702989392477</v>
      </c>
      <c r="R67" s="17">
        <v>2456</v>
      </c>
      <c r="S67" s="25">
        <f>data[[#This Row],[Revenue]]/data[[#This Row],[TotalMiles]]</f>
        <v>0.58244937319189971</v>
      </c>
      <c r="T67" s="26">
        <f>data[[#This Row],[Revenue]]-data[[#This Row],[ShippingCost]]</f>
        <v>-1852</v>
      </c>
      <c r="U67" s="17">
        <v>604</v>
      </c>
      <c r="V67" s="17">
        <v>55</v>
      </c>
      <c r="W67" s="17" t="s">
        <v>68</v>
      </c>
      <c r="X67" s="17">
        <v>9</v>
      </c>
      <c r="Y67" s="17">
        <f>data[[#This Row],[DeliveryDate]]-data[[#This Row],[ShipDate]]</f>
        <v>7</v>
      </c>
      <c r="Z67" s="17" t="str">
        <f>IF(data[[#This Row],[Actual Delivery Days]]&gt;AD68,"Yes","No")</f>
        <v>Yes</v>
      </c>
    </row>
    <row r="68" spans="1:26">
      <c r="A68" s="17">
        <v>10962</v>
      </c>
      <c r="B68" s="17">
        <v>2</v>
      </c>
      <c r="C68" s="17">
        <v>3</v>
      </c>
      <c r="D68" s="17" t="s">
        <v>265</v>
      </c>
      <c r="E68" s="17" t="s">
        <v>404</v>
      </c>
      <c r="F68" s="17" t="str">
        <f>TEXT(data[[#This Row],[ShipDate]],"yyyy - mmmm")</f>
        <v>2016 - July</v>
      </c>
      <c r="G68" s="17" t="str">
        <f>data[[#This Row],[OriginCity]] &amp; " - "  &amp; data[[#This Row],[DestinationCity]]</f>
        <v>Cincinnati - Gary</v>
      </c>
      <c r="H68" s="17" t="s">
        <v>89</v>
      </c>
      <c r="I68" s="17" t="s">
        <v>23</v>
      </c>
      <c r="J68" s="17">
        <v>10</v>
      </c>
      <c r="K68" s="17" t="s">
        <v>57</v>
      </c>
      <c r="L68" s="17" t="s">
        <v>44</v>
      </c>
      <c r="M68" s="17" t="s">
        <v>470</v>
      </c>
      <c r="N68" s="17">
        <v>923</v>
      </c>
      <c r="O68" s="17">
        <v>798</v>
      </c>
      <c r="P68" s="26">
        <f>(data[[#This Row],[LoadedMiles]]/data[[#This Row],[TotalMiles]])*100</f>
        <v>86.457204767063928</v>
      </c>
      <c r="Q68" s="25">
        <f>data[[#This Row],[ShippingCost]]/data[[#This Row],[TotalMiles]]</f>
        <v>2.619718309859155</v>
      </c>
      <c r="R68" s="17">
        <v>2418</v>
      </c>
      <c r="S68" s="25">
        <f>data[[#This Row],[Revenue]]/data[[#This Row],[TotalMiles]]</f>
        <v>3.2145178764897073</v>
      </c>
      <c r="T68" s="26">
        <f>data[[#This Row],[Revenue]]-data[[#This Row],[ShippingCost]]</f>
        <v>549</v>
      </c>
      <c r="U68" s="17">
        <v>2967</v>
      </c>
      <c r="V68" s="17">
        <v>95</v>
      </c>
      <c r="W68" s="17" t="s">
        <v>68</v>
      </c>
      <c r="X68" s="17">
        <v>6</v>
      </c>
      <c r="Y68" s="17">
        <f>data[[#This Row],[DeliveryDate]]-data[[#This Row],[ShipDate]]</f>
        <v>10</v>
      </c>
      <c r="Z68" s="17" t="str">
        <f>IF(data[[#This Row],[Actual Delivery Days]]&gt;AD69,"Yes","No")</f>
        <v>Yes</v>
      </c>
    </row>
    <row r="69" spans="1:26">
      <c r="A69" s="17">
        <v>10968</v>
      </c>
      <c r="B69" s="17">
        <v>3</v>
      </c>
      <c r="C69" s="17">
        <v>5</v>
      </c>
      <c r="D69" s="17" t="s">
        <v>276</v>
      </c>
      <c r="E69" s="17" t="s">
        <v>444</v>
      </c>
      <c r="F69" s="17" t="str">
        <f>TEXT(data[[#This Row],[ShipDate]],"yyyy - mmmm")</f>
        <v>2016 - June</v>
      </c>
      <c r="G69" s="17" t="str">
        <f>data[[#This Row],[OriginCity]] &amp; " - "  &amp; data[[#This Row],[DestinationCity]]</f>
        <v>Kalamazoo - Bangor</v>
      </c>
      <c r="H69" s="17" t="s">
        <v>71</v>
      </c>
      <c r="I69" s="17" t="s">
        <v>21</v>
      </c>
      <c r="J69" s="17">
        <v>10</v>
      </c>
      <c r="K69" s="17" t="s">
        <v>104</v>
      </c>
      <c r="L69" s="17" t="s">
        <v>21</v>
      </c>
      <c r="M69" s="17" t="s">
        <v>610</v>
      </c>
      <c r="N69" s="17">
        <v>316</v>
      </c>
      <c r="O69" s="17">
        <v>236</v>
      </c>
      <c r="P69" s="26">
        <f>(data[[#This Row],[LoadedMiles]]/data[[#This Row],[TotalMiles]])*100</f>
        <v>74.683544303797461</v>
      </c>
      <c r="Q69" s="25">
        <f>data[[#This Row],[ShippingCost]]/data[[#This Row],[TotalMiles]]</f>
        <v>14.778481012658228</v>
      </c>
      <c r="R69" s="17">
        <v>4670</v>
      </c>
      <c r="S69" s="25">
        <f>data[[#This Row],[Revenue]]/data[[#This Row],[TotalMiles]]</f>
        <v>15.579113924050633</v>
      </c>
      <c r="T69" s="26">
        <f>data[[#This Row],[Revenue]]-data[[#This Row],[ShippingCost]]</f>
        <v>253</v>
      </c>
      <c r="U69" s="17">
        <v>4923</v>
      </c>
      <c r="V69" s="17">
        <v>59</v>
      </c>
      <c r="W69" s="17" t="s">
        <v>68</v>
      </c>
      <c r="X69" s="17">
        <v>4</v>
      </c>
      <c r="Y69" s="17">
        <f>data[[#This Row],[DeliveryDate]]-data[[#This Row],[ShipDate]]</f>
        <v>8</v>
      </c>
      <c r="Z69" s="17" t="str">
        <f>IF(data[[#This Row],[Actual Delivery Days]]&gt;AD70,"Yes","No")</f>
        <v>Yes</v>
      </c>
    </row>
    <row r="70" spans="1:26">
      <c r="A70" s="17">
        <v>10981</v>
      </c>
      <c r="B70" s="17">
        <v>2</v>
      </c>
      <c r="C70" s="17">
        <v>5</v>
      </c>
      <c r="D70" s="17" t="s">
        <v>305</v>
      </c>
      <c r="E70" s="17" t="s">
        <v>319</v>
      </c>
      <c r="F70" s="17" t="str">
        <f>TEXT(data[[#This Row],[ShipDate]],"yyyy - mmmm")</f>
        <v>2016 - June</v>
      </c>
      <c r="G70" s="17" t="str">
        <f>data[[#This Row],[OriginCity]] &amp; " - "  &amp; data[[#This Row],[DestinationCity]]</f>
        <v>Naperville - Indianapolis</v>
      </c>
      <c r="H70" s="17" t="s">
        <v>48</v>
      </c>
      <c r="I70" s="17" t="s">
        <v>31</v>
      </c>
      <c r="J70" s="17">
        <v>10</v>
      </c>
      <c r="K70" s="17" t="s">
        <v>43</v>
      </c>
      <c r="L70" s="17" t="s">
        <v>44</v>
      </c>
      <c r="M70" s="17" t="s">
        <v>24</v>
      </c>
      <c r="N70" s="17">
        <v>782</v>
      </c>
      <c r="O70" s="17">
        <v>304</v>
      </c>
      <c r="P70" s="26">
        <f>(data[[#This Row],[LoadedMiles]]/data[[#This Row],[TotalMiles]])*100</f>
        <v>38.874680306905368</v>
      </c>
      <c r="Q70" s="25">
        <f>data[[#This Row],[ShippingCost]]/data[[#This Row],[TotalMiles]]</f>
        <v>1.6892583120204603</v>
      </c>
      <c r="R70" s="17">
        <v>1321</v>
      </c>
      <c r="S70" s="25">
        <f>data[[#This Row],[Revenue]]/data[[#This Row],[TotalMiles]]</f>
        <v>2.448849104859335</v>
      </c>
      <c r="T70" s="26">
        <f>data[[#This Row],[Revenue]]-data[[#This Row],[ShippingCost]]</f>
        <v>594</v>
      </c>
      <c r="U70" s="17">
        <v>1915</v>
      </c>
      <c r="V70" s="17">
        <v>60</v>
      </c>
      <c r="W70" s="17" t="s">
        <v>68</v>
      </c>
      <c r="X70" s="17">
        <v>4</v>
      </c>
      <c r="Y70" s="17">
        <f>data[[#This Row],[DeliveryDate]]-data[[#This Row],[ShipDate]]</f>
        <v>10</v>
      </c>
      <c r="Z70" s="17" t="str">
        <f>IF(data[[#This Row],[Actual Delivery Days]]&gt;AD71,"Yes","No")</f>
        <v>Yes</v>
      </c>
    </row>
    <row r="71" spans="1:26">
      <c r="A71" s="17">
        <v>10982</v>
      </c>
      <c r="B71" s="17">
        <v>3</v>
      </c>
      <c r="C71" s="17">
        <v>6</v>
      </c>
      <c r="D71" s="17" t="s">
        <v>306</v>
      </c>
      <c r="E71" s="17" t="s">
        <v>327</v>
      </c>
      <c r="F71" s="17" t="str">
        <f>TEXT(data[[#This Row],[ShipDate]],"yyyy - mmmm")</f>
        <v>2016 - January</v>
      </c>
      <c r="G71" s="17" t="str">
        <f>data[[#This Row],[OriginCity]] &amp; " - "  &amp; data[[#This Row],[DestinationCity]]</f>
        <v>Rockford - Green Bay</v>
      </c>
      <c r="H71" s="17" t="s">
        <v>40</v>
      </c>
      <c r="I71" s="17" t="s">
        <v>31</v>
      </c>
      <c r="J71" s="17">
        <v>10</v>
      </c>
      <c r="K71" s="17" t="s">
        <v>75</v>
      </c>
      <c r="L71" s="17" t="s">
        <v>29</v>
      </c>
      <c r="M71" s="17" t="s">
        <v>82</v>
      </c>
      <c r="N71" s="17">
        <v>486</v>
      </c>
      <c r="O71" s="17">
        <v>441</v>
      </c>
      <c r="P71" s="26">
        <f>(data[[#This Row],[LoadedMiles]]/data[[#This Row],[TotalMiles]])*100</f>
        <v>90.740740740740748</v>
      </c>
      <c r="Q71" s="25">
        <f>data[[#This Row],[ShippingCost]]/data[[#This Row],[TotalMiles]]</f>
        <v>6.9650205761316872</v>
      </c>
      <c r="R71" s="17">
        <v>3385</v>
      </c>
      <c r="S71" s="25">
        <f>data[[#This Row],[Revenue]]/data[[#This Row],[TotalMiles]]</f>
        <v>7.8724279835390947</v>
      </c>
      <c r="T71" s="26">
        <f>data[[#This Row],[Revenue]]-data[[#This Row],[ShippingCost]]</f>
        <v>441</v>
      </c>
      <c r="U71" s="17">
        <v>3826</v>
      </c>
      <c r="V71" s="17">
        <v>75</v>
      </c>
      <c r="W71" s="17" t="s">
        <v>68</v>
      </c>
      <c r="X71" s="17">
        <v>9</v>
      </c>
      <c r="Y71" s="17">
        <f>data[[#This Row],[DeliveryDate]]-data[[#This Row],[ShipDate]]</f>
        <v>55</v>
      </c>
      <c r="Z71" s="17" t="str">
        <f>IF(data[[#This Row],[Actual Delivery Days]]&gt;AD72,"Yes","No")</f>
        <v>Yes</v>
      </c>
    </row>
    <row r="72" spans="1:26">
      <c r="A72" s="17">
        <v>10997</v>
      </c>
      <c r="B72" s="17">
        <v>2</v>
      </c>
      <c r="C72" s="17">
        <v>2</v>
      </c>
      <c r="D72" s="17" t="s">
        <v>335</v>
      </c>
      <c r="E72" s="17" t="s">
        <v>282</v>
      </c>
      <c r="F72" s="17" t="str">
        <f>TEXT(data[[#This Row],[ShipDate]],"yyyy - mmmm")</f>
        <v>2016 - June</v>
      </c>
      <c r="G72" s="17" t="str">
        <f>data[[#This Row],[OriginCity]] &amp; " - "  &amp; data[[#This Row],[DestinationCity]]</f>
        <v>Gary - Milwaukee</v>
      </c>
      <c r="H72" s="17" t="s">
        <v>57</v>
      </c>
      <c r="I72" s="17" t="s">
        <v>44</v>
      </c>
      <c r="J72" s="17">
        <v>10</v>
      </c>
      <c r="K72" s="17" t="s">
        <v>28</v>
      </c>
      <c r="L72" s="17" t="s">
        <v>29</v>
      </c>
      <c r="M72" s="17" t="s">
        <v>78</v>
      </c>
      <c r="N72" s="17">
        <v>1055</v>
      </c>
      <c r="O72" s="17">
        <v>252</v>
      </c>
      <c r="P72" s="26">
        <f>(data[[#This Row],[LoadedMiles]]/data[[#This Row],[TotalMiles]])*100</f>
        <v>23.886255924170616</v>
      </c>
      <c r="Q72" s="25">
        <f>data[[#This Row],[ShippingCost]]/data[[#This Row],[TotalMiles]]</f>
        <v>3.4862559241706159</v>
      </c>
      <c r="R72" s="17">
        <v>3678</v>
      </c>
      <c r="S72" s="25">
        <f>data[[#This Row],[Revenue]]/data[[#This Row],[TotalMiles]]</f>
        <v>4.1109004739336497</v>
      </c>
      <c r="T72" s="26">
        <f>data[[#This Row],[Revenue]]-data[[#This Row],[ShippingCost]]</f>
        <v>659</v>
      </c>
      <c r="U72" s="17">
        <v>4337</v>
      </c>
      <c r="V72" s="17">
        <v>90</v>
      </c>
      <c r="W72" s="17" t="s">
        <v>68</v>
      </c>
      <c r="X72" s="17">
        <v>5</v>
      </c>
      <c r="Y72" s="17">
        <f>data[[#This Row],[DeliveryDate]]-data[[#This Row],[ShipDate]]</f>
        <v>10</v>
      </c>
      <c r="Z72" s="17" t="str">
        <f>IF(data[[#This Row],[Actual Delivery Days]]&gt;AD73,"Yes","No")</f>
        <v>Yes</v>
      </c>
    </row>
    <row r="73" spans="1:26">
      <c r="A73" s="17">
        <v>10999</v>
      </c>
      <c r="B73" s="17">
        <v>3</v>
      </c>
      <c r="C73" s="17">
        <v>3</v>
      </c>
      <c r="D73" s="17" t="s">
        <v>338</v>
      </c>
      <c r="E73" s="17" t="s">
        <v>186</v>
      </c>
      <c r="F73" s="17" t="str">
        <f>TEXT(data[[#This Row],[ShipDate]],"yyyy - mmmm")</f>
        <v>2016 - April</v>
      </c>
      <c r="G73" s="17" t="str">
        <f>data[[#This Row],[OriginCity]] &amp; " - "  &amp; data[[#This Row],[DestinationCity]]</f>
        <v>Monon - Lansing</v>
      </c>
      <c r="H73" s="17" t="s">
        <v>53</v>
      </c>
      <c r="I73" s="17" t="s">
        <v>44</v>
      </c>
      <c r="J73" s="17">
        <v>10</v>
      </c>
      <c r="K73" s="17" t="s">
        <v>66</v>
      </c>
      <c r="L73" s="17" t="s">
        <v>21</v>
      </c>
      <c r="M73" s="17" t="s">
        <v>82</v>
      </c>
      <c r="N73" s="17">
        <v>386</v>
      </c>
      <c r="O73" s="17">
        <v>386</v>
      </c>
      <c r="P73" s="26">
        <f>(data[[#This Row],[LoadedMiles]]/data[[#This Row],[TotalMiles]])*100</f>
        <v>100</v>
      </c>
      <c r="Q73" s="25">
        <f>data[[#This Row],[ShippingCost]]/data[[#This Row],[TotalMiles]]</f>
        <v>20.507772020725387</v>
      </c>
      <c r="R73" s="17">
        <v>7916</v>
      </c>
      <c r="S73" s="25">
        <f>data[[#This Row],[Revenue]]/data[[#This Row],[TotalMiles]]</f>
        <v>21.461139896373059</v>
      </c>
      <c r="T73" s="26">
        <f>data[[#This Row],[Revenue]]-data[[#This Row],[ShippingCost]]</f>
        <v>368</v>
      </c>
      <c r="U73" s="17">
        <v>8284</v>
      </c>
      <c r="V73" s="17">
        <v>50</v>
      </c>
      <c r="W73" s="17" t="s">
        <v>68</v>
      </c>
      <c r="X73" s="17">
        <v>6</v>
      </c>
      <c r="Y73" s="17">
        <f>data[[#This Row],[DeliveryDate]]-data[[#This Row],[ShipDate]]</f>
        <v>-12</v>
      </c>
      <c r="Z73" s="17" t="str">
        <f>IF(data[[#This Row],[Actual Delivery Days]]&gt;AD74,"Yes","No")</f>
        <v>No</v>
      </c>
    </row>
    <row r="74" spans="1:26">
      <c r="A74" s="17">
        <v>11023</v>
      </c>
      <c r="B74" s="17">
        <v>3</v>
      </c>
      <c r="C74" s="17">
        <v>2</v>
      </c>
      <c r="D74" s="17" t="s">
        <v>378</v>
      </c>
      <c r="E74" s="17" t="s">
        <v>150</v>
      </c>
      <c r="F74" s="17" t="str">
        <f>TEXT(data[[#This Row],[ShipDate]],"yyyy - mmmm")</f>
        <v>2016 - July</v>
      </c>
      <c r="G74" s="17" t="str">
        <f>data[[#This Row],[OriginCity]] &amp; " - "  &amp; data[[#This Row],[DestinationCity]]</f>
        <v>Madison - Kalamazoo</v>
      </c>
      <c r="H74" s="17" t="s">
        <v>62</v>
      </c>
      <c r="I74" s="17" t="s">
        <v>29</v>
      </c>
      <c r="J74" s="17">
        <v>10</v>
      </c>
      <c r="K74" s="17" t="s">
        <v>71</v>
      </c>
      <c r="L74" s="17" t="s">
        <v>21</v>
      </c>
      <c r="M74" s="17" t="s">
        <v>415</v>
      </c>
      <c r="N74" s="17">
        <v>1030</v>
      </c>
      <c r="O74" s="17">
        <v>232</v>
      </c>
      <c r="P74" s="26">
        <f>(data[[#This Row],[LoadedMiles]]/data[[#This Row],[TotalMiles]])*100</f>
        <v>22.524271844660191</v>
      </c>
      <c r="Q74" s="25">
        <f>data[[#This Row],[ShippingCost]]/data[[#This Row],[TotalMiles]]</f>
        <v>3.3436893203883495</v>
      </c>
      <c r="R74" s="17">
        <v>3444</v>
      </c>
      <c r="S74" s="25">
        <f>data[[#This Row],[Revenue]]/data[[#This Row],[TotalMiles]]</f>
        <v>4.2524271844660193</v>
      </c>
      <c r="T74" s="26">
        <f>data[[#This Row],[Revenue]]-data[[#This Row],[ShippingCost]]</f>
        <v>936</v>
      </c>
      <c r="U74" s="17">
        <v>4380</v>
      </c>
      <c r="V74" s="17">
        <v>56</v>
      </c>
      <c r="W74" s="17" t="s">
        <v>68</v>
      </c>
      <c r="X74" s="17">
        <v>4</v>
      </c>
      <c r="Y74" s="17">
        <f>data[[#This Row],[DeliveryDate]]-data[[#This Row],[ShipDate]]</f>
        <v>9</v>
      </c>
      <c r="Z74" s="17" t="str">
        <f>IF(data[[#This Row],[Actual Delivery Days]]&gt;AD75,"Yes","No")</f>
        <v>Yes</v>
      </c>
    </row>
    <row r="75" spans="1:26">
      <c r="A75" s="17">
        <v>11051</v>
      </c>
      <c r="B75" s="17">
        <v>2</v>
      </c>
      <c r="C75" s="17">
        <v>3</v>
      </c>
      <c r="D75" s="17" t="s">
        <v>431</v>
      </c>
      <c r="E75" s="17" t="s">
        <v>92</v>
      </c>
      <c r="F75" s="17" t="str">
        <f>TEXT(data[[#This Row],[ShipDate]],"yyyy - mmmm")</f>
        <v>2016 - February</v>
      </c>
      <c r="G75" s="17" t="str">
        <f>data[[#This Row],[OriginCity]] &amp; " - "  &amp; data[[#This Row],[DestinationCity]]</f>
        <v>Bangor - Davenport</v>
      </c>
      <c r="H75" s="17" t="s">
        <v>104</v>
      </c>
      <c r="I75" s="17" t="s">
        <v>21</v>
      </c>
      <c r="J75" s="17">
        <v>10</v>
      </c>
      <c r="K75" s="17" t="s">
        <v>105</v>
      </c>
      <c r="L75" s="17" t="s">
        <v>106</v>
      </c>
      <c r="M75" s="17" t="s">
        <v>268</v>
      </c>
      <c r="N75" s="17">
        <v>1189</v>
      </c>
      <c r="O75" s="17">
        <v>708</v>
      </c>
      <c r="P75" s="26">
        <f>(data[[#This Row],[LoadedMiles]]/data[[#This Row],[TotalMiles]])*100</f>
        <v>59.545836837678721</v>
      </c>
      <c r="Q75" s="25">
        <f>data[[#This Row],[ShippingCost]]/data[[#This Row],[TotalMiles]]</f>
        <v>5.0815811606391925</v>
      </c>
      <c r="R75" s="17">
        <v>6042</v>
      </c>
      <c r="S75" s="25">
        <f>data[[#This Row],[Revenue]]/data[[#This Row],[TotalMiles]]</f>
        <v>5.8629100084104291</v>
      </c>
      <c r="T75" s="26">
        <f>data[[#This Row],[Revenue]]-data[[#This Row],[ShippingCost]]</f>
        <v>929</v>
      </c>
      <c r="U75" s="17">
        <v>6971</v>
      </c>
      <c r="V75" s="17">
        <v>59</v>
      </c>
      <c r="W75" s="17" t="s">
        <v>68</v>
      </c>
      <c r="X75" s="17">
        <v>9</v>
      </c>
      <c r="Y75" s="17">
        <f>data[[#This Row],[DeliveryDate]]-data[[#This Row],[ShipDate]]</f>
        <v>10</v>
      </c>
      <c r="Z75" s="17" t="str">
        <f>IF(data[[#This Row],[Actual Delivery Days]]&gt;AD76,"Yes","No")</f>
        <v>Yes</v>
      </c>
    </row>
    <row r="76" spans="1:26">
      <c r="A76" s="17">
        <v>11052</v>
      </c>
      <c r="B76" s="17">
        <v>2</v>
      </c>
      <c r="C76" s="17">
        <v>4</v>
      </c>
      <c r="D76" s="17" t="s">
        <v>432</v>
      </c>
      <c r="E76" s="17" t="s">
        <v>259</v>
      </c>
      <c r="F76" s="17" t="str">
        <f>TEXT(data[[#This Row],[ShipDate]],"yyyy - mmmm")</f>
        <v>2016 - February</v>
      </c>
      <c r="G76" s="17" t="str">
        <f>data[[#This Row],[OriginCity]] &amp; " - "  &amp; data[[#This Row],[DestinationCity]]</f>
        <v>Elgin - Cincinnati</v>
      </c>
      <c r="H76" s="17" t="s">
        <v>94</v>
      </c>
      <c r="I76" s="17" t="s">
        <v>31</v>
      </c>
      <c r="J76" s="17">
        <v>10</v>
      </c>
      <c r="K76" s="17" t="s">
        <v>89</v>
      </c>
      <c r="L76" s="17" t="s">
        <v>23</v>
      </c>
      <c r="M76" s="17" t="s">
        <v>291</v>
      </c>
      <c r="N76" s="17">
        <v>769</v>
      </c>
      <c r="O76" s="17">
        <v>629</v>
      </c>
      <c r="P76" s="26">
        <f>(data[[#This Row],[LoadedMiles]]/data[[#This Row],[TotalMiles]])*100</f>
        <v>81.794538361508444</v>
      </c>
      <c r="Q76" s="25">
        <f>data[[#This Row],[ShippingCost]]/data[[#This Row],[TotalMiles]]</f>
        <v>6.0858257477243169</v>
      </c>
      <c r="R76" s="17">
        <v>4680</v>
      </c>
      <c r="S76" s="25">
        <f>data[[#This Row],[Revenue]]/data[[#This Row],[TotalMiles]]</f>
        <v>3.7724317295188556</v>
      </c>
      <c r="T76" s="26">
        <f>data[[#This Row],[Revenue]]-data[[#This Row],[ShippingCost]]</f>
        <v>-1779</v>
      </c>
      <c r="U76" s="17">
        <v>2901</v>
      </c>
      <c r="V76" s="17">
        <v>67</v>
      </c>
      <c r="W76" s="17" t="s">
        <v>68</v>
      </c>
      <c r="X76" s="17">
        <v>9</v>
      </c>
      <c r="Y76" s="17">
        <f>data[[#This Row],[DeliveryDate]]-data[[#This Row],[ShipDate]]</f>
        <v>10</v>
      </c>
      <c r="Z76" s="17" t="str">
        <f>IF(data[[#This Row],[Actual Delivery Days]]&gt;AD77,"Yes","No")</f>
        <v>Yes</v>
      </c>
    </row>
    <row r="77" spans="1:26">
      <c r="A77" s="17">
        <v>11053</v>
      </c>
      <c r="B77" s="17">
        <v>3</v>
      </c>
      <c r="C77" s="17">
        <v>5</v>
      </c>
      <c r="D77" s="17" t="s">
        <v>433</v>
      </c>
      <c r="E77" s="17" t="s">
        <v>246</v>
      </c>
      <c r="F77" s="17" t="str">
        <f>TEXT(data[[#This Row],[ShipDate]],"yyyy - mmmm")</f>
        <v>2016 - January</v>
      </c>
      <c r="G77" s="17" t="str">
        <f>data[[#This Row],[OriginCity]] &amp; " - "  &amp; data[[#This Row],[DestinationCity]]</f>
        <v>Skokie - Chicago</v>
      </c>
      <c r="H77" s="17" t="s">
        <v>35</v>
      </c>
      <c r="I77" s="17" t="s">
        <v>31</v>
      </c>
      <c r="J77" s="17">
        <v>10</v>
      </c>
      <c r="K77" s="17" t="s">
        <v>39</v>
      </c>
      <c r="L77" s="17" t="s">
        <v>31</v>
      </c>
      <c r="M77" s="17" t="s">
        <v>82</v>
      </c>
      <c r="N77" s="17">
        <v>975</v>
      </c>
      <c r="O77" s="17">
        <v>414</v>
      </c>
      <c r="P77" s="26">
        <f>(data[[#This Row],[LoadedMiles]]/data[[#This Row],[TotalMiles]])*100</f>
        <v>42.46153846153846</v>
      </c>
      <c r="Q77" s="25">
        <f>data[[#This Row],[ShippingCost]]/data[[#This Row],[TotalMiles]]</f>
        <v>6.3764102564102565</v>
      </c>
      <c r="R77" s="17">
        <v>6217</v>
      </c>
      <c r="S77" s="25">
        <f>data[[#This Row],[Revenue]]/data[[#This Row],[TotalMiles]]</f>
        <v>6.9210256410256408</v>
      </c>
      <c r="T77" s="26">
        <f>data[[#This Row],[Revenue]]-data[[#This Row],[ShippingCost]]</f>
        <v>531</v>
      </c>
      <c r="U77" s="17">
        <v>6748</v>
      </c>
      <c r="V77" s="17">
        <v>94</v>
      </c>
      <c r="W77" s="17" t="s">
        <v>68</v>
      </c>
      <c r="X77" s="17">
        <v>1</v>
      </c>
      <c r="Y77" s="17">
        <f>data[[#This Row],[DeliveryDate]]-data[[#This Row],[ShipDate]]</f>
        <v>59</v>
      </c>
      <c r="Z77" s="17" t="str">
        <f>IF(data[[#This Row],[Actual Delivery Days]]&gt;AD78,"Yes","No")</f>
        <v>Yes</v>
      </c>
    </row>
    <row r="78" spans="1:26">
      <c r="A78" s="17">
        <v>11069</v>
      </c>
      <c r="B78" s="17">
        <v>3</v>
      </c>
      <c r="C78" s="17">
        <v>6</v>
      </c>
      <c r="D78" s="17" t="s">
        <v>459</v>
      </c>
      <c r="E78" s="17" t="s">
        <v>553</v>
      </c>
      <c r="F78" s="17" t="str">
        <f>TEXT(data[[#This Row],[ShipDate]],"yyyy - mmmm")</f>
        <v>2016 - July</v>
      </c>
      <c r="G78" s="17" t="str">
        <f>data[[#This Row],[OriginCity]] &amp; " - "  &amp; data[[#This Row],[DestinationCity]]</f>
        <v>Cincinnati - Gary</v>
      </c>
      <c r="H78" s="17" t="s">
        <v>89</v>
      </c>
      <c r="I78" s="17" t="s">
        <v>23</v>
      </c>
      <c r="J78" s="17">
        <v>10</v>
      </c>
      <c r="K78" s="17" t="s">
        <v>57</v>
      </c>
      <c r="L78" s="17" t="s">
        <v>44</v>
      </c>
      <c r="M78" s="17" t="s">
        <v>149</v>
      </c>
      <c r="N78" s="17">
        <v>288</v>
      </c>
      <c r="O78" s="17">
        <v>231</v>
      </c>
      <c r="P78" s="26">
        <f>(data[[#This Row],[LoadedMiles]]/data[[#This Row],[TotalMiles]])*100</f>
        <v>80.208333333333343</v>
      </c>
      <c r="Q78" s="25">
        <f>data[[#This Row],[ShippingCost]]/data[[#This Row],[TotalMiles]]</f>
        <v>4.2013888888888893</v>
      </c>
      <c r="R78" s="17">
        <v>1210</v>
      </c>
      <c r="S78" s="25">
        <f>data[[#This Row],[Revenue]]/data[[#This Row],[TotalMiles]]</f>
        <v>4.802083333333333</v>
      </c>
      <c r="T78" s="26">
        <f>data[[#This Row],[Revenue]]-data[[#This Row],[ShippingCost]]</f>
        <v>173</v>
      </c>
      <c r="U78" s="17">
        <v>1383</v>
      </c>
      <c r="V78" s="17">
        <v>91</v>
      </c>
      <c r="W78" s="17" t="s">
        <v>68</v>
      </c>
      <c r="X78" s="17">
        <v>6</v>
      </c>
      <c r="Y78" s="17">
        <f>data[[#This Row],[DeliveryDate]]-data[[#This Row],[ShipDate]]</f>
        <v>10</v>
      </c>
      <c r="Z78" s="17" t="str">
        <f>IF(data[[#This Row],[Actual Delivery Days]]&gt;AD79,"Yes","No")</f>
        <v>Yes</v>
      </c>
    </row>
    <row r="79" spans="1:26">
      <c r="A79" s="17">
        <v>11086</v>
      </c>
      <c r="B79" s="17">
        <v>3</v>
      </c>
      <c r="C79" s="17">
        <v>2</v>
      </c>
      <c r="D79" s="17" t="s">
        <v>484</v>
      </c>
      <c r="E79" s="17" t="s">
        <v>410</v>
      </c>
      <c r="F79" s="17" t="str">
        <f>TEXT(data[[#This Row],[ShipDate]],"yyyy - mmmm")</f>
        <v>2016 - June</v>
      </c>
      <c r="G79" s="17" t="str">
        <f>data[[#This Row],[OriginCity]] &amp; " - "  &amp; data[[#This Row],[DestinationCity]]</f>
        <v>Monon - Lansing</v>
      </c>
      <c r="H79" s="17" t="s">
        <v>53</v>
      </c>
      <c r="I79" s="17" t="s">
        <v>44</v>
      </c>
      <c r="J79" s="17">
        <v>10</v>
      </c>
      <c r="K79" s="17" t="s">
        <v>66</v>
      </c>
      <c r="L79" s="17" t="s">
        <v>21</v>
      </c>
      <c r="M79" s="17" t="s">
        <v>473</v>
      </c>
      <c r="N79" s="17">
        <v>257</v>
      </c>
      <c r="O79" s="17">
        <v>257</v>
      </c>
      <c r="P79" s="26">
        <f>(data[[#This Row],[LoadedMiles]]/data[[#This Row],[TotalMiles]])*100</f>
        <v>100</v>
      </c>
      <c r="Q79" s="25">
        <f>data[[#This Row],[ShippingCost]]/data[[#This Row],[TotalMiles]]</f>
        <v>3.0311284046692606</v>
      </c>
      <c r="R79" s="17">
        <v>779</v>
      </c>
      <c r="S79" s="25">
        <f>data[[#This Row],[Revenue]]/data[[#This Row],[TotalMiles]]</f>
        <v>4.9571984435797667</v>
      </c>
      <c r="T79" s="26">
        <f>data[[#This Row],[Revenue]]-data[[#This Row],[ShippingCost]]</f>
        <v>495</v>
      </c>
      <c r="U79" s="17">
        <v>1274</v>
      </c>
      <c r="V79" s="17">
        <v>86</v>
      </c>
      <c r="W79" s="17" t="s">
        <v>68</v>
      </c>
      <c r="X79" s="17">
        <v>3</v>
      </c>
      <c r="Y79" s="17">
        <f>data[[#This Row],[DeliveryDate]]-data[[#This Row],[ShipDate]]</f>
        <v>10</v>
      </c>
      <c r="Z79" s="17" t="str">
        <f>IF(data[[#This Row],[Actual Delivery Days]]&gt;AD80,"Yes","No")</f>
        <v>Yes</v>
      </c>
    </row>
    <row r="80" spans="1:26">
      <c r="A80" s="17">
        <v>11104</v>
      </c>
      <c r="B80" s="17">
        <v>2</v>
      </c>
      <c r="C80" s="17">
        <v>1</v>
      </c>
      <c r="D80" s="17" t="s">
        <v>507</v>
      </c>
      <c r="E80" s="17" t="s">
        <v>574</v>
      </c>
      <c r="F80" s="17" t="str">
        <f>TEXT(data[[#This Row],[ShipDate]],"yyyy - mmmm")</f>
        <v>2016 - January</v>
      </c>
      <c r="G80" s="17" t="str">
        <f>data[[#This Row],[OriginCity]] &amp; " - "  &amp; data[[#This Row],[DestinationCity]]</f>
        <v>Northbrook - Naperville</v>
      </c>
      <c r="H80" s="17" t="s">
        <v>45</v>
      </c>
      <c r="I80" s="17" t="s">
        <v>31</v>
      </c>
      <c r="J80" s="17">
        <v>10</v>
      </c>
      <c r="K80" s="17" t="s">
        <v>48</v>
      </c>
      <c r="L80" s="17" t="s">
        <v>31</v>
      </c>
      <c r="M80" s="17" t="s">
        <v>166</v>
      </c>
      <c r="N80" s="17">
        <v>1130</v>
      </c>
      <c r="O80" s="17">
        <v>788</v>
      </c>
      <c r="P80" s="26">
        <f>(data[[#This Row],[LoadedMiles]]/data[[#This Row],[TotalMiles]])*100</f>
        <v>69.73451327433628</v>
      </c>
      <c r="Q80" s="25">
        <f>data[[#This Row],[ShippingCost]]/data[[#This Row],[TotalMiles]]</f>
        <v>3.2539823008849558</v>
      </c>
      <c r="R80" s="17">
        <v>3677</v>
      </c>
      <c r="S80" s="25">
        <f>data[[#This Row],[Revenue]]/data[[#This Row],[TotalMiles]]</f>
        <v>7.0061946902654864</v>
      </c>
      <c r="T80" s="26">
        <f>data[[#This Row],[Revenue]]-data[[#This Row],[ShippingCost]]</f>
        <v>4240</v>
      </c>
      <c r="U80" s="17">
        <v>7917</v>
      </c>
      <c r="V80" s="17">
        <v>99</v>
      </c>
      <c r="W80" s="17" t="s">
        <v>68</v>
      </c>
      <c r="X80" s="17">
        <v>6</v>
      </c>
      <c r="Y80" s="17">
        <f>data[[#This Row],[DeliveryDate]]-data[[#This Row],[ShipDate]]</f>
        <v>10</v>
      </c>
      <c r="Z80" s="17" t="str">
        <f>IF(data[[#This Row],[Actual Delivery Days]]&gt;AD81,"Yes","No")</f>
        <v>Yes</v>
      </c>
    </row>
    <row r="81" spans="1:26">
      <c r="A81" s="17">
        <v>11113</v>
      </c>
      <c r="B81" s="17">
        <v>3</v>
      </c>
      <c r="C81" s="17">
        <v>3</v>
      </c>
      <c r="D81" s="17" t="s">
        <v>519</v>
      </c>
      <c r="E81" s="17" t="s">
        <v>180</v>
      </c>
      <c r="F81" s="17" t="str">
        <f>TEXT(data[[#This Row],[ShipDate]],"yyyy - mmmm")</f>
        <v>2016 - July</v>
      </c>
      <c r="G81" s="17" t="str">
        <f>data[[#This Row],[OriginCity]] &amp; " - "  &amp; data[[#This Row],[DestinationCity]]</f>
        <v>Cincinnati - Gary</v>
      </c>
      <c r="H81" s="17" t="s">
        <v>89</v>
      </c>
      <c r="I81" s="17" t="s">
        <v>23</v>
      </c>
      <c r="J81" s="17">
        <v>10</v>
      </c>
      <c r="K81" s="17" t="s">
        <v>57</v>
      </c>
      <c r="L81" s="17" t="s">
        <v>44</v>
      </c>
      <c r="M81" s="17" t="s">
        <v>144</v>
      </c>
      <c r="N81" s="17">
        <v>334</v>
      </c>
      <c r="O81" s="17">
        <v>334</v>
      </c>
      <c r="P81" s="26">
        <f>(data[[#This Row],[LoadedMiles]]/data[[#This Row],[TotalMiles]])*100</f>
        <v>100</v>
      </c>
      <c r="Q81" s="25">
        <f>data[[#This Row],[ShippingCost]]/data[[#This Row],[TotalMiles]]</f>
        <v>25.221556886227546</v>
      </c>
      <c r="R81" s="17">
        <v>8424</v>
      </c>
      <c r="S81" s="25">
        <f>data[[#This Row],[Revenue]]/data[[#This Row],[TotalMiles]]</f>
        <v>26.119760479041915</v>
      </c>
      <c r="T81" s="26">
        <f>data[[#This Row],[Revenue]]-data[[#This Row],[ShippingCost]]</f>
        <v>300</v>
      </c>
      <c r="U81" s="17">
        <v>8724</v>
      </c>
      <c r="V81" s="17">
        <v>87</v>
      </c>
      <c r="W81" s="17" t="s">
        <v>68</v>
      </c>
      <c r="X81" s="17">
        <v>4</v>
      </c>
      <c r="Y81" s="17">
        <f>data[[#This Row],[DeliveryDate]]-data[[#This Row],[ShipDate]]</f>
        <v>7</v>
      </c>
      <c r="Z81" s="17" t="str">
        <f>IF(data[[#This Row],[Actual Delivery Days]]&gt;AD82,"Yes","No")</f>
        <v>Yes</v>
      </c>
    </row>
    <row r="82" spans="1:26">
      <c r="A82" s="17">
        <v>11132</v>
      </c>
      <c r="B82" s="17">
        <v>3</v>
      </c>
      <c r="C82" s="17">
        <v>2</v>
      </c>
      <c r="D82" s="17" t="s">
        <v>547</v>
      </c>
      <c r="E82" s="17" t="s">
        <v>51</v>
      </c>
      <c r="F82" s="17" t="str">
        <f>TEXT(data[[#This Row],[ShipDate]],"yyyy - mmmm")</f>
        <v>2016 - April</v>
      </c>
      <c r="G82" s="17" t="str">
        <f>data[[#This Row],[OriginCity]] &amp; " - "  &amp; data[[#This Row],[DestinationCity]]</f>
        <v>Green Bay - Joliet</v>
      </c>
      <c r="H82" s="17" t="s">
        <v>75</v>
      </c>
      <c r="I82" s="17" t="s">
        <v>29</v>
      </c>
      <c r="J82" s="17">
        <v>10</v>
      </c>
      <c r="K82" s="17" t="s">
        <v>61</v>
      </c>
      <c r="L82" s="17" t="s">
        <v>31</v>
      </c>
      <c r="M82" s="17" t="s">
        <v>620</v>
      </c>
      <c r="N82" s="17">
        <v>1031</v>
      </c>
      <c r="O82" s="17">
        <v>205</v>
      </c>
      <c r="P82" s="26">
        <f>(data[[#This Row],[LoadedMiles]]/data[[#This Row],[TotalMiles]])*100</f>
        <v>19.88360814742968</v>
      </c>
      <c r="Q82" s="25">
        <f>data[[#This Row],[ShippingCost]]/data[[#This Row],[TotalMiles]]</f>
        <v>0.53734238603297768</v>
      </c>
      <c r="R82" s="17">
        <v>554</v>
      </c>
      <c r="S82" s="25">
        <f>data[[#This Row],[Revenue]]/data[[#This Row],[TotalMiles]]</f>
        <v>0.89330746847720655</v>
      </c>
      <c r="T82" s="26">
        <f>data[[#This Row],[Revenue]]-data[[#This Row],[ShippingCost]]</f>
        <v>367</v>
      </c>
      <c r="U82" s="17">
        <v>921</v>
      </c>
      <c r="V82" s="17">
        <v>79</v>
      </c>
      <c r="W82" s="17" t="s">
        <v>68</v>
      </c>
      <c r="X82" s="17">
        <v>5</v>
      </c>
      <c r="Y82" s="17">
        <f>data[[#This Row],[DeliveryDate]]-data[[#This Row],[ShipDate]]</f>
        <v>7</v>
      </c>
      <c r="Z82" s="17" t="str">
        <f>IF(data[[#This Row],[Actual Delivery Days]]&gt;AD83,"Yes","No")</f>
        <v>Yes</v>
      </c>
    </row>
    <row r="83" spans="1:26">
      <c r="A83" s="17">
        <v>11150</v>
      </c>
      <c r="B83" s="17">
        <v>2</v>
      </c>
      <c r="C83" s="17">
        <v>6</v>
      </c>
      <c r="D83" s="17" t="s">
        <v>569</v>
      </c>
      <c r="E83" s="17" t="s">
        <v>191</v>
      </c>
      <c r="F83" s="17" t="str">
        <f>TEXT(data[[#This Row],[ShipDate]],"yyyy - mmmm")</f>
        <v>2016 - July</v>
      </c>
      <c r="G83" s="17" t="str">
        <f>data[[#This Row],[OriginCity]] &amp; " - "  &amp; data[[#This Row],[DestinationCity]]</f>
        <v>Gary - Milwaukee</v>
      </c>
      <c r="H83" s="17" t="s">
        <v>57</v>
      </c>
      <c r="I83" s="17" t="s">
        <v>44</v>
      </c>
      <c r="J83" s="17">
        <v>10</v>
      </c>
      <c r="K83" s="17" t="s">
        <v>28</v>
      </c>
      <c r="L83" s="17" t="s">
        <v>29</v>
      </c>
      <c r="M83" s="17" t="s">
        <v>426</v>
      </c>
      <c r="N83" s="17">
        <v>376</v>
      </c>
      <c r="O83" s="17">
        <v>376</v>
      </c>
      <c r="P83" s="26">
        <f>(data[[#This Row],[LoadedMiles]]/data[[#This Row],[TotalMiles]])*100</f>
        <v>100</v>
      </c>
      <c r="Q83" s="25">
        <f>data[[#This Row],[ShippingCost]]/data[[#This Row],[TotalMiles]]</f>
        <v>12.436170212765957</v>
      </c>
      <c r="R83" s="17">
        <v>4676</v>
      </c>
      <c r="S83" s="25">
        <f>data[[#This Row],[Revenue]]/data[[#This Row],[TotalMiles]]</f>
        <v>12.76063829787234</v>
      </c>
      <c r="T83" s="26">
        <f>data[[#This Row],[Revenue]]-data[[#This Row],[ShippingCost]]</f>
        <v>122</v>
      </c>
      <c r="U83" s="17">
        <v>4798</v>
      </c>
      <c r="V83" s="17">
        <v>90</v>
      </c>
      <c r="W83" s="17" t="s">
        <v>68</v>
      </c>
      <c r="X83" s="17">
        <v>4</v>
      </c>
      <c r="Y83" s="17">
        <f>data[[#This Row],[DeliveryDate]]-data[[#This Row],[ShipDate]]</f>
        <v>8</v>
      </c>
      <c r="Z83" s="17" t="str">
        <f>IF(data[[#This Row],[Actual Delivery Days]]&gt;AD84,"Yes","No")</f>
        <v>Yes</v>
      </c>
    </row>
    <row r="84" spans="1:26">
      <c r="A84" s="17">
        <v>11162</v>
      </c>
      <c r="B84" s="17">
        <v>3</v>
      </c>
      <c r="C84" s="17">
        <v>6</v>
      </c>
      <c r="D84" s="17" t="s">
        <v>582</v>
      </c>
      <c r="E84" s="17" t="s">
        <v>122</v>
      </c>
      <c r="F84" s="17" t="str">
        <f>TEXT(data[[#This Row],[ShipDate]],"yyyy - mmmm")</f>
        <v>2016 - April</v>
      </c>
      <c r="G84" s="17" t="str">
        <f>data[[#This Row],[OriginCity]] &amp; " - "  &amp; data[[#This Row],[DestinationCity]]</f>
        <v>Bangor - Davenport</v>
      </c>
      <c r="H84" s="17" t="s">
        <v>104</v>
      </c>
      <c r="I84" s="17" t="s">
        <v>21</v>
      </c>
      <c r="J84" s="17">
        <v>10</v>
      </c>
      <c r="K84" s="17" t="s">
        <v>105</v>
      </c>
      <c r="L84" s="17" t="s">
        <v>106</v>
      </c>
      <c r="M84" s="17" t="s">
        <v>418</v>
      </c>
      <c r="N84" s="17">
        <v>662</v>
      </c>
      <c r="O84" s="17">
        <v>564</v>
      </c>
      <c r="P84" s="26">
        <f>(data[[#This Row],[LoadedMiles]]/data[[#This Row],[TotalMiles]])*100</f>
        <v>85.196374622356501</v>
      </c>
      <c r="Q84" s="25">
        <f>data[[#This Row],[ShippingCost]]/data[[#This Row],[TotalMiles]]</f>
        <v>10.510574018126889</v>
      </c>
      <c r="R84" s="17">
        <v>6958</v>
      </c>
      <c r="S84" s="25">
        <f>data[[#This Row],[Revenue]]/data[[#This Row],[TotalMiles]]</f>
        <v>11.037764350453172</v>
      </c>
      <c r="T84" s="26">
        <f>data[[#This Row],[Revenue]]-data[[#This Row],[ShippingCost]]</f>
        <v>349</v>
      </c>
      <c r="U84" s="17">
        <v>7307</v>
      </c>
      <c r="V84" s="17">
        <v>64</v>
      </c>
      <c r="W84" s="17" t="s">
        <v>68</v>
      </c>
      <c r="X84" s="17">
        <v>5</v>
      </c>
      <c r="Y84" s="17">
        <f>data[[#This Row],[DeliveryDate]]-data[[#This Row],[ShipDate]]</f>
        <v>10</v>
      </c>
      <c r="Z84" s="17" t="str">
        <f>IF(data[[#This Row],[Actual Delivery Days]]&gt;AD85,"Yes","No")</f>
        <v>Yes</v>
      </c>
    </row>
    <row r="85" spans="1:26">
      <c r="A85" s="17">
        <v>11164</v>
      </c>
      <c r="B85" s="17">
        <v>3</v>
      </c>
      <c r="C85" s="17">
        <v>6</v>
      </c>
      <c r="D85" s="17" t="s">
        <v>585</v>
      </c>
      <c r="E85" s="17" t="s">
        <v>362</v>
      </c>
      <c r="F85" s="17" t="str">
        <f>TEXT(data[[#This Row],[ShipDate]],"yyyy - mmmm")</f>
        <v>2016 - February</v>
      </c>
      <c r="G85" s="17" t="str">
        <f>data[[#This Row],[OriginCity]] &amp; " - "  &amp; data[[#This Row],[DestinationCity]]</f>
        <v>Skokie - Chicago</v>
      </c>
      <c r="H85" s="17" t="s">
        <v>35</v>
      </c>
      <c r="I85" s="17" t="s">
        <v>31</v>
      </c>
      <c r="J85" s="17">
        <v>10</v>
      </c>
      <c r="K85" s="17" t="s">
        <v>39</v>
      </c>
      <c r="L85" s="17" t="s">
        <v>31</v>
      </c>
      <c r="M85" s="17" t="s">
        <v>82</v>
      </c>
      <c r="N85" s="17">
        <v>469</v>
      </c>
      <c r="O85" s="17">
        <v>469</v>
      </c>
      <c r="P85" s="26">
        <f>(data[[#This Row],[LoadedMiles]]/data[[#This Row],[TotalMiles]])*100</f>
        <v>100</v>
      </c>
      <c r="Q85" s="25">
        <f>data[[#This Row],[ShippingCost]]/data[[#This Row],[TotalMiles]]</f>
        <v>12.22814498933902</v>
      </c>
      <c r="R85" s="17">
        <v>5735</v>
      </c>
      <c r="S85" s="25">
        <f>data[[#This Row],[Revenue]]/data[[#This Row],[TotalMiles]]</f>
        <v>13.049040511727078</v>
      </c>
      <c r="T85" s="26">
        <f>data[[#This Row],[Revenue]]-data[[#This Row],[ShippingCost]]</f>
        <v>385</v>
      </c>
      <c r="U85" s="17">
        <v>6120</v>
      </c>
      <c r="V85" s="17">
        <v>67</v>
      </c>
      <c r="W85" s="17" t="s">
        <v>68</v>
      </c>
      <c r="X85" s="17">
        <v>2</v>
      </c>
      <c r="Y85" s="17">
        <f>data[[#This Row],[DeliveryDate]]-data[[#This Row],[ShipDate]]</f>
        <v>36</v>
      </c>
      <c r="Z85" s="17" t="str">
        <f>IF(data[[#This Row],[Actual Delivery Days]]&gt;AD86,"Yes","No")</f>
        <v>Yes</v>
      </c>
    </row>
    <row r="86" spans="1:26">
      <c r="A86" s="17">
        <v>11182</v>
      </c>
      <c r="B86" s="17">
        <v>2</v>
      </c>
      <c r="C86" s="17">
        <v>4</v>
      </c>
      <c r="D86" s="17" t="s">
        <v>605</v>
      </c>
      <c r="E86" s="17" t="s">
        <v>350</v>
      </c>
      <c r="F86" s="17" t="str">
        <f>TEXT(data[[#This Row],[ShipDate]],"yyyy - mmmm")</f>
        <v>2016 - May</v>
      </c>
      <c r="G86" s="17" t="str">
        <f>data[[#This Row],[OriginCity]] &amp; " - "  &amp; data[[#This Row],[DestinationCity]]</f>
        <v>Cincinnati - Gary</v>
      </c>
      <c r="H86" s="17" t="s">
        <v>89</v>
      </c>
      <c r="I86" s="17" t="s">
        <v>23</v>
      </c>
      <c r="J86" s="17">
        <v>10</v>
      </c>
      <c r="K86" s="17" t="s">
        <v>57</v>
      </c>
      <c r="L86" s="17" t="s">
        <v>44</v>
      </c>
      <c r="M86" s="17" t="s">
        <v>616</v>
      </c>
      <c r="N86" s="17">
        <v>488</v>
      </c>
      <c r="O86" s="17">
        <v>488</v>
      </c>
      <c r="P86" s="26">
        <f>(data[[#This Row],[LoadedMiles]]/data[[#This Row],[TotalMiles]])*100</f>
        <v>100</v>
      </c>
      <c r="Q86" s="25">
        <f>data[[#This Row],[ShippingCost]]/data[[#This Row],[TotalMiles]]</f>
        <v>8.4364754098360653</v>
      </c>
      <c r="R86" s="17">
        <v>4117</v>
      </c>
      <c r="S86" s="25">
        <f>data[[#This Row],[Revenue]]/data[[#This Row],[TotalMiles]]</f>
        <v>3.971311475409836</v>
      </c>
      <c r="T86" s="26">
        <f>data[[#This Row],[Revenue]]-data[[#This Row],[ShippingCost]]</f>
        <v>-2179</v>
      </c>
      <c r="U86" s="17">
        <v>1938</v>
      </c>
      <c r="V86" s="17">
        <v>75</v>
      </c>
      <c r="W86" s="17" t="s">
        <v>68</v>
      </c>
      <c r="X86" s="17">
        <v>7</v>
      </c>
      <c r="Y86" s="17">
        <f>data[[#This Row],[DeliveryDate]]-data[[#This Row],[ShipDate]]</f>
        <v>10</v>
      </c>
      <c r="Z86" s="17" t="str">
        <f>IF(data[[#This Row],[Actual Delivery Days]]&gt;AD87,"Yes","No")</f>
        <v>Yes</v>
      </c>
    </row>
    <row r="87" spans="1:26">
      <c r="A87" s="17">
        <v>11183</v>
      </c>
      <c r="B87" s="17">
        <v>3</v>
      </c>
      <c r="C87" s="17">
        <v>6</v>
      </c>
      <c r="D87" s="17" t="s">
        <v>18</v>
      </c>
      <c r="E87" s="17" t="s">
        <v>315</v>
      </c>
      <c r="F87" s="17" t="str">
        <f>TEXT(data[[#This Row],[ShipDate]],"yyyy - mmmm")</f>
        <v>2016 - June</v>
      </c>
      <c r="G87" s="17" t="str">
        <f>data[[#This Row],[OriginCity]] &amp; " - "  &amp; data[[#This Row],[DestinationCity]]</f>
        <v>Dayton - Elgin</v>
      </c>
      <c r="H87" s="17" t="s">
        <v>93</v>
      </c>
      <c r="I87" s="17" t="s">
        <v>23</v>
      </c>
      <c r="J87" s="17">
        <v>10</v>
      </c>
      <c r="K87" s="17" t="s">
        <v>94</v>
      </c>
      <c r="L87" s="17" t="s">
        <v>31</v>
      </c>
      <c r="M87" s="17" t="s">
        <v>613</v>
      </c>
      <c r="N87" s="17">
        <v>938</v>
      </c>
      <c r="O87" s="17">
        <v>226</v>
      </c>
      <c r="P87" s="26">
        <f>(data[[#This Row],[LoadedMiles]]/data[[#This Row],[TotalMiles]])*100</f>
        <v>24.093816631130064</v>
      </c>
      <c r="Q87" s="25">
        <f>data[[#This Row],[ShippingCost]]/data[[#This Row],[TotalMiles]]</f>
        <v>3.9989339019189765</v>
      </c>
      <c r="R87" s="17">
        <v>3751</v>
      </c>
      <c r="S87" s="25">
        <f>data[[#This Row],[Revenue]]/data[[#This Row],[TotalMiles]]</f>
        <v>4.4509594882729209</v>
      </c>
      <c r="T87" s="26">
        <f>data[[#This Row],[Revenue]]-data[[#This Row],[ShippingCost]]</f>
        <v>424</v>
      </c>
      <c r="U87" s="17">
        <v>4175</v>
      </c>
      <c r="V87" s="17">
        <v>58</v>
      </c>
      <c r="W87" s="17" t="s">
        <v>68</v>
      </c>
      <c r="X87" s="17">
        <v>3</v>
      </c>
      <c r="Y87" s="17">
        <f>data[[#This Row],[DeliveryDate]]-data[[#This Row],[ShipDate]]</f>
        <v>10</v>
      </c>
      <c r="Z87" s="17" t="str">
        <f>IF(data[[#This Row],[Actual Delivery Days]]&gt;AD88,"Yes","No")</f>
        <v>Yes</v>
      </c>
    </row>
    <row r="88" spans="1:26">
      <c r="A88" s="17">
        <v>11189</v>
      </c>
      <c r="B88" s="17">
        <v>3</v>
      </c>
      <c r="C88" s="17">
        <v>6</v>
      </c>
      <c r="D88" s="17" t="s">
        <v>50</v>
      </c>
      <c r="E88" s="17" t="s">
        <v>101</v>
      </c>
      <c r="F88" s="17" t="str">
        <f>TEXT(data[[#This Row],[ShipDate]],"yyyy - mmmm")</f>
        <v>2016 - April</v>
      </c>
      <c r="G88" s="17" t="str">
        <f>data[[#This Row],[OriginCity]] &amp; " - "  &amp; data[[#This Row],[DestinationCity]]</f>
        <v>Kalamazoo - Bangor</v>
      </c>
      <c r="H88" s="17" t="s">
        <v>71</v>
      </c>
      <c r="I88" s="17" t="s">
        <v>21</v>
      </c>
      <c r="J88" s="17">
        <v>10</v>
      </c>
      <c r="K88" s="17" t="s">
        <v>104</v>
      </c>
      <c r="L88" s="17" t="s">
        <v>21</v>
      </c>
      <c r="M88" s="17" t="s">
        <v>286</v>
      </c>
      <c r="N88" s="17">
        <v>624</v>
      </c>
      <c r="O88" s="17">
        <v>528</v>
      </c>
      <c r="P88" s="26">
        <f>(data[[#This Row],[LoadedMiles]]/data[[#This Row],[TotalMiles]])*100</f>
        <v>84.615384615384613</v>
      </c>
      <c r="Q88" s="25">
        <f>data[[#This Row],[ShippingCost]]/data[[#This Row],[TotalMiles]]</f>
        <v>11.128205128205128</v>
      </c>
      <c r="R88" s="17">
        <v>6944</v>
      </c>
      <c r="S88" s="25">
        <f>data[[#This Row],[Revenue]]/data[[#This Row],[TotalMiles]]</f>
        <v>12.298076923076923</v>
      </c>
      <c r="T88" s="26">
        <f>data[[#This Row],[Revenue]]-data[[#This Row],[ShippingCost]]</f>
        <v>730</v>
      </c>
      <c r="U88" s="17">
        <v>7674</v>
      </c>
      <c r="V88" s="17">
        <v>75</v>
      </c>
      <c r="W88" s="17" t="s">
        <v>68</v>
      </c>
      <c r="X88" s="17">
        <v>2</v>
      </c>
      <c r="Y88" s="17">
        <f>data[[#This Row],[DeliveryDate]]-data[[#This Row],[ShipDate]]</f>
        <v>8</v>
      </c>
      <c r="Z88" s="17" t="str">
        <f>IF(data[[#This Row],[Actual Delivery Days]]&gt;AD89,"Yes","No")</f>
        <v>Yes</v>
      </c>
    </row>
    <row r="89" spans="1:26">
      <c r="A89" s="17">
        <v>11199</v>
      </c>
      <c r="B89" s="17">
        <v>2</v>
      </c>
      <c r="C89" s="17">
        <v>5</v>
      </c>
      <c r="D89" s="17" t="s">
        <v>96</v>
      </c>
      <c r="E89" s="17" t="s">
        <v>404</v>
      </c>
      <c r="F89" s="17" t="str">
        <f>TEXT(data[[#This Row],[ShipDate]],"yyyy - mmmm")</f>
        <v>2016 - July</v>
      </c>
      <c r="G89" s="17" t="str">
        <f>data[[#This Row],[OriginCity]] &amp; " - "  &amp; data[[#This Row],[DestinationCity]]</f>
        <v>Monon - Lansing</v>
      </c>
      <c r="H89" s="17" t="s">
        <v>53</v>
      </c>
      <c r="I89" s="17" t="s">
        <v>44</v>
      </c>
      <c r="J89" s="17">
        <v>10</v>
      </c>
      <c r="K89" s="17" t="s">
        <v>66</v>
      </c>
      <c r="L89" s="17" t="s">
        <v>21</v>
      </c>
      <c r="M89" s="17" t="s">
        <v>470</v>
      </c>
      <c r="N89" s="17">
        <v>788</v>
      </c>
      <c r="O89" s="17">
        <v>440</v>
      </c>
      <c r="P89" s="26">
        <f>(data[[#This Row],[LoadedMiles]]/data[[#This Row],[TotalMiles]])*100</f>
        <v>55.837563451776653</v>
      </c>
      <c r="Q89" s="25">
        <f>data[[#This Row],[ShippingCost]]/data[[#This Row],[TotalMiles]]</f>
        <v>2.8375634517766497</v>
      </c>
      <c r="R89" s="17">
        <v>2236</v>
      </c>
      <c r="S89" s="25">
        <f>data[[#This Row],[Revenue]]/data[[#This Row],[TotalMiles]]</f>
        <v>3.4644670050761421</v>
      </c>
      <c r="T89" s="26">
        <f>data[[#This Row],[Revenue]]-data[[#This Row],[ShippingCost]]</f>
        <v>494</v>
      </c>
      <c r="U89" s="17">
        <v>2730</v>
      </c>
      <c r="V89" s="17">
        <v>93</v>
      </c>
      <c r="W89" s="17" t="s">
        <v>68</v>
      </c>
      <c r="X89" s="17">
        <v>7</v>
      </c>
      <c r="Y89" s="17">
        <f>data[[#This Row],[DeliveryDate]]-data[[#This Row],[ShipDate]]</f>
        <v>10</v>
      </c>
      <c r="Z89" s="17" t="str">
        <f>IF(data[[#This Row],[Actual Delivery Days]]&gt;AD90,"Yes","No")</f>
        <v>Yes</v>
      </c>
    </row>
    <row r="90" spans="1:26">
      <c r="A90" s="17">
        <v>11237</v>
      </c>
      <c r="B90" s="17">
        <v>3</v>
      </c>
      <c r="C90" s="17">
        <v>1</v>
      </c>
      <c r="D90" s="17" t="s">
        <v>203</v>
      </c>
      <c r="E90" s="17" t="s">
        <v>399</v>
      </c>
      <c r="F90" s="17" t="str">
        <f>TEXT(data[[#This Row],[ShipDate]],"yyyy - mmmm")</f>
        <v>2016 - July</v>
      </c>
      <c r="G90" s="17" t="str">
        <f>data[[#This Row],[OriginCity]] &amp; " - "  &amp; data[[#This Row],[DestinationCity]]</f>
        <v>Springfield - Skokie</v>
      </c>
      <c r="H90" s="17" t="s">
        <v>30</v>
      </c>
      <c r="I90" s="17" t="s">
        <v>31</v>
      </c>
      <c r="J90" s="17">
        <v>10</v>
      </c>
      <c r="K90" s="17" t="s">
        <v>35</v>
      </c>
      <c r="L90" s="17" t="s">
        <v>31</v>
      </c>
      <c r="M90" s="17" t="s">
        <v>608</v>
      </c>
      <c r="N90" s="17">
        <v>916</v>
      </c>
      <c r="O90" s="17">
        <v>592</v>
      </c>
      <c r="P90" s="26">
        <f>(data[[#This Row],[LoadedMiles]]/data[[#This Row],[TotalMiles]])*100</f>
        <v>64.62882096069869</v>
      </c>
      <c r="Q90" s="25">
        <f>data[[#This Row],[ShippingCost]]/data[[#This Row],[TotalMiles]]</f>
        <v>2.052401746724891</v>
      </c>
      <c r="R90" s="17">
        <v>1880</v>
      </c>
      <c r="S90" s="25">
        <f>data[[#This Row],[Revenue]]/data[[#This Row],[TotalMiles]]</f>
        <v>7.1299126637554586</v>
      </c>
      <c r="T90" s="26">
        <f>data[[#This Row],[Revenue]]-data[[#This Row],[ShippingCost]]</f>
        <v>4651</v>
      </c>
      <c r="U90" s="17">
        <v>6531</v>
      </c>
      <c r="V90" s="17">
        <v>87</v>
      </c>
      <c r="W90" s="17" t="s">
        <v>68</v>
      </c>
      <c r="X90" s="17">
        <v>5</v>
      </c>
      <c r="Y90" s="17">
        <f>data[[#This Row],[DeliveryDate]]-data[[#This Row],[ShipDate]]</f>
        <v>10</v>
      </c>
      <c r="Z90" s="17" t="str">
        <f>IF(data[[#This Row],[Actual Delivery Days]]&gt;AD91,"Yes","No")</f>
        <v>Yes</v>
      </c>
    </row>
    <row r="91" spans="1:26">
      <c r="A91" s="17">
        <v>11239</v>
      </c>
      <c r="B91" s="17">
        <v>3</v>
      </c>
      <c r="C91" s="17">
        <v>1</v>
      </c>
      <c r="D91" s="17" t="s">
        <v>210</v>
      </c>
      <c r="E91" s="17" t="s">
        <v>229</v>
      </c>
      <c r="F91" s="17" t="str">
        <f>TEXT(data[[#This Row],[ShipDate]],"yyyy - mmmm")</f>
        <v>2016 - January</v>
      </c>
      <c r="G91" s="17" t="str">
        <f>data[[#This Row],[OriginCity]] &amp; " - "  &amp; data[[#This Row],[DestinationCity]]</f>
        <v>Northbrook - Naperville</v>
      </c>
      <c r="H91" s="17" t="s">
        <v>45</v>
      </c>
      <c r="I91" s="17" t="s">
        <v>31</v>
      </c>
      <c r="J91" s="17">
        <v>10</v>
      </c>
      <c r="K91" s="17" t="s">
        <v>48</v>
      </c>
      <c r="L91" s="17" t="s">
        <v>31</v>
      </c>
      <c r="M91" s="17" t="s">
        <v>82</v>
      </c>
      <c r="N91" s="17">
        <v>744</v>
      </c>
      <c r="O91" s="17">
        <v>287</v>
      </c>
      <c r="P91" s="26">
        <f>(data[[#This Row],[LoadedMiles]]/data[[#This Row],[TotalMiles]])*100</f>
        <v>38.575268817204304</v>
      </c>
      <c r="Q91" s="25">
        <f>data[[#This Row],[ShippingCost]]/data[[#This Row],[TotalMiles]]</f>
        <v>0.41263440860215056</v>
      </c>
      <c r="R91" s="17">
        <v>307</v>
      </c>
      <c r="S91" s="25">
        <f>data[[#This Row],[Revenue]]/data[[#This Row],[TotalMiles]]</f>
        <v>6.181451612903226</v>
      </c>
      <c r="T91" s="26">
        <f>data[[#This Row],[Revenue]]-data[[#This Row],[ShippingCost]]</f>
        <v>4292</v>
      </c>
      <c r="U91" s="17">
        <v>4599</v>
      </c>
      <c r="V91" s="17">
        <v>75</v>
      </c>
      <c r="W91" s="17" t="s">
        <v>68</v>
      </c>
      <c r="X91" s="17">
        <v>4</v>
      </c>
      <c r="Y91" s="17">
        <f>data[[#This Row],[DeliveryDate]]-data[[#This Row],[ShipDate]]</f>
        <v>56</v>
      </c>
      <c r="Z91" s="17" t="str">
        <f>IF(data[[#This Row],[Actual Delivery Days]]&gt;AD92,"Yes","No")</f>
        <v>Yes</v>
      </c>
    </row>
    <row r="92" spans="1:26">
      <c r="A92" s="17">
        <v>11244</v>
      </c>
      <c r="B92" s="17">
        <v>2</v>
      </c>
      <c r="C92" s="17">
        <v>2</v>
      </c>
      <c r="D92" s="17" t="s">
        <v>220</v>
      </c>
      <c r="E92" s="17" t="s">
        <v>240</v>
      </c>
      <c r="F92" s="17" t="str">
        <f>TEXT(data[[#This Row],[ShipDate]],"yyyy - mmmm")</f>
        <v>2016 - August</v>
      </c>
      <c r="G92" s="17" t="str">
        <f>data[[#This Row],[OriginCity]] &amp; " - "  &amp; data[[#This Row],[DestinationCity]]</f>
        <v>Madison - Kalamazoo</v>
      </c>
      <c r="H92" s="17" t="s">
        <v>62</v>
      </c>
      <c r="I92" s="17" t="s">
        <v>29</v>
      </c>
      <c r="J92" s="17">
        <v>10</v>
      </c>
      <c r="K92" s="17" t="s">
        <v>71</v>
      </c>
      <c r="L92" s="17" t="s">
        <v>21</v>
      </c>
      <c r="M92" s="17" t="s">
        <v>376</v>
      </c>
      <c r="N92" s="17">
        <v>663</v>
      </c>
      <c r="O92" s="17">
        <v>650</v>
      </c>
      <c r="P92" s="26">
        <f>(data[[#This Row],[LoadedMiles]]/data[[#This Row],[TotalMiles]])*100</f>
        <v>98.039215686274503</v>
      </c>
      <c r="Q92" s="25">
        <f>data[[#This Row],[ShippingCost]]/data[[#This Row],[TotalMiles]]</f>
        <v>12.250377073906487</v>
      </c>
      <c r="R92" s="17">
        <v>8122</v>
      </c>
      <c r="S92" s="25">
        <f>data[[#This Row],[Revenue]]/data[[#This Row],[TotalMiles]]</f>
        <v>12.559577677224736</v>
      </c>
      <c r="T92" s="26">
        <f>data[[#This Row],[Revenue]]-data[[#This Row],[ShippingCost]]</f>
        <v>205</v>
      </c>
      <c r="U92" s="17">
        <v>8327</v>
      </c>
      <c r="V92" s="17">
        <v>53</v>
      </c>
      <c r="W92" s="17" t="s">
        <v>68</v>
      </c>
      <c r="X92" s="17">
        <v>3</v>
      </c>
      <c r="Y92" s="17">
        <f>data[[#This Row],[DeliveryDate]]-data[[#This Row],[ShipDate]]</f>
        <v>7</v>
      </c>
      <c r="Z92" s="17" t="str">
        <f>IF(data[[#This Row],[Actual Delivery Days]]&gt;AD93,"Yes","No")</f>
        <v>Yes</v>
      </c>
    </row>
    <row r="93" spans="1:26">
      <c r="A93" s="17">
        <v>11272</v>
      </c>
      <c r="B93" s="17">
        <v>2</v>
      </c>
      <c r="C93" s="17">
        <v>4</v>
      </c>
      <c r="D93" s="17" t="s">
        <v>284</v>
      </c>
      <c r="E93" s="17" t="s">
        <v>170</v>
      </c>
      <c r="F93" s="17" t="str">
        <f>TEXT(data[[#This Row],[ShipDate]],"yyyy - mmmm")</f>
        <v>2016 - April</v>
      </c>
      <c r="G93" s="17" t="str">
        <f>data[[#This Row],[OriginCity]] &amp; " - "  &amp; data[[#This Row],[DestinationCity]]</f>
        <v>Lansing - Dayton</v>
      </c>
      <c r="H93" s="17" t="s">
        <v>66</v>
      </c>
      <c r="I93" s="17" t="s">
        <v>21</v>
      </c>
      <c r="J93" s="17">
        <v>10</v>
      </c>
      <c r="K93" s="17" t="s">
        <v>93</v>
      </c>
      <c r="L93" s="17" t="s">
        <v>23</v>
      </c>
      <c r="M93" s="17" t="s">
        <v>624</v>
      </c>
      <c r="N93" s="17">
        <v>804</v>
      </c>
      <c r="O93" s="17">
        <v>257</v>
      </c>
      <c r="P93" s="26">
        <f>(data[[#This Row],[LoadedMiles]]/data[[#This Row],[TotalMiles]])*100</f>
        <v>31.965174129353237</v>
      </c>
      <c r="Q93" s="25">
        <f>data[[#This Row],[ShippingCost]]/data[[#This Row],[TotalMiles]]</f>
        <v>2.3718905472636815</v>
      </c>
      <c r="R93" s="17">
        <v>1907</v>
      </c>
      <c r="S93" s="25">
        <f>data[[#This Row],[Revenue]]/data[[#This Row],[TotalMiles]]</f>
        <v>3.3582089552238806E-2</v>
      </c>
      <c r="T93" s="26">
        <f>data[[#This Row],[Revenue]]-data[[#This Row],[ShippingCost]]</f>
        <v>-1880</v>
      </c>
      <c r="U93" s="17">
        <v>27</v>
      </c>
      <c r="V93" s="17">
        <v>53</v>
      </c>
      <c r="W93" s="17" t="s">
        <v>68</v>
      </c>
      <c r="X93" s="17">
        <v>3</v>
      </c>
      <c r="Y93" s="17">
        <f>data[[#This Row],[DeliveryDate]]-data[[#This Row],[ShipDate]]</f>
        <v>10</v>
      </c>
      <c r="Z93" s="17" t="str">
        <f>IF(data[[#This Row],[Actual Delivery Days]]&gt;AD94,"Yes","No")</f>
        <v>Yes</v>
      </c>
    </row>
    <row r="94" spans="1:26">
      <c r="A94" s="17">
        <v>11279</v>
      </c>
      <c r="B94" s="17">
        <v>3</v>
      </c>
      <c r="C94" s="17">
        <v>1</v>
      </c>
      <c r="D94" s="17" t="s">
        <v>300</v>
      </c>
      <c r="E94" s="17" t="s">
        <v>19</v>
      </c>
      <c r="F94" s="17" t="str">
        <f>TEXT(data[[#This Row],[ShipDate]],"yyyy - mmmm")</f>
        <v>2016 - July</v>
      </c>
      <c r="G94" s="17" t="str">
        <f>data[[#This Row],[OriginCity]] &amp; " - "  &amp; data[[#This Row],[DestinationCity]]</f>
        <v>Springfield - Skokie</v>
      </c>
      <c r="H94" s="17" t="s">
        <v>30</v>
      </c>
      <c r="I94" s="17" t="s">
        <v>31</v>
      </c>
      <c r="J94" s="17">
        <v>10</v>
      </c>
      <c r="K94" s="17" t="s">
        <v>35</v>
      </c>
      <c r="L94" s="17" t="s">
        <v>31</v>
      </c>
      <c r="M94" s="17" t="s">
        <v>155</v>
      </c>
      <c r="N94" s="17">
        <v>593</v>
      </c>
      <c r="O94" s="17">
        <v>593</v>
      </c>
      <c r="P94" s="26">
        <f>(data[[#This Row],[LoadedMiles]]/data[[#This Row],[TotalMiles]])*100</f>
        <v>100</v>
      </c>
      <c r="Q94" s="25">
        <f>data[[#This Row],[ShippingCost]]/data[[#This Row],[TotalMiles]]</f>
        <v>0.13322091062394603</v>
      </c>
      <c r="R94" s="17">
        <v>79</v>
      </c>
      <c r="S94" s="25">
        <f>data[[#This Row],[Revenue]]/data[[#This Row],[TotalMiles]]</f>
        <v>8.9274873524451941</v>
      </c>
      <c r="T94" s="26">
        <f>data[[#This Row],[Revenue]]-data[[#This Row],[ShippingCost]]</f>
        <v>5215</v>
      </c>
      <c r="U94" s="17">
        <v>5294</v>
      </c>
      <c r="V94" s="17">
        <v>61</v>
      </c>
      <c r="W94" s="17" t="s">
        <v>68</v>
      </c>
      <c r="X94" s="17">
        <v>8</v>
      </c>
      <c r="Y94" s="17">
        <f>data[[#This Row],[DeliveryDate]]-data[[#This Row],[ShipDate]]</f>
        <v>9</v>
      </c>
      <c r="Z94" s="17" t="str">
        <f>IF(data[[#This Row],[Actual Delivery Days]]&gt;AD95,"Yes","No")</f>
        <v>Yes</v>
      </c>
    </row>
    <row r="95" spans="1:26">
      <c r="A95" s="17">
        <v>11280</v>
      </c>
      <c r="B95" s="17">
        <v>3</v>
      </c>
      <c r="C95" s="17">
        <v>4</v>
      </c>
      <c r="D95" s="17" t="s">
        <v>303</v>
      </c>
      <c r="E95" s="17" t="s">
        <v>190</v>
      </c>
      <c r="F95" s="17" t="str">
        <f>TEXT(data[[#This Row],[ShipDate]],"yyyy - mmmm")</f>
        <v>2016 - July</v>
      </c>
      <c r="G95" s="17" t="str">
        <f>data[[#This Row],[OriginCity]] &amp; " - "  &amp; data[[#This Row],[DestinationCity]]</f>
        <v>Chicago - Rockford</v>
      </c>
      <c r="H95" s="17" t="s">
        <v>39</v>
      </c>
      <c r="I95" s="17" t="s">
        <v>31</v>
      </c>
      <c r="J95" s="17">
        <v>10</v>
      </c>
      <c r="K95" s="17" t="s">
        <v>40</v>
      </c>
      <c r="L95" s="17" t="s">
        <v>31</v>
      </c>
      <c r="M95" s="17" t="s">
        <v>179</v>
      </c>
      <c r="N95" s="17">
        <v>1181</v>
      </c>
      <c r="O95" s="17">
        <v>472</v>
      </c>
      <c r="P95" s="26">
        <f>(data[[#This Row],[LoadedMiles]]/data[[#This Row],[TotalMiles]])*100</f>
        <v>39.966130397967824</v>
      </c>
      <c r="Q95" s="25">
        <f>data[[#This Row],[ShippingCost]]/data[[#This Row],[TotalMiles]]</f>
        <v>3.8585944115156647</v>
      </c>
      <c r="R95" s="17">
        <v>4557</v>
      </c>
      <c r="S95" s="25">
        <f>data[[#This Row],[Revenue]]/data[[#This Row],[TotalMiles]]</f>
        <v>2.4343776460626589</v>
      </c>
      <c r="T95" s="26">
        <f>data[[#This Row],[Revenue]]-data[[#This Row],[ShippingCost]]</f>
        <v>-1682</v>
      </c>
      <c r="U95" s="17">
        <v>2875</v>
      </c>
      <c r="V95" s="17">
        <v>67</v>
      </c>
      <c r="W95" s="17" t="s">
        <v>68</v>
      </c>
      <c r="X95" s="17">
        <v>6</v>
      </c>
      <c r="Y95" s="17">
        <f>data[[#This Row],[DeliveryDate]]-data[[#This Row],[ShipDate]]</f>
        <v>9</v>
      </c>
      <c r="Z95" s="17" t="str">
        <f>IF(data[[#This Row],[Actual Delivery Days]]&gt;AD96,"Yes","No")</f>
        <v>Yes</v>
      </c>
    </row>
    <row r="96" spans="1:26">
      <c r="A96" s="17">
        <v>11297</v>
      </c>
      <c r="B96" s="17">
        <v>3</v>
      </c>
      <c r="C96" s="17">
        <v>3</v>
      </c>
      <c r="D96" s="17" t="s">
        <v>334</v>
      </c>
      <c r="E96" s="17" t="s">
        <v>259</v>
      </c>
      <c r="F96" s="17" t="str">
        <f>TEXT(data[[#This Row],[ShipDate]],"yyyy - mmmm")</f>
        <v>2016 - February</v>
      </c>
      <c r="G96" s="17" t="str">
        <f>data[[#This Row],[OriginCity]] &amp; " - "  &amp; data[[#This Row],[DestinationCity]]</f>
        <v>Kalamazoo - Bangor</v>
      </c>
      <c r="H96" s="17" t="s">
        <v>71</v>
      </c>
      <c r="I96" s="17" t="s">
        <v>21</v>
      </c>
      <c r="J96" s="17">
        <v>10</v>
      </c>
      <c r="K96" s="17" t="s">
        <v>104</v>
      </c>
      <c r="L96" s="17" t="s">
        <v>21</v>
      </c>
      <c r="M96" s="17" t="s">
        <v>290</v>
      </c>
      <c r="N96" s="17">
        <v>1147</v>
      </c>
      <c r="O96" s="17">
        <v>750</v>
      </c>
      <c r="P96" s="26">
        <f>(data[[#This Row],[LoadedMiles]]/data[[#This Row],[TotalMiles]])*100</f>
        <v>65.387968613775058</v>
      </c>
      <c r="Q96" s="25">
        <f>data[[#This Row],[ShippingCost]]/data[[#This Row],[TotalMiles]]</f>
        <v>5.4298169136878816</v>
      </c>
      <c r="R96" s="17">
        <v>6228</v>
      </c>
      <c r="S96" s="25">
        <f>data[[#This Row],[Revenue]]/data[[#This Row],[TotalMiles]]</f>
        <v>5.8517872711421095</v>
      </c>
      <c r="T96" s="26">
        <f>data[[#This Row],[Revenue]]-data[[#This Row],[ShippingCost]]</f>
        <v>484</v>
      </c>
      <c r="U96" s="17">
        <v>6712</v>
      </c>
      <c r="V96" s="17">
        <v>62</v>
      </c>
      <c r="W96" s="17" t="s">
        <v>68</v>
      </c>
      <c r="X96" s="17">
        <v>3</v>
      </c>
      <c r="Y96" s="17">
        <f>data[[#This Row],[DeliveryDate]]-data[[#This Row],[ShipDate]]</f>
        <v>7</v>
      </c>
      <c r="Z96" s="17" t="str">
        <f>IF(data[[#This Row],[Actual Delivery Days]]&gt;AD97,"Yes","No")</f>
        <v>Yes</v>
      </c>
    </row>
    <row r="97" spans="1:26">
      <c r="A97" s="17">
        <v>11309</v>
      </c>
      <c r="B97" s="17">
        <v>2</v>
      </c>
      <c r="C97" s="17">
        <v>2</v>
      </c>
      <c r="D97" s="17" t="s">
        <v>354</v>
      </c>
      <c r="E97" s="17" t="s">
        <v>283</v>
      </c>
      <c r="F97" s="17" t="str">
        <f>TEXT(data[[#This Row],[ShipDate]],"yyyy - mmmm")</f>
        <v>2016 - June</v>
      </c>
      <c r="G97" s="17" t="str">
        <f>data[[#This Row],[OriginCity]] &amp; " - "  &amp; data[[#This Row],[DestinationCity]]</f>
        <v>Madison - Kalamazoo</v>
      </c>
      <c r="H97" s="17" t="s">
        <v>62</v>
      </c>
      <c r="I97" s="17" t="s">
        <v>29</v>
      </c>
      <c r="J97" s="17">
        <v>10</v>
      </c>
      <c r="K97" s="17" t="s">
        <v>71</v>
      </c>
      <c r="L97" s="17" t="s">
        <v>21</v>
      </c>
      <c r="M97" s="17" t="s">
        <v>610</v>
      </c>
      <c r="N97" s="17">
        <v>551</v>
      </c>
      <c r="O97" s="17">
        <v>551</v>
      </c>
      <c r="P97" s="26">
        <f>(data[[#This Row],[LoadedMiles]]/data[[#This Row],[TotalMiles]])*100</f>
        <v>100</v>
      </c>
      <c r="Q97" s="25">
        <f>data[[#This Row],[ShippingCost]]/data[[#This Row],[TotalMiles]]</f>
        <v>7.7059891107078036</v>
      </c>
      <c r="R97" s="17">
        <v>4246</v>
      </c>
      <c r="S97" s="25">
        <f>data[[#This Row],[Revenue]]/data[[#This Row],[TotalMiles]]</f>
        <v>7.9637023593466427</v>
      </c>
      <c r="T97" s="26">
        <f>data[[#This Row],[Revenue]]-data[[#This Row],[ShippingCost]]</f>
        <v>142</v>
      </c>
      <c r="U97" s="17">
        <v>4388</v>
      </c>
      <c r="V97" s="17">
        <v>88</v>
      </c>
      <c r="W97" s="17" t="s">
        <v>68</v>
      </c>
      <c r="X97" s="17">
        <v>3</v>
      </c>
      <c r="Y97" s="17">
        <f>data[[#This Row],[DeliveryDate]]-data[[#This Row],[ShipDate]]</f>
        <v>10</v>
      </c>
      <c r="Z97" s="17" t="str">
        <f>IF(data[[#This Row],[Actual Delivery Days]]&gt;AD98,"Yes","No")</f>
        <v>Yes</v>
      </c>
    </row>
    <row r="98" spans="1:26">
      <c r="A98" s="17">
        <v>11310</v>
      </c>
      <c r="B98" s="17">
        <v>3</v>
      </c>
      <c r="C98" s="17">
        <v>2</v>
      </c>
      <c r="D98" s="17" t="s">
        <v>356</v>
      </c>
      <c r="E98" s="17" t="s">
        <v>447</v>
      </c>
      <c r="F98" s="17" t="str">
        <f>TEXT(data[[#This Row],[ShipDate]],"yyyy - mmmm")</f>
        <v>2016 - January</v>
      </c>
      <c r="G98" s="17" t="str">
        <f>data[[#This Row],[OriginCity]] &amp; " - "  &amp; data[[#This Row],[DestinationCity]]</f>
        <v>Green Bay - Joliet</v>
      </c>
      <c r="H98" s="17" t="s">
        <v>75</v>
      </c>
      <c r="I98" s="17" t="s">
        <v>29</v>
      </c>
      <c r="J98" s="17">
        <v>10</v>
      </c>
      <c r="K98" s="17" t="s">
        <v>61</v>
      </c>
      <c r="L98" s="17" t="s">
        <v>31</v>
      </c>
      <c r="M98" s="17" t="s">
        <v>259</v>
      </c>
      <c r="N98" s="17">
        <v>359</v>
      </c>
      <c r="O98" s="17">
        <v>359</v>
      </c>
      <c r="P98" s="26">
        <f>(data[[#This Row],[LoadedMiles]]/data[[#This Row],[TotalMiles]])*100</f>
        <v>100</v>
      </c>
      <c r="Q98" s="25">
        <f>data[[#This Row],[ShippingCost]]/data[[#This Row],[TotalMiles]]</f>
        <v>6.7715877437325904</v>
      </c>
      <c r="R98" s="17">
        <v>2431</v>
      </c>
      <c r="S98" s="25">
        <f>data[[#This Row],[Revenue]]/data[[#This Row],[TotalMiles]]</f>
        <v>8.0724233983286915</v>
      </c>
      <c r="T98" s="26">
        <f>data[[#This Row],[Revenue]]-data[[#This Row],[ShippingCost]]</f>
        <v>467</v>
      </c>
      <c r="U98" s="17">
        <v>2898</v>
      </c>
      <c r="V98" s="17">
        <v>83</v>
      </c>
      <c r="W98" s="17" t="s">
        <v>68</v>
      </c>
      <c r="X98" s="17">
        <v>8</v>
      </c>
      <c r="Y98" s="17">
        <f>data[[#This Row],[DeliveryDate]]-data[[#This Row],[ShipDate]]</f>
        <v>10</v>
      </c>
      <c r="Z98" s="17" t="str">
        <f>IF(data[[#This Row],[Actual Delivery Days]]&gt;AD99,"Yes","No")</f>
        <v>Yes</v>
      </c>
    </row>
    <row r="99" spans="1:26">
      <c r="A99" s="17">
        <v>11312</v>
      </c>
      <c r="B99" s="17">
        <v>2</v>
      </c>
      <c r="C99" s="17">
        <v>6</v>
      </c>
      <c r="D99" s="17" t="s">
        <v>359</v>
      </c>
      <c r="E99" s="17" t="s">
        <v>531</v>
      </c>
      <c r="F99" s="17" t="str">
        <f>TEXT(data[[#This Row],[ShipDate]],"yyyy - mmmm")</f>
        <v>2016 - January</v>
      </c>
      <c r="G99" s="17" t="str">
        <f>data[[#This Row],[OriginCity]] &amp; " - "  &amp; data[[#This Row],[DestinationCity]]</f>
        <v>Rockford - Green Bay</v>
      </c>
      <c r="H99" s="17" t="s">
        <v>40</v>
      </c>
      <c r="I99" s="17" t="s">
        <v>31</v>
      </c>
      <c r="J99" s="17">
        <v>10</v>
      </c>
      <c r="K99" s="17" t="s">
        <v>75</v>
      </c>
      <c r="L99" s="17" t="s">
        <v>29</v>
      </c>
      <c r="M99" s="17" t="s">
        <v>82</v>
      </c>
      <c r="N99" s="17">
        <v>323</v>
      </c>
      <c r="O99" s="17">
        <v>208</v>
      </c>
      <c r="P99" s="26">
        <f>(data[[#This Row],[LoadedMiles]]/data[[#This Row],[TotalMiles]])*100</f>
        <v>64.396284829721367</v>
      </c>
      <c r="Q99" s="25">
        <f>data[[#This Row],[ShippingCost]]/data[[#This Row],[TotalMiles]]</f>
        <v>9.9752321981424146</v>
      </c>
      <c r="R99" s="17">
        <v>3222</v>
      </c>
      <c r="S99" s="25">
        <f>data[[#This Row],[Revenue]]/data[[#This Row],[TotalMiles]]</f>
        <v>10.773993808049536</v>
      </c>
      <c r="T99" s="26">
        <f>data[[#This Row],[Revenue]]-data[[#This Row],[ShippingCost]]</f>
        <v>258</v>
      </c>
      <c r="U99" s="17">
        <v>3480</v>
      </c>
      <c r="V99" s="17">
        <v>94</v>
      </c>
      <c r="W99" s="17" t="s">
        <v>68</v>
      </c>
      <c r="X99" s="17">
        <v>1</v>
      </c>
      <c r="Y99" s="17">
        <f>data[[#This Row],[DeliveryDate]]-data[[#This Row],[ShipDate]]</f>
        <v>73</v>
      </c>
      <c r="Z99" s="17" t="str">
        <f>IF(data[[#This Row],[Actual Delivery Days]]&gt;AD100,"Yes","No")</f>
        <v>Yes</v>
      </c>
    </row>
    <row r="100" spans="1:26">
      <c r="A100" s="17">
        <v>11317</v>
      </c>
      <c r="B100" s="17">
        <v>2</v>
      </c>
      <c r="C100" s="17">
        <v>2</v>
      </c>
      <c r="D100" s="17" t="s">
        <v>366</v>
      </c>
      <c r="E100" s="17" t="s">
        <v>540</v>
      </c>
      <c r="F100" s="17" t="str">
        <f>TEXT(data[[#This Row],[ShipDate]],"yyyy - mmmm")</f>
        <v>2016 - July</v>
      </c>
      <c r="G100" s="17" t="str">
        <f>data[[#This Row],[OriginCity]] &amp; " - "  &amp; data[[#This Row],[DestinationCity]]</f>
        <v>Lansing - Dayton</v>
      </c>
      <c r="H100" s="17" t="s">
        <v>66</v>
      </c>
      <c r="I100" s="17" t="s">
        <v>21</v>
      </c>
      <c r="J100" s="17">
        <v>10</v>
      </c>
      <c r="K100" s="17" t="s">
        <v>93</v>
      </c>
      <c r="L100" s="17" t="s">
        <v>23</v>
      </c>
      <c r="M100" s="17" t="s">
        <v>144</v>
      </c>
      <c r="N100" s="17">
        <v>826</v>
      </c>
      <c r="O100" s="17">
        <v>383</v>
      </c>
      <c r="P100" s="26">
        <f>(data[[#This Row],[LoadedMiles]]/data[[#This Row],[TotalMiles]])*100</f>
        <v>46.368038740920099</v>
      </c>
      <c r="Q100" s="25">
        <f>data[[#This Row],[ShippingCost]]/data[[#This Row],[TotalMiles]]</f>
        <v>2.9539951573849881</v>
      </c>
      <c r="R100" s="17">
        <v>2440</v>
      </c>
      <c r="S100" s="25">
        <f>data[[#This Row],[Revenue]]/data[[#This Row],[TotalMiles]]</f>
        <v>3.3232445520581115</v>
      </c>
      <c r="T100" s="26">
        <f>data[[#This Row],[Revenue]]-data[[#This Row],[ShippingCost]]</f>
        <v>305</v>
      </c>
      <c r="U100" s="17">
        <v>2745</v>
      </c>
      <c r="V100" s="17">
        <v>100</v>
      </c>
      <c r="W100" s="17" t="s">
        <v>68</v>
      </c>
      <c r="X100" s="17">
        <v>10</v>
      </c>
      <c r="Y100" s="17">
        <f>data[[#This Row],[DeliveryDate]]-data[[#This Row],[ShipDate]]</f>
        <v>9</v>
      </c>
      <c r="Z100" s="17" t="str">
        <f>IF(data[[#This Row],[Actual Delivery Days]]&gt;AD101,"Yes","No")</f>
        <v>Yes</v>
      </c>
    </row>
    <row r="101" spans="1:26">
      <c r="A101" s="17">
        <v>11334</v>
      </c>
      <c r="B101" s="17">
        <v>3</v>
      </c>
      <c r="C101" s="17">
        <v>1</v>
      </c>
      <c r="D101" s="17" t="s">
        <v>397</v>
      </c>
      <c r="E101" s="17" t="s">
        <v>179</v>
      </c>
      <c r="F101" s="17" t="str">
        <f>TEXT(data[[#This Row],[ShipDate]],"yyyy - mmmm")</f>
        <v>2016 - July</v>
      </c>
      <c r="G101" s="17" t="str">
        <f>data[[#This Row],[OriginCity]] &amp; " - "  &amp; data[[#This Row],[DestinationCity]]</f>
        <v>Appleton - Grand Rapids</v>
      </c>
      <c r="H101" s="17" t="s">
        <v>85</v>
      </c>
      <c r="I101" s="17" t="s">
        <v>29</v>
      </c>
      <c r="J101" s="17">
        <v>10</v>
      </c>
      <c r="K101" s="17" t="s">
        <v>20</v>
      </c>
      <c r="L101" s="17" t="s">
        <v>21</v>
      </c>
      <c r="M101" s="17" t="s">
        <v>467</v>
      </c>
      <c r="N101" s="17">
        <v>377</v>
      </c>
      <c r="O101" s="17">
        <v>343</v>
      </c>
      <c r="P101" s="26">
        <f>(data[[#This Row],[LoadedMiles]]/data[[#This Row],[TotalMiles]])*100</f>
        <v>90.981432360742716</v>
      </c>
      <c r="Q101" s="25">
        <f>data[[#This Row],[ShippingCost]]/data[[#This Row],[TotalMiles]]</f>
        <v>4.2997347480106098</v>
      </c>
      <c r="R101" s="17">
        <v>1621</v>
      </c>
      <c r="S101" s="25">
        <f>data[[#This Row],[Revenue]]/data[[#This Row],[TotalMiles]]</f>
        <v>18.262599469496021</v>
      </c>
      <c r="T101" s="26">
        <f>data[[#This Row],[Revenue]]-data[[#This Row],[ShippingCost]]</f>
        <v>5264</v>
      </c>
      <c r="U101" s="17">
        <v>6885</v>
      </c>
      <c r="V101" s="17">
        <v>56</v>
      </c>
      <c r="W101" s="17" t="s">
        <v>68</v>
      </c>
      <c r="X101" s="17">
        <v>9</v>
      </c>
      <c r="Y101" s="17">
        <f>data[[#This Row],[DeliveryDate]]-data[[#This Row],[ShipDate]]</f>
        <v>9</v>
      </c>
      <c r="Z101" s="17" t="str">
        <f>IF(data[[#This Row],[Actual Delivery Days]]&gt;AD102,"Yes","No")</f>
        <v>Yes</v>
      </c>
    </row>
    <row r="102" spans="1:26">
      <c r="A102" s="17">
        <v>11345</v>
      </c>
      <c r="B102" s="17">
        <v>3</v>
      </c>
      <c r="C102" s="17">
        <v>1</v>
      </c>
      <c r="D102" s="17" t="s">
        <v>414</v>
      </c>
      <c r="E102" s="17" t="s">
        <v>319</v>
      </c>
      <c r="F102" s="17" t="str">
        <f>TEXT(data[[#This Row],[ShipDate]],"yyyy - mmmm")</f>
        <v>2016 - June</v>
      </c>
      <c r="G102" s="17" t="str">
        <f>data[[#This Row],[OriginCity]] &amp; " - "  &amp; data[[#This Row],[DestinationCity]]</f>
        <v>Milwaukee - Springfield</v>
      </c>
      <c r="H102" s="17" t="s">
        <v>28</v>
      </c>
      <c r="I102" s="17" t="s">
        <v>29</v>
      </c>
      <c r="J102" s="17">
        <v>10</v>
      </c>
      <c r="K102" s="17" t="s">
        <v>30</v>
      </c>
      <c r="L102" s="17" t="s">
        <v>31</v>
      </c>
      <c r="M102" s="17" t="s">
        <v>24</v>
      </c>
      <c r="N102" s="17">
        <v>912</v>
      </c>
      <c r="O102" s="17">
        <v>295</v>
      </c>
      <c r="P102" s="26">
        <f>(data[[#This Row],[LoadedMiles]]/data[[#This Row],[TotalMiles]])*100</f>
        <v>32.346491228070171</v>
      </c>
      <c r="Q102" s="25">
        <f>data[[#This Row],[ShippingCost]]/data[[#This Row],[TotalMiles]]</f>
        <v>2.6557017543859649</v>
      </c>
      <c r="R102" s="17">
        <v>2422</v>
      </c>
      <c r="S102" s="25">
        <f>data[[#This Row],[Revenue]]/data[[#This Row],[TotalMiles]]</f>
        <v>7.5285087719298245</v>
      </c>
      <c r="T102" s="26">
        <f>data[[#This Row],[Revenue]]-data[[#This Row],[ShippingCost]]</f>
        <v>4444</v>
      </c>
      <c r="U102" s="17">
        <v>6866</v>
      </c>
      <c r="V102" s="17">
        <v>65</v>
      </c>
      <c r="W102" s="17" t="s">
        <v>68</v>
      </c>
      <c r="X102" s="17">
        <v>3</v>
      </c>
      <c r="Y102" s="17">
        <f>data[[#This Row],[DeliveryDate]]-data[[#This Row],[ShipDate]]</f>
        <v>10</v>
      </c>
      <c r="Z102" s="17" t="str">
        <f>IF(data[[#This Row],[Actual Delivery Days]]&gt;AD103,"Yes","No")</f>
        <v>Yes</v>
      </c>
    </row>
    <row r="103" spans="1:26">
      <c r="A103" s="17">
        <v>11347</v>
      </c>
      <c r="B103" s="17">
        <v>3</v>
      </c>
      <c r="C103" s="17">
        <v>4</v>
      </c>
      <c r="D103" s="17" t="s">
        <v>419</v>
      </c>
      <c r="E103" s="17" t="s">
        <v>19</v>
      </c>
      <c r="F103" s="17" t="str">
        <f>TEXT(data[[#This Row],[ShipDate]],"yyyy - mmmm")</f>
        <v>2016 - July</v>
      </c>
      <c r="G103" s="17" t="str">
        <f>data[[#This Row],[OriginCity]] &amp; " - "  &amp; data[[#This Row],[DestinationCity]]</f>
        <v>Chicago - Rockford</v>
      </c>
      <c r="H103" s="17" t="s">
        <v>39</v>
      </c>
      <c r="I103" s="17" t="s">
        <v>31</v>
      </c>
      <c r="J103" s="17">
        <v>10</v>
      </c>
      <c r="K103" s="17" t="s">
        <v>40</v>
      </c>
      <c r="L103" s="17" t="s">
        <v>31</v>
      </c>
      <c r="M103" s="17" t="s">
        <v>553</v>
      </c>
      <c r="N103" s="17">
        <v>451</v>
      </c>
      <c r="O103" s="17">
        <v>202</v>
      </c>
      <c r="P103" s="26">
        <f>(data[[#This Row],[LoadedMiles]]/data[[#This Row],[TotalMiles]])*100</f>
        <v>44.789356984478935</v>
      </c>
      <c r="Q103" s="25">
        <f>data[[#This Row],[ShippingCost]]/data[[#This Row],[TotalMiles]]</f>
        <v>17.58980044345898</v>
      </c>
      <c r="R103" s="17">
        <v>7933</v>
      </c>
      <c r="S103" s="25">
        <f>data[[#This Row],[Revenue]]/data[[#This Row],[TotalMiles]]</f>
        <v>13.618625277161863</v>
      </c>
      <c r="T103" s="26">
        <f>data[[#This Row],[Revenue]]-data[[#This Row],[ShippingCost]]</f>
        <v>-1791</v>
      </c>
      <c r="U103" s="17">
        <v>6142</v>
      </c>
      <c r="V103" s="17">
        <v>97</v>
      </c>
      <c r="W103" s="17" t="s">
        <v>68</v>
      </c>
      <c r="X103" s="17">
        <v>1</v>
      </c>
      <c r="Y103" s="17">
        <f>data[[#This Row],[DeliveryDate]]-data[[#This Row],[ShipDate]]</f>
        <v>10</v>
      </c>
      <c r="Z103" s="17" t="str">
        <f>IF(data[[#This Row],[Actual Delivery Days]]&gt;AD104,"Yes","No")</f>
        <v>Yes</v>
      </c>
    </row>
    <row r="104" spans="1:26">
      <c r="A104" s="17">
        <v>11368</v>
      </c>
      <c r="B104" s="17">
        <v>2</v>
      </c>
      <c r="C104" s="17">
        <v>1</v>
      </c>
      <c r="D104" s="17" t="s">
        <v>450</v>
      </c>
      <c r="E104" s="17" t="s">
        <v>315</v>
      </c>
      <c r="F104" s="17" t="str">
        <f>TEXT(data[[#This Row],[ShipDate]],"yyyy - mmmm")</f>
        <v>2016 - June</v>
      </c>
      <c r="G104" s="17" t="str">
        <f>data[[#This Row],[OriginCity]] &amp; " - "  &amp; data[[#This Row],[DestinationCity]]</f>
        <v>Grand Rapids - Toledo</v>
      </c>
      <c r="H104" s="17" t="s">
        <v>20</v>
      </c>
      <c r="I104" s="17" t="s">
        <v>21</v>
      </c>
      <c r="J104" s="17">
        <v>10</v>
      </c>
      <c r="K104" s="17" t="s">
        <v>22</v>
      </c>
      <c r="L104" s="17" t="s">
        <v>23</v>
      </c>
      <c r="M104" s="17" t="s">
        <v>613</v>
      </c>
      <c r="N104" s="17">
        <v>619</v>
      </c>
      <c r="O104" s="17">
        <v>446</v>
      </c>
      <c r="P104" s="26">
        <f>(data[[#This Row],[LoadedMiles]]/data[[#This Row],[TotalMiles]])*100</f>
        <v>72.051696284329552</v>
      </c>
      <c r="Q104" s="25">
        <f>data[[#This Row],[ShippingCost]]/data[[#This Row],[TotalMiles]]</f>
        <v>3.7043618739903068</v>
      </c>
      <c r="R104" s="17">
        <v>2293</v>
      </c>
      <c r="S104" s="25">
        <f>data[[#This Row],[Revenue]]/data[[#This Row],[TotalMiles]]</f>
        <v>10.368336025848143</v>
      </c>
      <c r="T104" s="26">
        <f>data[[#This Row],[Revenue]]-data[[#This Row],[ShippingCost]]</f>
        <v>4125</v>
      </c>
      <c r="U104" s="17">
        <v>6418</v>
      </c>
      <c r="V104" s="17">
        <v>54</v>
      </c>
      <c r="W104" s="17" t="s">
        <v>68</v>
      </c>
      <c r="X104" s="17">
        <v>3</v>
      </c>
      <c r="Y104" s="17">
        <f>data[[#This Row],[DeliveryDate]]-data[[#This Row],[ShipDate]]</f>
        <v>10</v>
      </c>
      <c r="Z104" s="17" t="str">
        <f>IF(data[[#This Row],[Actual Delivery Days]]&gt;AD105,"Yes","No")</f>
        <v>Yes</v>
      </c>
    </row>
    <row r="105" spans="1:26">
      <c r="A105" s="17">
        <v>11392</v>
      </c>
      <c r="B105" s="17">
        <v>2</v>
      </c>
      <c r="C105" s="17">
        <v>2</v>
      </c>
      <c r="D105" s="17" t="s">
        <v>486</v>
      </c>
      <c r="E105" s="17" t="s">
        <v>56</v>
      </c>
      <c r="F105" s="17" t="str">
        <f>TEXT(data[[#This Row],[ShipDate]],"yyyy - mmmm")</f>
        <v>2016 - May</v>
      </c>
      <c r="G105" s="17" t="str">
        <f>data[[#This Row],[OriginCity]] &amp; " - "  &amp; data[[#This Row],[DestinationCity]]</f>
        <v>Chicago - Rockford</v>
      </c>
      <c r="H105" s="17" t="s">
        <v>39</v>
      </c>
      <c r="I105" s="17" t="s">
        <v>31</v>
      </c>
      <c r="J105" s="17">
        <v>10</v>
      </c>
      <c r="K105" s="17" t="s">
        <v>40</v>
      </c>
      <c r="L105" s="17" t="s">
        <v>31</v>
      </c>
      <c r="M105" s="17" t="s">
        <v>32</v>
      </c>
      <c r="N105" s="17">
        <v>786</v>
      </c>
      <c r="O105" s="17">
        <v>234</v>
      </c>
      <c r="P105" s="26">
        <f>(data[[#This Row],[LoadedMiles]]/data[[#This Row],[TotalMiles]])*100</f>
        <v>29.770992366412212</v>
      </c>
      <c r="Q105" s="25">
        <f>data[[#This Row],[ShippingCost]]/data[[#This Row],[TotalMiles]]</f>
        <v>3.9923664122137406</v>
      </c>
      <c r="R105" s="17">
        <v>3138</v>
      </c>
      <c r="S105" s="25">
        <f>data[[#This Row],[Revenue]]/data[[#This Row],[TotalMiles]]</f>
        <v>4.9274809160305342</v>
      </c>
      <c r="T105" s="26">
        <f>data[[#This Row],[Revenue]]-data[[#This Row],[ShippingCost]]</f>
        <v>735</v>
      </c>
      <c r="U105" s="17">
        <v>3873</v>
      </c>
      <c r="V105" s="17">
        <v>74</v>
      </c>
      <c r="W105" s="17" t="s">
        <v>68</v>
      </c>
      <c r="X105" s="17">
        <v>5</v>
      </c>
      <c r="Y105" s="17">
        <f>data[[#This Row],[DeliveryDate]]-data[[#This Row],[ShipDate]]</f>
        <v>9</v>
      </c>
      <c r="Z105" s="17" t="str">
        <f>IF(data[[#This Row],[Actual Delivery Days]]&gt;AD106,"Yes","No")</f>
        <v>Yes</v>
      </c>
    </row>
    <row r="106" spans="1:26">
      <c r="A106" s="17">
        <v>11403</v>
      </c>
      <c r="B106" s="17">
        <v>3</v>
      </c>
      <c r="C106" s="17">
        <v>2</v>
      </c>
      <c r="D106" s="17" t="s">
        <v>501</v>
      </c>
      <c r="E106" s="17" t="s">
        <v>492</v>
      </c>
      <c r="F106" s="17" t="str">
        <f>TEXT(data[[#This Row],[ShipDate]],"yyyy - mmmm")</f>
        <v>2016 - July</v>
      </c>
      <c r="G106" s="17" t="str">
        <f>data[[#This Row],[OriginCity]] &amp; " - "  &amp; data[[#This Row],[DestinationCity]]</f>
        <v>Cincinnati - Gary</v>
      </c>
      <c r="H106" s="17" t="s">
        <v>89</v>
      </c>
      <c r="I106" s="17" t="s">
        <v>23</v>
      </c>
      <c r="J106" s="17">
        <v>10</v>
      </c>
      <c r="K106" s="17" t="s">
        <v>57</v>
      </c>
      <c r="L106" s="17" t="s">
        <v>44</v>
      </c>
      <c r="M106" s="17" t="s">
        <v>387</v>
      </c>
      <c r="N106" s="17">
        <v>863</v>
      </c>
      <c r="O106" s="17">
        <v>564</v>
      </c>
      <c r="P106" s="26">
        <f>(data[[#This Row],[LoadedMiles]]/data[[#This Row],[TotalMiles]])*100</f>
        <v>65.35341830822712</v>
      </c>
      <c r="Q106" s="25">
        <f>data[[#This Row],[ShippingCost]]/data[[#This Row],[TotalMiles]]</f>
        <v>6.497103128621089</v>
      </c>
      <c r="R106" s="17">
        <v>5607</v>
      </c>
      <c r="S106" s="25">
        <f>data[[#This Row],[Revenue]]/data[[#This Row],[TotalMiles]]</f>
        <v>7.5538818076477403</v>
      </c>
      <c r="T106" s="26">
        <f>data[[#This Row],[Revenue]]-data[[#This Row],[ShippingCost]]</f>
        <v>912</v>
      </c>
      <c r="U106" s="17">
        <v>6519</v>
      </c>
      <c r="V106" s="17">
        <v>90</v>
      </c>
      <c r="W106" s="17" t="s">
        <v>68</v>
      </c>
      <c r="X106" s="17">
        <v>3</v>
      </c>
      <c r="Y106" s="17">
        <f>data[[#This Row],[DeliveryDate]]-data[[#This Row],[ShipDate]]</f>
        <v>10</v>
      </c>
      <c r="Z106" s="17" t="str">
        <f>IF(data[[#This Row],[Actual Delivery Days]]&gt;AD107,"Yes","No")</f>
        <v>Yes</v>
      </c>
    </row>
    <row r="107" spans="1:26">
      <c r="A107" s="17">
        <v>11446</v>
      </c>
      <c r="B107" s="17">
        <v>2</v>
      </c>
      <c r="C107" s="17">
        <v>6</v>
      </c>
      <c r="D107" s="17" t="s">
        <v>560</v>
      </c>
      <c r="E107" s="17" t="s">
        <v>553</v>
      </c>
      <c r="F107" s="17" t="str">
        <f>TEXT(data[[#This Row],[ShipDate]],"yyyy - mmmm")</f>
        <v>2016 - July</v>
      </c>
      <c r="G107" s="17" t="str">
        <f>data[[#This Row],[OriginCity]] &amp; " - "  &amp; data[[#This Row],[DestinationCity]]</f>
        <v>Cincinnati - Gary</v>
      </c>
      <c r="H107" s="17" t="s">
        <v>89</v>
      </c>
      <c r="I107" s="17" t="s">
        <v>23</v>
      </c>
      <c r="J107" s="17">
        <v>10</v>
      </c>
      <c r="K107" s="17" t="s">
        <v>57</v>
      </c>
      <c r="L107" s="17" t="s">
        <v>44</v>
      </c>
      <c r="M107" s="17" t="s">
        <v>63</v>
      </c>
      <c r="N107" s="17">
        <v>497</v>
      </c>
      <c r="O107" s="17">
        <v>209</v>
      </c>
      <c r="P107" s="26">
        <f>(data[[#This Row],[LoadedMiles]]/data[[#This Row],[TotalMiles]])*100</f>
        <v>42.052313883299796</v>
      </c>
      <c r="Q107" s="25">
        <f>data[[#This Row],[ShippingCost]]/data[[#This Row],[TotalMiles]]</f>
        <v>2.4124748490945676</v>
      </c>
      <c r="R107" s="17">
        <v>1199</v>
      </c>
      <c r="S107" s="25">
        <f>data[[#This Row],[Revenue]]/data[[#This Row],[TotalMiles]]</f>
        <v>4.1931589537223344</v>
      </c>
      <c r="T107" s="26">
        <f>data[[#This Row],[Revenue]]-data[[#This Row],[ShippingCost]]</f>
        <v>885</v>
      </c>
      <c r="U107" s="17">
        <v>2084</v>
      </c>
      <c r="V107" s="17">
        <v>56</v>
      </c>
      <c r="W107" s="17" t="s">
        <v>68</v>
      </c>
      <c r="X107" s="17">
        <v>4</v>
      </c>
      <c r="Y107" s="17">
        <f>data[[#This Row],[DeliveryDate]]-data[[#This Row],[ShipDate]]</f>
        <v>8</v>
      </c>
      <c r="Z107" s="17" t="str">
        <f>IF(data[[#This Row],[Actual Delivery Days]]&gt;AD108,"Yes","No")</f>
        <v>Yes</v>
      </c>
    </row>
    <row r="108" spans="1:26">
      <c r="A108" s="17">
        <v>11458</v>
      </c>
      <c r="B108" s="17">
        <v>3</v>
      </c>
      <c r="C108" s="17">
        <v>5</v>
      </c>
      <c r="D108" s="17" t="s">
        <v>573</v>
      </c>
      <c r="E108" s="17" t="s">
        <v>437</v>
      </c>
      <c r="F108" s="17" t="str">
        <f>TEXT(data[[#This Row],[ShipDate]],"yyyy - mmmm")</f>
        <v>2016 - May</v>
      </c>
      <c r="G108" s="17" t="str">
        <f>data[[#This Row],[OriginCity]] &amp; " - "  &amp; data[[#This Row],[DestinationCity]]</f>
        <v>Chicago - Rockford</v>
      </c>
      <c r="H108" s="17" t="s">
        <v>39</v>
      </c>
      <c r="I108" s="17" t="s">
        <v>31</v>
      </c>
      <c r="J108" s="17">
        <v>10</v>
      </c>
      <c r="K108" s="17" t="s">
        <v>40</v>
      </c>
      <c r="L108" s="17" t="s">
        <v>31</v>
      </c>
      <c r="M108" s="17" t="s">
        <v>315</v>
      </c>
      <c r="N108" s="17">
        <v>896</v>
      </c>
      <c r="O108" s="17">
        <v>320</v>
      </c>
      <c r="P108" s="26">
        <f>(data[[#This Row],[LoadedMiles]]/data[[#This Row],[TotalMiles]])*100</f>
        <v>35.714285714285715</v>
      </c>
      <c r="Q108" s="25">
        <f>data[[#This Row],[ShippingCost]]/data[[#This Row],[TotalMiles]]</f>
        <v>6.2488839285714288</v>
      </c>
      <c r="R108" s="17">
        <v>5599</v>
      </c>
      <c r="S108" s="25">
        <f>data[[#This Row],[Revenue]]/data[[#This Row],[TotalMiles]]</f>
        <v>6.5736607142857144</v>
      </c>
      <c r="T108" s="26">
        <f>data[[#This Row],[Revenue]]-data[[#This Row],[ShippingCost]]</f>
        <v>291</v>
      </c>
      <c r="U108" s="17">
        <v>5890</v>
      </c>
      <c r="V108" s="17">
        <v>88</v>
      </c>
      <c r="W108" s="17" t="s">
        <v>68</v>
      </c>
      <c r="X108" s="17">
        <v>3</v>
      </c>
      <c r="Y108" s="17">
        <f>data[[#This Row],[DeliveryDate]]-data[[#This Row],[ShipDate]]</f>
        <v>10</v>
      </c>
      <c r="Z108" s="17" t="str">
        <f>IF(data[[#This Row],[Actual Delivery Days]]&gt;AD109,"Yes","No")</f>
        <v>Yes</v>
      </c>
    </row>
    <row r="109" spans="1:26">
      <c r="A109" s="17">
        <v>11459</v>
      </c>
      <c r="B109" s="17">
        <v>3</v>
      </c>
      <c r="C109" s="17">
        <v>6</v>
      </c>
      <c r="D109" s="17" t="s">
        <v>575</v>
      </c>
      <c r="E109" s="17" t="s">
        <v>234</v>
      </c>
      <c r="F109" s="17" t="str">
        <f>TEXT(data[[#This Row],[ShipDate]],"yyyy - mmmm")</f>
        <v>2016 - March</v>
      </c>
      <c r="G109" s="17" t="str">
        <f>data[[#This Row],[OriginCity]] &amp; " - "  &amp; data[[#This Row],[DestinationCity]]</f>
        <v>Indianapolis - Northbrook</v>
      </c>
      <c r="H109" s="17" t="s">
        <v>43</v>
      </c>
      <c r="I109" s="17" t="s">
        <v>44</v>
      </c>
      <c r="J109" s="17">
        <v>10</v>
      </c>
      <c r="K109" s="17" t="s">
        <v>45</v>
      </c>
      <c r="L109" s="17" t="s">
        <v>31</v>
      </c>
      <c r="M109" s="17" t="s">
        <v>620</v>
      </c>
      <c r="N109" s="17">
        <v>971</v>
      </c>
      <c r="O109" s="17">
        <v>275</v>
      </c>
      <c r="P109" s="26">
        <f>(data[[#This Row],[LoadedMiles]]/data[[#This Row],[TotalMiles]])*100</f>
        <v>28.321318228630275</v>
      </c>
      <c r="Q109" s="25">
        <f>data[[#This Row],[ShippingCost]]/data[[#This Row],[TotalMiles]]</f>
        <v>1.0226570545829041</v>
      </c>
      <c r="R109" s="17">
        <v>993</v>
      </c>
      <c r="S109" s="25">
        <f>data[[#This Row],[Revenue]]/data[[#This Row],[TotalMiles]]</f>
        <v>1.494335736354274</v>
      </c>
      <c r="T109" s="26">
        <f>data[[#This Row],[Revenue]]-data[[#This Row],[ShippingCost]]</f>
        <v>458</v>
      </c>
      <c r="U109" s="17">
        <v>1451</v>
      </c>
      <c r="V109" s="17">
        <v>51</v>
      </c>
      <c r="W109" s="17" t="s">
        <v>68</v>
      </c>
      <c r="X109" s="17">
        <v>5</v>
      </c>
      <c r="Y109" s="17">
        <f>data[[#This Row],[DeliveryDate]]-data[[#This Row],[ShipDate]]</f>
        <v>10</v>
      </c>
      <c r="Z109" s="17" t="str">
        <f>IF(data[[#This Row],[Actual Delivery Days]]&gt;AD110,"Yes","No")</f>
        <v>Yes</v>
      </c>
    </row>
    <row r="110" spans="1:26">
      <c r="A110" s="17">
        <v>11460</v>
      </c>
      <c r="B110" s="17">
        <v>3</v>
      </c>
      <c r="C110" s="17">
        <v>6</v>
      </c>
      <c r="D110" s="17" t="s">
        <v>576</v>
      </c>
      <c r="E110" s="17" t="s">
        <v>416</v>
      </c>
      <c r="F110" s="17" t="str">
        <f>TEXT(data[[#This Row],[ShipDate]],"yyyy - mmmm")</f>
        <v>2016 - August</v>
      </c>
      <c r="G110" s="17" t="str">
        <f>data[[#This Row],[OriginCity]] &amp; " - "  &amp; data[[#This Row],[DestinationCity]]</f>
        <v>Northbrook - Naperville</v>
      </c>
      <c r="H110" s="17" t="s">
        <v>45</v>
      </c>
      <c r="I110" s="17" t="s">
        <v>31</v>
      </c>
      <c r="J110" s="17">
        <v>10</v>
      </c>
      <c r="K110" s="17" t="s">
        <v>48</v>
      </c>
      <c r="L110" s="17" t="s">
        <v>31</v>
      </c>
      <c r="M110" s="17" t="s">
        <v>82</v>
      </c>
      <c r="N110" s="17">
        <v>209</v>
      </c>
      <c r="O110" s="17">
        <v>209</v>
      </c>
      <c r="P110" s="26">
        <f>(data[[#This Row],[LoadedMiles]]/data[[#This Row],[TotalMiles]])*100</f>
        <v>100</v>
      </c>
      <c r="Q110" s="25">
        <f>data[[#This Row],[ShippingCost]]/data[[#This Row],[TotalMiles]]</f>
        <v>14.339712918660288</v>
      </c>
      <c r="R110" s="17">
        <v>2997</v>
      </c>
      <c r="S110" s="25">
        <f>data[[#This Row],[Revenue]]/data[[#This Row],[TotalMiles]]</f>
        <v>18.650717703349283</v>
      </c>
      <c r="T110" s="26">
        <f>data[[#This Row],[Revenue]]-data[[#This Row],[ShippingCost]]</f>
        <v>901</v>
      </c>
      <c r="U110" s="17">
        <v>3898</v>
      </c>
      <c r="V110" s="17">
        <v>87</v>
      </c>
      <c r="W110" s="17" t="s">
        <v>68</v>
      </c>
      <c r="X110" s="17">
        <v>5</v>
      </c>
      <c r="Y110" s="17">
        <f>data[[#This Row],[DeliveryDate]]-data[[#This Row],[ShipDate]]</f>
        <v>-140</v>
      </c>
      <c r="Z110" s="17" t="str">
        <f>IF(data[[#This Row],[Actual Delivery Days]]&gt;AD111,"Yes","No")</f>
        <v>No</v>
      </c>
    </row>
    <row r="111" spans="1:26">
      <c r="A111" s="17">
        <v>11475</v>
      </c>
      <c r="B111" s="17">
        <v>2</v>
      </c>
      <c r="C111" s="17">
        <v>5</v>
      </c>
      <c r="D111" s="17" t="s">
        <v>595</v>
      </c>
      <c r="E111" s="17" t="s">
        <v>399</v>
      </c>
      <c r="F111" s="17" t="str">
        <f>TEXT(data[[#This Row],[ShipDate]],"yyyy - mmmm")</f>
        <v>2016 - July</v>
      </c>
      <c r="G111" s="17" t="str">
        <f>data[[#This Row],[OriginCity]] &amp; " - "  &amp; data[[#This Row],[DestinationCity]]</f>
        <v>Kalamazoo - Bangor</v>
      </c>
      <c r="H111" s="17" t="s">
        <v>71</v>
      </c>
      <c r="I111" s="17" t="s">
        <v>21</v>
      </c>
      <c r="J111" s="17">
        <v>10</v>
      </c>
      <c r="K111" s="17" t="s">
        <v>104</v>
      </c>
      <c r="L111" s="17" t="s">
        <v>21</v>
      </c>
      <c r="M111" s="17" t="s">
        <v>179</v>
      </c>
      <c r="N111" s="17">
        <v>324</v>
      </c>
      <c r="O111" s="17">
        <v>324</v>
      </c>
      <c r="P111" s="26">
        <f>(data[[#This Row],[LoadedMiles]]/data[[#This Row],[TotalMiles]])*100</f>
        <v>100</v>
      </c>
      <c r="Q111" s="25">
        <f>data[[#This Row],[ShippingCost]]/data[[#This Row],[TotalMiles]]</f>
        <v>4.7901234567901234</v>
      </c>
      <c r="R111" s="17">
        <v>1552</v>
      </c>
      <c r="S111" s="25">
        <f>data[[#This Row],[Revenue]]/data[[#This Row],[TotalMiles]]</f>
        <v>5.7746913580246915</v>
      </c>
      <c r="T111" s="26">
        <f>data[[#This Row],[Revenue]]-data[[#This Row],[ShippingCost]]</f>
        <v>319</v>
      </c>
      <c r="U111" s="17">
        <v>1871</v>
      </c>
      <c r="V111" s="17">
        <v>59</v>
      </c>
      <c r="W111" s="17" t="s">
        <v>68</v>
      </c>
      <c r="X111" s="17">
        <v>10</v>
      </c>
      <c r="Y111" s="17">
        <f>data[[#This Row],[DeliveryDate]]-data[[#This Row],[ShipDate]]</f>
        <v>12</v>
      </c>
      <c r="Z111" s="17" t="str">
        <f>IF(data[[#This Row],[Actual Delivery Days]]&gt;AD112,"Yes","No")</f>
        <v>Yes</v>
      </c>
    </row>
    <row r="112" spans="1:26">
      <c r="A112" s="17">
        <v>11482</v>
      </c>
      <c r="B112" s="17">
        <v>3</v>
      </c>
      <c r="C112" s="17">
        <v>6</v>
      </c>
      <c r="D112" s="17" t="s">
        <v>604</v>
      </c>
      <c r="E112" s="17" t="s">
        <v>236</v>
      </c>
      <c r="F112" s="17" t="str">
        <f>TEXT(data[[#This Row],[ShipDate]],"yyyy - mmmm")</f>
        <v>2016 - January</v>
      </c>
      <c r="G112" s="17" t="str">
        <f>data[[#This Row],[OriginCity]] &amp; " - "  &amp; data[[#This Row],[DestinationCity]]</f>
        <v>Detriot - Monon</v>
      </c>
      <c r="H112" s="17" t="s">
        <v>52</v>
      </c>
      <c r="I112" s="17" t="s">
        <v>21</v>
      </c>
      <c r="J112" s="17">
        <v>10</v>
      </c>
      <c r="K112" s="17" t="s">
        <v>53</v>
      </c>
      <c r="L112" s="17" t="s">
        <v>44</v>
      </c>
      <c r="M112" s="17" t="s">
        <v>309</v>
      </c>
      <c r="N112" s="17">
        <v>984</v>
      </c>
      <c r="O112" s="17">
        <v>267</v>
      </c>
      <c r="P112" s="26">
        <f>(data[[#This Row],[LoadedMiles]]/data[[#This Row],[TotalMiles]])*100</f>
        <v>27.134146341463417</v>
      </c>
      <c r="Q112" s="25">
        <f>data[[#This Row],[ShippingCost]]/data[[#This Row],[TotalMiles]]</f>
        <v>3.7672764227642275</v>
      </c>
      <c r="R112" s="17">
        <v>3707</v>
      </c>
      <c r="S112" s="25">
        <f>data[[#This Row],[Revenue]]/data[[#This Row],[TotalMiles]]</f>
        <v>4.5030487804878048</v>
      </c>
      <c r="T112" s="26">
        <f>data[[#This Row],[Revenue]]-data[[#This Row],[ShippingCost]]</f>
        <v>724</v>
      </c>
      <c r="U112" s="17">
        <v>4431</v>
      </c>
      <c r="V112" s="17">
        <v>97</v>
      </c>
      <c r="W112" s="17" t="s">
        <v>68</v>
      </c>
      <c r="X112" s="17">
        <v>1</v>
      </c>
      <c r="Y112" s="17">
        <f>data[[#This Row],[DeliveryDate]]-data[[#This Row],[ShipDate]]</f>
        <v>7</v>
      </c>
      <c r="Z112" s="17" t="str">
        <f>IF(data[[#This Row],[Actual Delivery Days]]&gt;AD113,"Yes","No")</f>
        <v>Yes</v>
      </c>
    </row>
    <row r="113" spans="1:26">
      <c r="A113" s="17">
        <v>11495</v>
      </c>
      <c r="B113" s="17">
        <v>2</v>
      </c>
      <c r="C113" s="17">
        <v>4</v>
      </c>
      <c r="D113" s="17" t="s">
        <v>77</v>
      </c>
      <c r="E113" s="17" t="s">
        <v>202</v>
      </c>
      <c r="F113" s="17" t="str">
        <f>TEXT(data[[#This Row],[ShipDate]],"yyyy - mmmm")</f>
        <v>2016 - February</v>
      </c>
      <c r="G113" s="17" t="str">
        <f>data[[#This Row],[OriginCity]] &amp; " - "  &amp; data[[#This Row],[DestinationCity]]</f>
        <v>Elgin - Cincinnati</v>
      </c>
      <c r="H113" s="17" t="s">
        <v>94</v>
      </c>
      <c r="I113" s="17" t="s">
        <v>31</v>
      </c>
      <c r="J113" s="17">
        <v>10</v>
      </c>
      <c r="K113" s="17" t="s">
        <v>89</v>
      </c>
      <c r="L113" s="17" t="s">
        <v>23</v>
      </c>
      <c r="M113" s="17" t="s">
        <v>207</v>
      </c>
      <c r="N113" s="17">
        <v>391</v>
      </c>
      <c r="O113" s="17">
        <v>391</v>
      </c>
      <c r="P113" s="26">
        <f>(data[[#This Row],[LoadedMiles]]/data[[#This Row],[TotalMiles]])*100</f>
        <v>100</v>
      </c>
      <c r="Q113" s="25">
        <f>data[[#This Row],[ShippingCost]]/data[[#This Row],[TotalMiles]]</f>
        <v>7.0843989769820972</v>
      </c>
      <c r="R113" s="17">
        <v>2770</v>
      </c>
      <c r="S113" s="25">
        <f>data[[#This Row],[Revenue]]/data[[#This Row],[TotalMiles]]</f>
        <v>2.8925831202046037</v>
      </c>
      <c r="T113" s="26">
        <f>data[[#This Row],[Revenue]]-data[[#This Row],[ShippingCost]]</f>
        <v>-1639</v>
      </c>
      <c r="U113" s="17">
        <v>1131</v>
      </c>
      <c r="V113" s="17">
        <v>83</v>
      </c>
      <c r="W113" s="17" t="s">
        <v>68</v>
      </c>
      <c r="X113" s="17">
        <v>2</v>
      </c>
      <c r="Y113" s="17">
        <f>data[[#This Row],[DeliveryDate]]-data[[#This Row],[ShipDate]]</f>
        <v>11</v>
      </c>
      <c r="Z113" s="17" t="str">
        <f>IF(data[[#This Row],[Actual Delivery Days]]&gt;AD114,"Yes","No")</f>
        <v>Yes</v>
      </c>
    </row>
    <row r="114" spans="1:26">
      <c r="A114" s="17">
        <v>11512</v>
      </c>
      <c r="B114" s="17">
        <v>3</v>
      </c>
      <c r="C114" s="17">
        <v>4</v>
      </c>
      <c r="D114" s="17" t="s">
        <v>134</v>
      </c>
      <c r="E114" s="17" t="s">
        <v>51</v>
      </c>
      <c r="F114" s="17" t="str">
        <f>TEXT(data[[#This Row],[ShipDate]],"yyyy - mmmm")</f>
        <v>2016 - April</v>
      </c>
      <c r="G114" s="17" t="str">
        <f>data[[#This Row],[OriginCity]] &amp; " - "  &amp; data[[#This Row],[DestinationCity]]</f>
        <v>Appleton - Grand Rapids</v>
      </c>
      <c r="H114" s="17" t="s">
        <v>85</v>
      </c>
      <c r="I114" s="17" t="s">
        <v>29</v>
      </c>
      <c r="J114" s="17">
        <v>10</v>
      </c>
      <c r="K114" s="17" t="s">
        <v>20</v>
      </c>
      <c r="L114" s="17" t="s">
        <v>21</v>
      </c>
      <c r="M114" s="17" t="s">
        <v>222</v>
      </c>
      <c r="N114" s="17">
        <v>336</v>
      </c>
      <c r="O114" s="17">
        <v>336</v>
      </c>
      <c r="P114" s="26">
        <f>(data[[#This Row],[LoadedMiles]]/data[[#This Row],[TotalMiles]])*100</f>
        <v>100</v>
      </c>
      <c r="Q114" s="25">
        <f>data[[#This Row],[ShippingCost]]/data[[#This Row],[TotalMiles]]</f>
        <v>20.044642857142858</v>
      </c>
      <c r="R114" s="17">
        <v>6735</v>
      </c>
      <c r="S114" s="25">
        <f>data[[#This Row],[Revenue]]/data[[#This Row],[TotalMiles]]</f>
        <v>13.342261904761905</v>
      </c>
      <c r="T114" s="26">
        <f>data[[#This Row],[Revenue]]-data[[#This Row],[ShippingCost]]</f>
        <v>-2252</v>
      </c>
      <c r="U114" s="17">
        <v>4483</v>
      </c>
      <c r="V114" s="17">
        <v>72</v>
      </c>
      <c r="W114" s="17" t="s">
        <v>68</v>
      </c>
      <c r="X114" s="17">
        <v>5</v>
      </c>
      <c r="Y114" s="17">
        <f>data[[#This Row],[DeliveryDate]]-data[[#This Row],[ShipDate]]</f>
        <v>12</v>
      </c>
      <c r="Z114" s="17" t="str">
        <f>IF(data[[#This Row],[Actual Delivery Days]]&gt;AD115,"Yes","No")</f>
        <v>Yes</v>
      </c>
    </row>
    <row r="115" spans="1:26">
      <c r="A115" s="17">
        <v>11513</v>
      </c>
      <c r="B115" s="17">
        <v>3</v>
      </c>
      <c r="C115" s="17">
        <v>3</v>
      </c>
      <c r="D115" s="17" t="s">
        <v>137</v>
      </c>
      <c r="E115" s="17" t="s">
        <v>415</v>
      </c>
      <c r="F115" s="17" t="str">
        <f>TEXT(data[[#This Row],[ShipDate]],"yyyy - mmmm")</f>
        <v>2016 - August</v>
      </c>
      <c r="G115" s="17" t="str">
        <f>data[[#This Row],[OriginCity]] &amp; " - "  &amp; data[[#This Row],[DestinationCity]]</f>
        <v>Cincinnati - Gary</v>
      </c>
      <c r="H115" s="17" t="s">
        <v>89</v>
      </c>
      <c r="I115" s="17" t="s">
        <v>23</v>
      </c>
      <c r="J115" s="17">
        <v>10</v>
      </c>
      <c r="K115" s="17" t="s">
        <v>57</v>
      </c>
      <c r="L115" s="17" t="s">
        <v>44</v>
      </c>
      <c r="M115" s="17" t="s">
        <v>302</v>
      </c>
      <c r="N115" s="17">
        <v>1101</v>
      </c>
      <c r="O115" s="17">
        <v>738</v>
      </c>
      <c r="P115" s="26">
        <f>(data[[#This Row],[LoadedMiles]]/data[[#This Row],[TotalMiles]])*100</f>
        <v>67.029972752043605</v>
      </c>
      <c r="Q115" s="25">
        <f>data[[#This Row],[ShippingCost]]/data[[#This Row],[TotalMiles]]</f>
        <v>3.6294277929155312</v>
      </c>
      <c r="R115" s="17">
        <v>3996</v>
      </c>
      <c r="S115" s="25">
        <f>data[[#This Row],[Revenue]]/data[[#This Row],[TotalMiles]]</f>
        <v>3.9518619436875566</v>
      </c>
      <c r="T115" s="26">
        <f>data[[#This Row],[Revenue]]-data[[#This Row],[ShippingCost]]</f>
        <v>355</v>
      </c>
      <c r="U115" s="17">
        <v>4351</v>
      </c>
      <c r="V115" s="17">
        <v>56</v>
      </c>
      <c r="W115" s="17" t="s">
        <v>68</v>
      </c>
      <c r="X115" s="17">
        <v>4</v>
      </c>
      <c r="Y115" s="17">
        <f>data[[#This Row],[DeliveryDate]]-data[[#This Row],[ShipDate]]</f>
        <v>12</v>
      </c>
      <c r="Z115" s="17" t="str">
        <f>IF(data[[#This Row],[Actual Delivery Days]]&gt;AD116,"Yes","No")</f>
        <v>Yes</v>
      </c>
    </row>
    <row r="116" spans="1:26">
      <c r="A116" s="17">
        <v>11520</v>
      </c>
      <c r="B116" s="17">
        <v>3</v>
      </c>
      <c r="C116" s="17">
        <v>4</v>
      </c>
      <c r="D116" s="17" t="s">
        <v>157</v>
      </c>
      <c r="E116" s="17" t="s">
        <v>60</v>
      </c>
      <c r="F116" s="17" t="str">
        <f>TEXT(data[[#This Row],[ShipDate]],"yyyy - mmmm")</f>
        <v>2016 - July</v>
      </c>
      <c r="G116" s="17" t="str">
        <f>data[[#This Row],[OriginCity]] &amp; " - "  &amp; data[[#This Row],[DestinationCity]]</f>
        <v>Kalamazoo - Bangor</v>
      </c>
      <c r="H116" s="17" t="s">
        <v>71</v>
      </c>
      <c r="I116" s="17" t="s">
        <v>21</v>
      </c>
      <c r="J116" s="17">
        <v>10</v>
      </c>
      <c r="K116" s="17" t="s">
        <v>104</v>
      </c>
      <c r="L116" s="17" t="s">
        <v>21</v>
      </c>
      <c r="M116" s="17" t="s">
        <v>405</v>
      </c>
      <c r="N116" s="17">
        <v>1036</v>
      </c>
      <c r="O116" s="17">
        <v>614</v>
      </c>
      <c r="P116" s="26">
        <f>(data[[#This Row],[LoadedMiles]]/data[[#This Row],[TotalMiles]])*100</f>
        <v>59.266409266409269</v>
      </c>
      <c r="Q116" s="25">
        <f>data[[#This Row],[ShippingCost]]/data[[#This Row],[TotalMiles]]</f>
        <v>4.2934362934362937</v>
      </c>
      <c r="R116" s="17">
        <v>4448</v>
      </c>
      <c r="S116" s="25">
        <f>data[[#This Row],[Revenue]]/data[[#This Row],[TotalMiles]]</f>
        <v>2.4044401544401546</v>
      </c>
      <c r="T116" s="26">
        <f>data[[#This Row],[Revenue]]-data[[#This Row],[ShippingCost]]</f>
        <v>-1957</v>
      </c>
      <c r="U116" s="17">
        <v>2491</v>
      </c>
      <c r="V116" s="17">
        <v>64</v>
      </c>
      <c r="W116" s="17" t="s">
        <v>68</v>
      </c>
      <c r="X116" s="17">
        <v>10</v>
      </c>
      <c r="Y116" s="17">
        <f>data[[#This Row],[DeliveryDate]]-data[[#This Row],[ShipDate]]</f>
        <v>9</v>
      </c>
      <c r="Z116" s="17" t="str">
        <f>IF(data[[#This Row],[Actual Delivery Days]]&gt;AD117,"Yes","No")</f>
        <v>Yes</v>
      </c>
    </row>
    <row r="117" spans="1:26">
      <c r="A117" s="17">
        <v>11532</v>
      </c>
      <c r="B117" s="17">
        <v>2</v>
      </c>
      <c r="C117" s="17">
        <v>3</v>
      </c>
      <c r="D117" s="17" t="s">
        <v>185</v>
      </c>
      <c r="E117" s="17" t="s">
        <v>363</v>
      </c>
      <c r="F117" s="17" t="str">
        <f>TEXT(data[[#This Row],[ShipDate]],"yyyy - mmmm")</f>
        <v>2016 - February</v>
      </c>
      <c r="G117" s="17" t="str">
        <f>data[[#This Row],[OriginCity]] &amp; " - "  &amp; data[[#This Row],[DestinationCity]]</f>
        <v>Madison - Kalamazoo</v>
      </c>
      <c r="H117" s="17" t="s">
        <v>62</v>
      </c>
      <c r="I117" s="17" t="s">
        <v>29</v>
      </c>
      <c r="J117" s="17">
        <v>10</v>
      </c>
      <c r="K117" s="17" t="s">
        <v>71</v>
      </c>
      <c r="L117" s="17" t="s">
        <v>21</v>
      </c>
      <c r="M117" s="17" t="s">
        <v>74</v>
      </c>
      <c r="N117" s="17">
        <v>754</v>
      </c>
      <c r="O117" s="17">
        <v>752</v>
      </c>
      <c r="P117" s="26">
        <f>(data[[#This Row],[LoadedMiles]]/data[[#This Row],[TotalMiles]])*100</f>
        <v>99.734748010610076</v>
      </c>
      <c r="Q117" s="25">
        <f>data[[#This Row],[ShippingCost]]/data[[#This Row],[TotalMiles]]</f>
        <v>0.53580901856763929</v>
      </c>
      <c r="R117" s="17">
        <v>404</v>
      </c>
      <c r="S117" s="25">
        <f>data[[#This Row],[Revenue]]/data[[#This Row],[TotalMiles]]</f>
        <v>0.74137931034482762</v>
      </c>
      <c r="T117" s="26">
        <f>data[[#This Row],[Revenue]]-data[[#This Row],[ShippingCost]]</f>
        <v>155</v>
      </c>
      <c r="U117" s="17">
        <v>559</v>
      </c>
      <c r="V117" s="17">
        <v>59</v>
      </c>
      <c r="W117" s="17" t="s">
        <v>68</v>
      </c>
      <c r="X117" s="17">
        <v>7</v>
      </c>
      <c r="Y117" s="17">
        <f>data[[#This Row],[DeliveryDate]]-data[[#This Row],[ShipDate]]</f>
        <v>13</v>
      </c>
      <c r="Z117" s="17" t="str">
        <f>IF(data[[#This Row],[Actual Delivery Days]]&gt;AD118,"Yes","No")</f>
        <v>Yes</v>
      </c>
    </row>
    <row r="118" spans="1:26">
      <c r="A118" s="17">
        <v>11541</v>
      </c>
      <c r="B118" s="17">
        <v>2</v>
      </c>
      <c r="C118" s="17">
        <v>5</v>
      </c>
      <c r="D118" s="17" t="s">
        <v>205</v>
      </c>
      <c r="E118" s="17" t="s">
        <v>141</v>
      </c>
      <c r="F118" s="17" t="str">
        <f>TEXT(data[[#This Row],[ShipDate]],"yyyy - mmmm")</f>
        <v>2016 - August</v>
      </c>
      <c r="G118" s="17" t="str">
        <f>data[[#This Row],[OriginCity]] &amp; " - "  &amp; data[[#This Row],[DestinationCity]]</f>
        <v>Bangor - Davenport</v>
      </c>
      <c r="H118" s="17" t="s">
        <v>104</v>
      </c>
      <c r="I118" s="17" t="s">
        <v>21</v>
      </c>
      <c r="J118" s="17">
        <v>10</v>
      </c>
      <c r="K118" s="17" t="s">
        <v>105</v>
      </c>
      <c r="L118" s="17" t="s">
        <v>106</v>
      </c>
      <c r="M118" s="17" t="s">
        <v>142</v>
      </c>
      <c r="N118" s="17">
        <v>707</v>
      </c>
      <c r="O118" s="17">
        <v>563</v>
      </c>
      <c r="P118" s="26">
        <f>(data[[#This Row],[LoadedMiles]]/data[[#This Row],[TotalMiles]])*100</f>
        <v>79.632248939179632</v>
      </c>
      <c r="Q118" s="25">
        <f>data[[#This Row],[ShippingCost]]/data[[#This Row],[TotalMiles]]</f>
        <v>6.9533239038189532</v>
      </c>
      <c r="R118" s="17">
        <v>4916</v>
      </c>
      <c r="S118" s="25">
        <f>data[[#This Row],[Revenue]]/data[[#This Row],[TotalMiles]]</f>
        <v>7.2998585572843</v>
      </c>
      <c r="T118" s="26">
        <f>data[[#This Row],[Revenue]]-data[[#This Row],[ShippingCost]]</f>
        <v>245</v>
      </c>
      <c r="U118" s="17">
        <v>5161</v>
      </c>
      <c r="V118" s="17">
        <v>64</v>
      </c>
      <c r="W118" s="17" t="s">
        <v>68</v>
      </c>
      <c r="X118" s="17">
        <v>4</v>
      </c>
      <c r="Y118" s="17">
        <f>data[[#This Row],[DeliveryDate]]-data[[#This Row],[ShipDate]]</f>
        <v>7</v>
      </c>
      <c r="Z118" s="17" t="str">
        <f>IF(data[[#This Row],[Actual Delivery Days]]&gt;AD119,"Yes","No")</f>
        <v>Yes</v>
      </c>
    </row>
    <row r="119" spans="1:26">
      <c r="A119" s="17">
        <v>11559</v>
      </c>
      <c r="B119" s="17">
        <v>2</v>
      </c>
      <c r="C119" s="17">
        <v>6</v>
      </c>
      <c r="D119" s="17" t="s">
        <v>249</v>
      </c>
      <c r="E119" s="17" t="s">
        <v>387</v>
      </c>
      <c r="F119" s="17" t="str">
        <f>TEXT(data[[#This Row],[ShipDate]],"yyyy - mmmm")</f>
        <v>2016 - August</v>
      </c>
      <c r="G119" s="17" t="str">
        <f>data[[#This Row],[OriginCity]] &amp; " - "  &amp; data[[#This Row],[DestinationCity]]</f>
        <v>Cincinnati - Gary</v>
      </c>
      <c r="H119" s="17" t="s">
        <v>89</v>
      </c>
      <c r="I119" s="17" t="s">
        <v>23</v>
      </c>
      <c r="J119" s="17">
        <v>10</v>
      </c>
      <c r="K119" s="17" t="s">
        <v>57</v>
      </c>
      <c r="L119" s="17" t="s">
        <v>44</v>
      </c>
      <c r="M119" s="17" t="s">
        <v>214</v>
      </c>
      <c r="N119" s="17">
        <v>455</v>
      </c>
      <c r="O119" s="17">
        <v>206</v>
      </c>
      <c r="P119" s="26">
        <f>(data[[#This Row],[LoadedMiles]]/data[[#This Row],[TotalMiles]])*100</f>
        <v>45.274725274725277</v>
      </c>
      <c r="Q119" s="25">
        <f>data[[#This Row],[ShippingCost]]/data[[#This Row],[TotalMiles]]</f>
        <v>14.782417582417583</v>
      </c>
      <c r="R119" s="17">
        <v>6726</v>
      </c>
      <c r="S119" s="25">
        <f>data[[#This Row],[Revenue]]/data[[#This Row],[TotalMiles]]</f>
        <v>15.843956043956045</v>
      </c>
      <c r="T119" s="26">
        <f>data[[#This Row],[Revenue]]-data[[#This Row],[ShippingCost]]</f>
        <v>483</v>
      </c>
      <c r="U119" s="17">
        <v>7209</v>
      </c>
      <c r="V119" s="17">
        <v>65</v>
      </c>
      <c r="W119" s="17" t="s">
        <v>68</v>
      </c>
      <c r="X119" s="17">
        <v>10</v>
      </c>
      <c r="Y119" s="17">
        <f>data[[#This Row],[DeliveryDate]]-data[[#This Row],[ShipDate]]</f>
        <v>7</v>
      </c>
      <c r="Z119" s="17" t="str">
        <f>IF(data[[#This Row],[Actual Delivery Days]]&gt;AD120,"Yes","No")</f>
        <v>Yes</v>
      </c>
    </row>
    <row r="120" spans="1:26">
      <c r="A120" s="17">
        <v>11586</v>
      </c>
      <c r="B120" s="17">
        <v>3</v>
      </c>
      <c r="C120" s="17">
        <v>4</v>
      </c>
      <c r="D120" s="17" t="s">
        <v>308</v>
      </c>
      <c r="E120" s="17" t="s">
        <v>387</v>
      </c>
      <c r="F120" s="17" t="str">
        <f>TEXT(data[[#This Row],[ShipDate]],"yyyy - mmmm")</f>
        <v>2016 - August</v>
      </c>
      <c r="G120" s="17" t="str">
        <f>data[[#This Row],[OriginCity]] &amp; " - "  &amp; data[[#This Row],[DestinationCity]]</f>
        <v>Kalamazoo - Bangor</v>
      </c>
      <c r="H120" s="17" t="s">
        <v>71</v>
      </c>
      <c r="I120" s="17" t="s">
        <v>21</v>
      </c>
      <c r="J120" s="17">
        <v>10</v>
      </c>
      <c r="K120" s="17" t="s">
        <v>104</v>
      </c>
      <c r="L120" s="17" t="s">
        <v>21</v>
      </c>
      <c r="M120" s="17" t="s">
        <v>118</v>
      </c>
      <c r="N120" s="17">
        <v>225</v>
      </c>
      <c r="O120" s="17">
        <v>225</v>
      </c>
      <c r="P120" s="26">
        <f>(data[[#This Row],[LoadedMiles]]/data[[#This Row],[TotalMiles]])*100</f>
        <v>100</v>
      </c>
      <c r="Q120" s="25">
        <f>data[[#This Row],[ShippingCost]]/data[[#This Row],[TotalMiles]]</f>
        <v>31.995555555555555</v>
      </c>
      <c r="R120" s="17">
        <v>7199</v>
      </c>
      <c r="S120" s="25">
        <f>data[[#This Row],[Revenue]]/data[[#This Row],[TotalMiles]]</f>
        <v>19.493333333333332</v>
      </c>
      <c r="T120" s="26">
        <f>data[[#This Row],[Revenue]]-data[[#This Row],[ShippingCost]]</f>
        <v>-2813</v>
      </c>
      <c r="U120" s="17">
        <v>4386</v>
      </c>
      <c r="V120" s="17">
        <v>66</v>
      </c>
      <c r="W120" s="17" t="s">
        <v>68</v>
      </c>
      <c r="X120" s="17">
        <v>10</v>
      </c>
      <c r="Y120" s="17">
        <f>data[[#This Row],[DeliveryDate]]-data[[#This Row],[ShipDate]]</f>
        <v>13</v>
      </c>
      <c r="Z120" s="17" t="str">
        <f>IF(data[[#This Row],[Actual Delivery Days]]&gt;AD121,"Yes","No")</f>
        <v>Yes</v>
      </c>
    </row>
    <row r="121" spans="1:26">
      <c r="A121" s="17">
        <v>11623</v>
      </c>
      <c r="B121" s="17">
        <v>2</v>
      </c>
      <c r="C121" s="17">
        <v>5</v>
      </c>
      <c r="D121" s="17" t="s">
        <v>377</v>
      </c>
      <c r="E121" s="17" t="s">
        <v>207</v>
      </c>
      <c r="F121" s="17" t="str">
        <f>TEXT(data[[#This Row],[ShipDate]],"yyyy - mmmm")</f>
        <v>2016 - March</v>
      </c>
      <c r="G121" s="17" t="str">
        <f>data[[#This Row],[OriginCity]] &amp; " - "  &amp; data[[#This Row],[DestinationCity]]</f>
        <v>Toledo - Detriot</v>
      </c>
      <c r="H121" s="17" t="s">
        <v>22</v>
      </c>
      <c r="I121" s="17" t="s">
        <v>23</v>
      </c>
      <c r="J121" s="17">
        <v>10</v>
      </c>
      <c r="K121" s="17" t="s">
        <v>52</v>
      </c>
      <c r="L121" s="17" t="s">
        <v>21</v>
      </c>
      <c r="M121" s="17" t="s">
        <v>82</v>
      </c>
      <c r="N121" s="17">
        <v>824</v>
      </c>
      <c r="O121" s="17">
        <v>545</v>
      </c>
      <c r="P121" s="26">
        <f>(data[[#This Row],[LoadedMiles]]/data[[#This Row],[TotalMiles]])*100</f>
        <v>66.140776699029118</v>
      </c>
      <c r="Q121" s="25">
        <f>data[[#This Row],[ShippingCost]]/data[[#This Row],[TotalMiles]]</f>
        <v>9.4720873786407775</v>
      </c>
      <c r="R121" s="17">
        <v>7805</v>
      </c>
      <c r="S121" s="25">
        <f>data[[#This Row],[Revenue]]/data[[#This Row],[TotalMiles]]</f>
        <v>10.452669902912621</v>
      </c>
      <c r="T121" s="26">
        <f>data[[#This Row],[Revenue]]-data[[#This Row],[ShippingCost]]</f>
        <v>808</v>
      </c>
      <c r="U121" s="17">
        <v>8613</v>
      </c>
      <c r="V121" s="17">
        <v>76</v>
      </c>
      <c r="W121" s="17" t="s">
        <v>68</v>
      </c>
      <c r="X121" s="17">
        <v>2</v>
      </c>
      <c r="Y121" s="17">
        <f>data[[#This Row],[DeliveryDate]]-data[[#This Row],[ShipDate]]</f>
        <v>15</v>
      </c>
      <c r="Z121" s="17" t="str">
        <f>IF(data[[#This Row],[Actual Delivery Days]]&gt;AD122,"Yes","No")</f>
        <v>Yes</v>
      </c>
    </row>
    <row r="122" spans="1:26">
      <c r="A122" s="17">
        <v>11641</v>
      </c>
      <c r="B122" s="17">
        <v>3</v>
      </c>
      <c r="C122" s="17">
        <v>2</v>
      </c>
      <c r="D122" s="17" t="s">
        <v>406</v>
      </c>
      <c r="E122" s="17" t="s">
        <v>130</v>
      </c>
      <c r="F122" s="17" t="str">
        <f>TEXT(data[[#This Row],[ShipDate]],"yyyy - mmmm")</f>
        <v>2016 - March</v>
      </c>
      <c r="G122" s="17" t="str">
        <f>data[[#This Row],[OriginCity]] &amp; " - "  &amp; data[[#This Row],[DestinationCity]]</f>
        <v>Naperville - Indianapolis</v>
      </c>
      <c r="H122" s="17" t="s">
        <v>48</v>
      </c>
      <c r="I122" s="17" t="s">
        <v>31</v>
      </c>
      <c r="J122" s="17">
        <v>10</v>
      </c>
      <c r="K122" s="17" t="s">
        <v>43</v>
      </c>
      <c r="L122" s="17" t="s">
        <v>44</v>
      </c>
      <c r="M122" s="17" t="s">
        <v>253</v>
      </c>
      <c r="N122" s="17">
        <v>601</v>
      </c>
      <c r="O122" s="17">
        <v>365</v>
      </c>
      <c r="P122" s="26">
        <f>(data[[#This Row],[LoadedMiles]]/data[[#This Row],[TotalMiles]])*100</f>
        <v>60.732113144758735</v>
      </c>
      <c r="Q122" s="25">
        <f>data[[#This Row],[ShippingCost]]/data[[#This Row],[TotalMiles]]</f>
        <v>1.3361064891846921</v>
      </c>
      <c r="R122" s="17">
        <v>803</v>
      </c>
      <c r="S122" s="25">
        <f>data[[#This Row],[Revenue]]/data[[#This Row],[TotalMiles]]</f>
        <v>2.9367720465890184</v>
      </c>
      <c r="T122" s="26">
        <f>data[[#This Row],[Revenue]]-data[[#This Row],[ShippingCost]]</f>
        <v>962</v>
      </c>
      <c r="U122" s="17">
        <v>1765</v>
      </c>
      <c r="V122" s="17">
        <v>50</v>
      </c>
      <c r="W122" s="17" t="s">
        <v>68</v>
      </c>
      <c r="X122" s="17">
        <v>4</v>
      </c>
      <c r="Y122" s="17">
        <f>data[[#This Row],[DeliveryDate]]-data[[#This Row],[ShipDate]]</f>
        <v>10</v>
      </c>
      <c r="Z122" s="17" t="str">
        <f>IF(data[[#This Row],[Actual Delivery Days]]&gt;AD123,"Yes","No")</f>
        <v>Yes</v>
      </c>
    </row>
    <row r="123" spans="1:26">
      <c r="A123" s="17">
        <v>11648</v>
      </c>
      <c r="B123" s="17">
        <v>3</v>
      </c>
      <c r="C123" s="17">
        <v>1</v>
      </c>
      <c r="D123" s="17" t="s">
        <v>419</v>
      </c>
      <c r="E123" s="17" t="s">
        <v>186</v>
      </c>
      <c r="F123" s="17" t="str">
        <f>TEXT(data[[#This Row],[ShipDate]],"yyyy - mmmm")</f>
        <v>2016 - April</v>
      </c>
      <c r="G123" s="17" t="str">
        <f>data[[#This Row],[OriginCity]] &amp; " - "  &amp; data[[#This Row],[DestinationCity]]</f>
        <v>Bangor - Davenport</v>
      </c>
      <c r="H123" s="17" t="s">
        <v>104</v>
      </c>
      <c r="I123" s="17" t="s">
        <v>21</v>
      </c>
      <c r="J123" s="17">
        <v>10</v>
      </c>
      <c r="K123" s="17" t="s">
        <v>105</v>
      </c>
      <c r="L123" s="17" t="s">
        <v>106</v>
      </c>
      <c r="M123" s="17" t="s">
        <v>160</v>
      </c>
      <c r="N123" s="17">
        <v>497</v>
      </c>
      <c r="O123" s="17">
        <v>216</v>
      </c>
      <c r="P123" s="26">
        <f>(data[[#This Row],[LoadedMiles]]/data[[#This Row],[TotalMiles]])*100</f>
        <v>43.460764587525155</v>
      </c>
      <c r="Q123" s="25">
        <f>data[[#This Row],[ShippingCost]]/data[[#This Row],[TotalMiles]]</f>
        <v>16.08651911468813</v>
      </c>
      <c r="R123" s="17">
        <v>7995</v>
      </c>
      <c r="S123" s="25">
        <f>data[[#This Row],[Revenue]]/data[[#This Row],[TotalMiles]]</f>
        <v>23.197183098591548</v>
      </c>
      <c r="T123" s="26">
        <f>data[[#This Row],[Revenue]]-data[[#This Row],[ShippingCost]]</f>
        <v>3534</v>
      </c>
      <c r="U123" s="17">
        <v>11529</v>
      </c>
      <c r="V123" s="17">
        <v>63</v>
      </c>
      <c r="W123" s="17" t="s">
        <v>68</v>
      </c>
      <c r="X123" s="17">
        <v>9</v>
      </c>
      <c r="Y123" s="17">
        <f>data[[#This Row],[DeliveryDate]]-data[[#This Row],[ShipDate]]</f>
        <v>7</v>
      </c>
      <c r="Z123" s="17" t="str">
        <f>IF(data[[#This Row],[Actual Delivery Days]]&gt;AD124,"Yes","No")</f>
        <v>Yes</v>
      </c>
    </row>
    <row r="124" spans="1:26">
      <c r="A124" s="17">
        <v>11655</v>
      </c>
      <c r="B124" s="17">
        <v>2</v>
      </c>
      <c r="C124" s="17">
        <v>5</v>
      </c>
      <c r="D124" s="17" t="s">
        <v>433</v>
      </c>
      <c r="E124" s="17" t="s">
        <v>337</v>
      </c>
      <c r="F124" s="17" t="str">
        <f>TEXT(data[[#This Row],[ShipDate]],"yyyy - mmmm")</f>
        <v>2016 - March</v>
      </c>
      <c r="G124" s="17" t="str">
        <f>data[[#This Row],[OriginCity]] &amp; " - "  &amp; data[[#This Row],[DestinationCity]]</f>
        <v>Northbrook - Naperville</v>
      </c>
      <c r="H124" s="17" t="s">
        <v>45</v>
      </c>
      <c r="I124" s="17" t="s">
        <v>31</v>
      </c>
      <c r="J124" s="17">
        <v>10</v>
      </c>
      <c r="K124" s="17" t="s">
        <v>48</v>
      </c>
      <c r="L124" s="17" t="s">
        <v>31</v>
      </c>
      <c r="M124" s="17" t="s">
        <v>200</v>
      </c>
      <c r="N124" s="17">
        <v>660</v>
      </c>
      <c r="O124" s="17">
        <v>660</v>
      </c>
      <c r="P124" s="26">
        <f>(data[[#This Row],[LoadedMiles]]/data[[#This Row],[TotalMiles]])*100</f>
        <v>100</v>
      </c>
      <c r="Q124" s="25">
        <f>data[[#This Row],[ShippingCost]]/data[[#This Row],[TotalMiles]]</f>
        <v>5.4196969696969699</v>
      </c>
      <c r="R124" s="17">
        <v>3577</v>
      </c>
      <c r="S124" s="25">
        <f>data[[#This Row],[Revenue]]/data[[#This Row],[TotalMiles]]</f>
        <v>6.7121212121212119</v>
      </c>
      <c r="T124" s="26">
        <f>data[[#This Row],[Revenue]]-data[[#This Row],[ShippingCost]]</f>
        <v>853</v>
      </c>
      <c r="U124" s="17">
        <v>4430</v>
      </c>
      <c r="V124" s="17">
        <v>78</v>
      </c>
      <c r="W124" s="17" t="s">
        <v>68</v>
      </c>
      <c r="X124" s="17">
        <v>7</v>
      </c>
      <c r="Y124" s="17">
        <f>data[[#This Row],[DeliveryDate]]-data[[#This Row],[ShipDate]]</f>
        <v>10</v>
      </c>
      <c r="Z124" s="17" t="str">
        <f>IF(data[[#This Row],[Actual Delivery Days]]&gt;AD125,"Yes","No")</f>
        <v>Yes</v>
      </c>
    </row>
    <row r="125" spans="1:26">
      <c r="A125" s="17">
        <v>11672</v>
      </c>
      <c r="B125" s="17">
        <v>3</v>
      </c>
      <c r="C125" s="17">
        <v>5</v>
      </c>
      <c r="D125" s="17" t="s">
        <v>463</v>
      </c>
      <c r="E125" s="17" t="s">
        <v>620</v>
      </c>
      <c r="F125" s="17" t="str">
        <f>TEXT(data[[#This Row],[ShipDate]],"yyyy - mmmm")</f>
        <v>2016 - April</v>
      </c>
      <c r="G125" s="17" t="str">
        <f>data[[#This Row],[OriginCity]] &amp; " - "  &amp; data[[#This Row],[DestinationCity]]</f>
        <v>Milwaukee - Springfield</v>
      </c>
      <c r="H125" s="17" t="s">
        <v>28</v>
      </c>
      <c r="I125" s="17" t="s">
        <v>29</v>
      </c>
      <c r="J125" s="17">
        <v>10</v>
      </c>
      <c r="K125" s="17" t="s">
        <v>30</v>
      </c>
      <c r="L125" s="17" t="s">
        <v>31</v>
      </c>
      <c r="M125" s="17" t="s">
        <v>170</v>
      </c>
      <c r="N125" s="17">
        <v>474</v>
      </c>
      <c r="O125" s="17">
        <v>474</v>
      </c>
      <c r="P125" s="26">
        <f>(data[[#This Row],[LoadedMiles]]/data[[#This Row],[TotalMiles]])*100</f>
        <v>100</v>
      </c>
      <c r="Q125" s="25">
        <f>data[[#This Row],[ShippingCost]]/data[[#This Row],[TotalMiles]]</f>
        <v>8.0506329113924053</v>
      </c>
      <c r="R125" s="17">
        <v>3816</v>
      </c>
      <c r="S125" s="25">
        <f>data[[#This Row],[Revenue]]/data[[#This Row],[TotalMiles]]</f>
        <v>8.9599156118143455</v>
      </c>
      <c r="T125" s="26">
        <f>data[[#This Row],[Revenue]]-data[[#This Row],[ShippingCost]]</f>
        <v>431</v>
      </c>
      <c r="U125" s="17">
        <v>4247</v>
      </c>
      <c r="V125" s="17">
        <v>57</v>
      </c>
      <c r="W125" s="17" t="s">
        <v>68</v>
      </c>
      <c r="X125" s="17">
        <v>8</v>
      </c>
      <c r="Y125" s="17">
        <f>data[[#This Row],[DeliveryDate]]-data[[#This Row],[ShipDate]]</f>
        <v>10</v>
      </c>
      <c r="Z125" s="17" t="str">
        <f>IF(data[[#This Row],[Actual Delivery Days]]&gt;AD126,"Yes","No")</f>
        <v>Yes</v>
      </c>
    </row>
    <row r="126" spans="1:26">
      <c r="A126" s="17">
        <v>11691</v>
      </c>
      <c r="B126" s="17">
        <v>2</v>
      </c>
      <c r="C126" s="17">
        <v>6</v>
      </c>
      <c r="D126" s="17" t="s">
        <v>493</v>
      </c>
      <c r="E126" s="17" t="s">
        <v>248</v>
      </c>
      <c r="F126" s="17" t="str">
        <f>TEXT(data[[#This Row],[ShipDate]],"yyyy - mmmm")</f>
        <v>2016 - May</v>
      </c>
      <c r="G126" s="17" t="str">
        <f>data[[#This Row],[OriginCity]] &amp; " - "  &amp; data[[#This Row],[DestinationCity]]</f>
        <v>Milwaukee - Springfield</v>
      </c>
      <c r="H126" s="17" t="s">
        <v>28</v>
      </c>
      <c r="I126" s="17" t="s">
        <v>29</v>
      </c>
      <c r="J126" s="17">
        <v>10</v>
      </c>
      <c r="K126" s="17" t="s">
        <v>30</v>
      </c>
      <c r="L126" s="17" t="s">
        <v>31</v>
      </c>
      <c r="M126" s="17" t="s">
        <v>82</v>
      </c>
      <c r="N126" s="17">
        <v>613</v>
      </c>
      <c r="O126" s="17">
        <v>312</v>
      </c>
      <c r="P126" s="26">
        <f>(data[[#This Row],[LoadedMiles]]/data[[#This Row],[TotalMiles]])*100</f>
        <v>50.897226753670481</v>
      </c>
      <c r="Q126" s="25">
        <f>data[[#This Row],[ShippingCost]]/data[[#This Row],[TotalMiles]]</f>
        <v>12.732463295269168</v>
      </c>
      <c r="R126" s="17">
        <v>7805</v>
      </c>
      <c r="S126" s="25">
        <f>data[[#This Row],[Revenue]]/data[[#This Row],[TotalMiles]]</f>
        <v>13.367047308319739</v>
      </c>
      <c r="T126" s="26">
        <f>data[[#This Row],[Revenue]]-data[[#This Row],[ShippingCost]]</f>
        <v>389</v>
      </c>
      <c r="U126" s="17">
        <v>8194</v>
      </c>
      <c r="V126" s="17">
        <v>86</v>
      </c>
      <c r="W126" s="17" t="s">
        <v>68</v>
      </c>
      <c r="X126" s="17">
        <v>1</v>
      </c>
      <c r="Y126" s="17">
        <f>data[[#This Row],[DeliveryDate]]-data[[#This Row],[ShipDate]]</f>
        <v>-53</v>
      </c>
      <c r="Z126" s="17" t="str">
        <f>IF(data[[#This Row],[Actual Delivery Days]]&gt;AD127,"Yes","No")</f>
        <v>No</v>
      </c>
    </row>
    <row r="127" spans="1:26">
      <c r="A127" s="17">
        <v>11706</v>
      </c>
      <c r="B127" s="17">
        <v>2</v>
      </c>
      <c r="C127" s="17">
        <v>4</v>
      </c>
      <c r="D127" s="17" t="s">
        <v>512</v>
      </c>
      <c r="E127" s="17" t="s">
        <v>387</v>
      </c>
      <c r="F127" s="17" t="str">
        <f>TEXT(data[[#This Row],[ShipDate]],"yyyy - mmmm")</f>
        <v>2016 - August</v>
      </c>
      <c r="G127" s="17" t="str">
        <f>data[[#This Row],[OriginCity]] &amp; " - "  &amp; data[[#This Row],[DestinationCity]]</f>
        <v>Toledo - Detriot</v>
      </c>
      <c r="H127" s="17" t="s">
        <v>22</v>
      </c>
      <c r="I127" s="17" t="s">
        <v>23</v>
      </c>
      <c r="J127" s="17">
        <v>10</v>
      </c>
      <c r="K127" s="17" t="s">
        <v>52</v>
      </c>
      <c r="L127" s="17" t="s">
        <v>21</v>
      </c>
      <c r="M127" s="17" t="s">
        <v>302</v>
      </c>
      <c r="N127" s="17">
        <v>518</v>
      </c>
      <c r="O127" s="17">
        <v>518</v>
      </c>
      <c r="P127" s="26">
        <f>(data[[#This Row],[LoadedMiles]]/data[[#This Row],[TotalMiles]])*100</f>
        <v>100</v>
      </c>
      <c r="Q127" s="25">
        <f>data[[#This Row],[ShippingCost]]/data[[#This Row],[TotalMiles]]</f>
        <v>4.9478764478764479</v>
      </c>
      <c r="R127" s="17">
        <v>2563</v>
      </c>
      <c r="S127" s="25">
        <f>data[[#This Row],[Revenue]]/data[[#This Row],[TotalMiles]]</f>
        <v>2.2220077220077221</v>
      </c>
      <c r="T127" s="26">
        <f>data[[#This Row],[Revenue]]-data[[#This Row],[ShippingCost]]</f>
        <v>-1412</v>
      </c>
      <c r="U127" s="17">
        <v>1151</v>
      </c>
      <c r="V127" s="17">
        <v>82</v>
      </c>
      <c r="W127" s="17" t="s">
        <v>68</v>
      </c>
      <c r="X127" s="17">
        <v>7</v>
      </c>
      <c r="Y127" s="17">
        <f>data[[#This Row],[DeliveryDate]]-data[[#This Row],[ShipDate]]</f>
        <v>10</v>
      </c>
      <c r="Z127" s="17" t="str">
        <f>IF(data[[#This Row],[Actual Delivery Days]]&gt;AD128,"Yes","No")</f>
        <v>Yes</v>
      </c>
    </row>
    <row r="128" spans="1:26">
      <c r="A128" s="17">
        <v>11716</v>
      </c>
      <c r="B128" s="17">
        <v>3</v>
      </c>
      <c r="C128" s="17">
        <v>5</v>
      </c>
      <c r="D128" s="17" t="s">
        <v>525</v>
      </c>
      <c r="E128" s="17" t="s">
        <v>318</v>
      </c>
      <c r="F128" s="17" t="str">
        <f>TEXT(data[[#This Row],[ShipDate]],"yyyy - mmmm")</f>
        <v>2016 - June</v>
      </c>
      <c r="G128" s="17" t="str">
        <f>data[[#This Row],[OriginCity]] &amp; " - "  &amp; data[[#This Row],[DestinationCity]]</f>
        <v>Chicago - Rockford</v>
      </c>
      <c r="H128" s="17" t="s">
        <v>39</v>
      </c>
      <c r="I128" s="17" t="s">
        <v>31</v>
      </c>
      <c r="J128" s="17">
        <v>10</v>
      </c>
      <c r="K128" s="17" t="s">
        <v>40</v>
      </c>
      <c r="L128" s="17" t="s">
        <v>31</v>
      </c>
      <c r="M128" s="17" t="s">
        <v>190</v>
      </c>
      <c r="N128" s="17">
        <v>530</v>
      </c>
      <c r="O128" s="17">
        <v>343</v>
      </c>
      <c r="P128" s="26">
        <f>(data[[#This Row],[LoadedMiles]]/data[[#This Row],[TotalMiles]])*100</f>
        <v>64.716981132075475</v>
      </c>
      <c r="Q128" s="25">
        <f>data[[#This Row],[ShippingCost]]/data[[#This Row],[TotalMiles]]</f>
        <v>8.9849056603773576</v>
      </c>
      <c r="R128" s="17">
        <v>4762</v>
      </c>
      <c r="S128" s="25">
        <f>data[[#This Row],[Revenue]]/data[[#This Row],[TotalMiles]]</f>
        <v>10.339622641509434</v>
      </c>
      <c r="T128" s="26">
        <f>data[[#This Row],[Revenue]]-data[[#This Row],[ShippingCost]]</f>
        <v>718</v>
      </c>
      <c r="U128" s="17">
        <v>5480</v>
      </c>
      <c r="V128" s="17">
        <v>90</v>
      </c>
      <c r="W128" s="17" t="s">
        <v>68</v>
      </c>
      <c r="X128" s="17">
        <v>6</v>
      </c>
      <c r="Y128" s="17">
        <f>data[[#This Row],[DeliveryDate]]-data[[#This Row],[ShipDate]]</f>
        <v>7</v>
      </c>
      <c r="Z128" s="17" t="str">
        <f>IF(data[[#This Row],[Actual Delivery Days]]&gt;AD129,"Yes","No")</f>
        <v>Yes</v>
      </c>
    </row>
    <row r="129" spans="1:26">
      <c r="A129" s="17">
        <v>11743</v>
      </c>
      <c r="B129" s="17">
        <v>2</v>
      </c>
      <c r="C129" s="17">
        <v>6</v>
      </c>
      <c r="D129" s="17" t="s">
        <v>562</v>
      </c>
      <c r="E129" s="17" t="s">
        <v>290</v>
      </c>
      <c r="F129" s="17" t="str">
        <f>TEXT(data[[#This Row],[ShipDate]],"yyyy - mmmm")</f>
        <v>2016 - February</v>
      </c>
      <c r="G129" s="17" t="str">
        <f>data[[#This Row],[OriginCity]] &amp; " - "  &amp; data[[#This Row],[DestinationCity]]</f>
        <v>Monon - Lansing</v>
      </c>
      <c r="H129" s="17" t="s">
        <v>53</v>
      </c>
      <c r="I129" s="17" t="s">
        <v>44</v>
      </c>
      <c r="J129" s="17">
        <v>10</v>
      </c>
      <c r="K129" s="17" t="s">
        <v>66</v>
      </c>
      <c r="L129" s="17" t="s">
        <v>21</v>
      </c>
      <c r="M129" s="17" t="s">
        <v>379</v>
      </c>
      <c r="N129" s="17">
        <v>579</v>
      </c>
      <c r="O129" s="17">
        <v>522</v>
      </c>
      <c r="P129" s="26">
        <f>(data[[#This Row],[LoadedMiles]]/data[[#This Row],[TotalMiles]])*100</f>
        <v>90.155440414507765</v>
      </c>
      <c r="Q129" s="25">
        <f>data[[#This Row],[ShippingCost]]/data[[#This Row],[TotalMiles]]</f>
        <v>4.7115716753022454</v>
      </c>
      <c r="R129" s="17">
        <v>2728</v>
      </c>
      <c r="S129" s="25">
        <f>data[[#This Row],[Revenue]]/data[[#This Row],[TotalMiles]]</f>
        <v>6.3955094991364421</v>
      </c>
      <c r="T129" s="26">
        <f>data[[#This Row],[Revenue]]-data[[#This Row],[ShippingCost]]</f>
        <v>975</v>
      </c>
      <c r="U129" s="17">
        <v>3703</v>
      </c>
      <c r="V129" s="17">
        <v>91</v>
      </c>
      <c r="W129" s="17" t="s">
        <v>68</v>
      </c>
      <c r="X129" s="17">
        <v>10</v>
      </c>
      <c r="Y129" s="17">
        <f>data[[#This Row],[DeliveryDate]]-data[[#This Row],[ShipDate]]</f>
        <v>10</v>
      </c>
      <c r="Z129" s="17" t="str">
        <f>IF(data[[#This Row],[Actual Delivery Days]]&gt;AD130,"Yes","No")</f>
        <v>Yes</v>
      </c>
    </row>
    <row r="130" spans="1:26">
      <c r="A130" s="17">
        <v>11772</v>
      </c>
      <c r="B130" s="17">
        <v>3</v>
      </c>
      <c r="C130" s="17">
        <v>6</v>
      </c>
      <c r="D130" s="17" t="s">
        <v>596</v>
      </c>
      <c r="E130" s="17" t="s">
        <v>381</v>
      </c>
      <c r="F130" s="17" t="str">
        <f>TEXT(data[[#This Row],[ShipDate]],"yyyy - mmmm")</f>
        <v>2016 - March</v>
      </c>
      <c r="G130" s="17" t="str">
        <f>data[[#This Row],[OriginCity]] &amp; " - "  &amp; data[[#This Row],[DestinationCity]]</f>
        <v>Cincinnati - Gary</v>
      </c>
      <c r="H130" s="17" t="s">
        <v>89</v>
      </c>
      <c r="I130" s="17" t="s">
        <v>23</v>
      </c>
      <c r="J130" s="17">
        <v>10</v>
      </c>
      <c r="K130" s="17" t="s">
        <v>57</v>
      </c>
      <c r="L130" s="17" t="s">
        <v>44</v>
      </c>
      <c r="M130" s="17" t="s">
        <v>270</v>
      </c>
      <c r="N130" s="17">
        <v>613</v>
      </c>
      <c r="O130" s="17">
        <v>613</v>
      </c>
      <c r="P130" s="26">
        <f>(data[[#This Row],[LoadedMiles]]/data[[#This Row],[TotalMiles]])*100</f>
        <v>100</v>
      </c>
      <c r="Q130" s="25">
        <f>data[[#This Row],[ShippingCost]]/data[[#This Row],[TotalMiles]]</f>
        <v>5.8939641109298533</v>
      </c>
      <c r="R130" s="17">
        <v>3613</v>
      </c>
      <c r="S130" s="25">
        <f>data[[#This Row],[Revenue]]/data[[#This Row],[TotalMiles]]</f>
        <v>6.2349102773246328</v>
      </c>
      <c r="T130" s="26">
        <f>data[[#This Row],[Revenue]]-data[[#This Row],[ShippingCost]]</f>
        <v>209</v>
      </c>
      <c r="U130" s="17">
        <v>3822</v>
      </c>
      <c r="V130" s="17">
        <v>70</v>
      </c>
      <c r="W130" s="17" t="s">
        <v>68</v>
      </c>
      <c r="X130" s="17">
        <v>6</v>
      </c>
      <c r="Y130" s="17">
        <f>data[[#This Row],[DeliveryDate]]-data[[#This Row],[ShipDate]]</f>
        <v>7</v>
      </c>
      <c r="Z130" s="17" t="str">
        <f>IF(data[[#This Row],[Actual Delivery Days]]&gt;AD131,"Yes","No")</f>
        <v>Yes</v>
      </c>
    </row>
    <row r="131" spans="1:26">
      <c r="A131" s="17">
        <v>11785</v>
      </c>
      <c r="B131" s="17">
        <v>2</v>
      </c>
      <c r="C131" s="17">
        <v>5</v>
      </c>
      <c r="D131" s="17" t="s">
        <v>41</v>
      </c>
      <c r="E131" s="17" t="s">
        <v>221</v>
      </c>
      <c r="F131" s="17" t="str">
        <f>TEXT(data[[#This Row],[ShipDate]],"yyyy - mmmm")</f>
        <v>2016 - April</v>
      </c>
      <c r="G131" s="17" t="str">
        <f>data[[#This Row],[OriginCity]] &amp; " - "  &amp; data[[#This Row],[DestinationCity]]</f>
        <v>Indianapolis - Northbrook</v>
      </c>
      <c r="H131" s="17" t="s">
        <v>43</v>
      </c>
      <c r="I131" s="17" t="s">
        <v>44</v>
      </c>
      <c r="J131" s="17">
        <v>10</v>
      </c>
      <c r="K131" s="17" t="s">
        <v>45</v>
      </c>
      <c r="L131" s="17" t="s">
        <v>31</v>
      </c>
      <c r="M131" s="17" t="s">
        <v>413</v>
      </c>
      <c r="N131" s="17">
        <v>1007</v>
      </c>
      <c r="O131" s="17">
        <v>781</v>
      </c>
      <c r="P131" s="26">
        <f>(data[[#This Row],[LoadedMiles]]/data[[#This Row],[TotalMiles]])*100</f>
        <v>77.557100297914587</v>
      </c>
      <c r="Q131" s="25">
        <f>data[[#This Row],[ShippingCost]]/data[[#This Row],[TotalMiles]]</f>
        <v>0.61271102284011913</v>
      </c>
      <c r="R131" s="17">
        <v>617</v>
      </c>
      <c r="S131" s="25">
        <f>data[[#This Row],[Revenue]]/data[[#This Row],[TotalMiles]]</f>
        <v>1.4011916583912611</v>
      </c>
      <c r="T131" s="26">
        <f>data[[#This Row],[Revenue]]-data[[#This Row],[ShippingCost]]</f>
        <v>794</v>
      </c>
      <c r="U131" s="17">
        <v>1411</v>
      </c>
      <c r="V131" s="17">
        <v>59</v>
      </c>
      <c r="W131" s="17" t="s">
        <v>68</v>
      </c>
      <c r="X131" s="17">
        <v>6</v>
      </c>
      <c r="Y131" s="17">
        <f>data[[#This Row],[DeliveryDate]]-data[[#This Row],[ShipDate]]</f>
        <v>10</v>
      </c>
      <c r="Z131" s="17" t="str">
        <f>IF(data[[#This Row],[Actual Delivery Days]]&gt;AD132,"Yes","No")</f>
        <v>Yes</v>
      </c>
    </row>
    <row r="132" spans="1:26">
      <c r="A132" s="17">
        <v>11808</v>
      </c>
      <c r="B132" s="17">
        <v>3</v>
      </c>
      <c r="C132" s="17">
        <v>6</v>
      </c>
      <c r="D132" s="17" t="s">
        <v>134</v>
      </c>
      <c r="E132" s="17" t="s">
        <v>522</v>
      </c>
      <c r="F132" s="17" t="str">
        <f>TEXT(data[[#This Row],[ShipDate]],"yyyy - mmmm")</f>
        <v>2016 - February</v>
      </c>
      <c r="G132" s="17" t="str">
        <f>data[[#This Row],[OriginCity]] &amp; " - "  &amp; data[[#This Row],[DestinationCity]]</f>
        <v>Detriot - Monon</v>
      </c>
      <c r="H132" s="17" t="s">
        <v>52</v>
      </c>
      <c r="I132" s="17" t="s">
        <v>21</v>
      </c>
      <c r="J132" s="17">
        <v>10</v>
      </c>
      <c r="K132" s="17" t="s">
        <v>53</v>
      </c>
      <c r="L132" s="17" t="s">
        <v>44</v>
      </c>
      <c r="M132" s="17" t="s">
        <v>333</v>
      </c>
      <c r="N132" s="17">
        <v>721</v>
      </c>
      <c r="O132" s="17">
        <v>619</v>
      </c>
      <c r="P132" s="26">
        <f>(data[[#This Row],[LoadedMiles]]/data[[#This Row],[TotalMiles]])*100</f>
        <v>85.852981969486819</v>
      </c>
      <c r="Q132" s="25">
        <f>data[[#This Row],[ShippingCost]]/data[[#This Row],[TotalMiles]]</f>
        <v>1.3869625520110958</v>
      </c>
      <c r="R132" s="17">
        <v>1000</v>
      </c>
      <c r="S132" s="25">
        <f>data[[#This Row],[Revenue]]/data[[#This Row],[TotalMiles]]</f>
        <v>1.8890429958391124</v>
      </c>
      <c r="T132" s="26">
        <f>data[[#This Row],[Revenue]]-data[[#This Row],[ShippingCost]]</f>
        <v>362</v>
      </c>
      <c r="U132" s="17">
        <v>1362</v>
      </c>
      <c r="V132" s="17">
        <v>68</v>
      </c>
      <c r="W132" s="17" t="s">
        <v>68</v>
      </c>
      <c r="X132" s="17">
        <v>7</v>
      </c>
      <c r="Y132" s="17">
        <f>data[[#This Row],[DeliveryDate]]-data[[#This Row],[ShipDate]]</f>
        <v>7</v>
      </c>
      <c r="Z132" s="17" t="str">
        <f>IF(data[[#This Row],[Actual Delivery Days]]&gt;AD133,"Yes","No")</f>
        <v>Yes</v>
      </c>
    </row>
    <row r="133" spans="1:26">
      <c r="A133" s="17">
        <v>10016</v>
      </c>
      <c r="B133" s="17">
        <v>1</v>
      </c>
      <c r="C133" s="17">
        <v>5</v>
      </c>
      <c r="D133" s="17" t="s">
        <v>99</v>
      </c>
      <c r="E133" s="17" t="s">
        <v>100</v>
      </c>
      <c r="F133" s="17" t="str">
        <f>TEXT(data[[#This Row],[ShipDate]],"yyyy - mmmm")</f>
        <v>2016 - April</v>
      </c>
      <c r="G133" s="17" t="str">
        <f>data[[#This Row],[OriginCity]] &amp; " - "  &amp; data[[#This Row],[DestinationCity]]</f>
        <v>Lansing - Dayton</v>
      </c>
      <c r="H133" s="17" t="s">
        <v>66</v>
      </c>
      <c r="I133" s="17" t="s">
        <v>21</v>
      </c>
      <c r="J133" s="17">
        <v>9</v>
      </c>
      <c r="K133" s="17" t="s">
        <v>93</v>
      </c>
      <c r="L133" s="17" t="s">
        <v>23</v>
      </c>
      <c r="M133" s="17" t="s">
        <v>101</v>
      </c>
      <c r="N133" s="17">
        <v>328</v>
      </c>
      <c r="O133" s="17">
        <v>328</v>
      </c>
      <c r="P133" s="26">
        <f>(data[[#This Row],[LoadedMiles]]/data[[#This Row],[TotalMiles]])*100</f>
        <v>100</v>
      </c>
      <c r="Q133" s="25">
        <f>data[[#This Row],[ShippingCost]]/data[[#This Row],[TotalMiles]]</f>
        <v>0.11280487804878049</v>
      </c>
      <c r="R133" s="17">
        <v>37</v>
      </c>
      <c r="S133" s="25">
        <f>data[[#This Row],[Revenue]]/data[[#This Row],[TotalMiles]]</f>
        <v>2.2439024390243905</v>
      </c>
      <c r="T133" s="26">
        <f>data[[#This Row],[Revenue]]-data[[#This Row],[ShippingCost]]</f>
        <v>699</v>
      </c>
      <c r="U133" s="17">
        <v>736</v>
      </c>
      <c r="V133" s="17">
        <v>94</v>
      </c>
      <c r="W133" s="17" t="s">
        <v>68</v>
      </c>
      <c r="X133" s="17">
        <v>1</v>
      </c>
      <c r="Y133" s="17">
        <f>data[[#This Row],[DeliveryDate]]-data[[#This Row],[ShipDate]]</f>
        <v>7</v>
      </c>
      <c r="Z133" s="17" t="str">
        <f>IF(data[[#This Row],[Actual Delivery Days]]&gt;AD134,"Yes","No")</f>
        <v>Yes</v>
      </c>
    </row>
    <row r="134" spans="1:26">
      <c r="A134" s="17">
        <v>10028</v>
      </c>
      <c r="B134" s="17">
        <v>2</v>
      </c>
      <c r="C134" s="17">
        <v>8</v>
      </c>
      <c r="D134" s="17" t="s">
        <v>143</v>
      </c>
      <c r="E134" s="17" t="s">
        <v>144</v>
      </c>
      <c r="F134" s="17" t="str">
        <f>TEXT(data[[#This Row],[ShipDate]],"yyyy - mmmm")</f>
        <v>2016 - July</v>
      </c>
      <c r="G134" s="17" t="str">
        <f>data[[#This Row],[OriginCity]] &amp; " - "  &amp; data[[#This Row],[DestinationCity]]</f>
        <v>Monon - Lansing</v>
      </c>
      <c r="H134" s="17" t="s">
        <v>53</v>
      </c>
      <c r="I134" s="17" t="s">
        <v>44</v>
      </c>
      <c r="J134" s="17">
        <v>9</v>
      </c>
      <c r="K134" s="17" t="s">
        <v>66</v>
      </c>
      <c r="L134" s="17" t="s">
        <v>21</v>
      </c>
      <c r="M134" s="17" t="s">
        <v>82</v>
      </c>
      <c r="N134" s="17">
        <v>1012</v>
      </c>
      <c r="O134" s="17">
        <v>641</v>
      </c>
      <c r="P134" s="26">
        <f>(data[[#This Row],[LoadedMiles]]/data[[#This Row],[TotalMiles]])*100</f>
        <v>63.339920948616601</v>
      </c>
      <c r="Q134" s="25">
        <f>data[[#This Row],[ShippingCost]]/data[[#This Row],[TotalMiles]]</f>
        <v>7.9693675889328066</v>
      </c>
      <c r="R134" s="17">
        <v>8065</v>
      </c>
      <c r="S134" s="25">
        <f>data[[#This Row],[Revenue]]/data[[#This Row],[TotalMiles]]</f>
        <v>8.5009881422924902</v>
      </c>
      <c r="T134" s="26">
        <f>data[[#This Row],[Revenue]]-data[[#This Row],[ShippingCost]]</f>
        <v>538</v>
      </c>
      <c r="U134" s="17">
        <v>8603</v>
      </c>
      <c r="V134" s="17">
        <v>81</v>
      </c>
      <c r="W134" s="17" t="s">
        <v>68</v>
      </c>
      <c r="X134" s="17">
        <v>2</v>
      </c>
      <c r="Y134" s="17">
        <f>data[[#This Row],[DeliveryDate]]-data[[#This Row],[ShipDate]]</f>
        <v>-124</v>
      </c>
      <c r="Z134" s="17" t="str">
        <f>IF(data[[#This Row],[Actual Delivery Days]]&gt;AD135,"Yes","No")</f>
        <v>No</v>
      </c>
    </row>
    <row r="135" spans="1:26">
      <c r="A135" s="17">
        <v>10044</v>
      </c>
      <c r="B135" s="17">
        <v>2</v>
      </c>
      <c r="C135" s="17">
        <v>5</v>
      </c>
      <c r="D135" s="17" t="s">
        <v>187</v>
      </c>
      <c r="E135" s="17" t="s">
        <v>139</v>
      </c>
      <c r="F135" s="17" t="str">
        <f>TEXT(data[[#This Row],[ShipDate]],"yyyy - mmmm")</f>
        <v>2016 - August</v>
      </c>
      <c r="G135" s="17" t="str">
        <f>data[[#This Row],[OriginCity]] &amp; " - "  &amp; data[[#This Row],[DestinationCity]]</f>
        <v>Chicago - Rockford</v>
      </c>
      <c r="H135" s="17" t="s">
        <v>39</v>
      </c>
      <c r="I135" s="17" t="s">
        <v>31</v>
      </c>
      <c r="J135" s="17">
        <v>9</v>
      </c>
      <c r="K135" s="17" t="s">
        <v>40</v>
      </c>
      <c r="L135" s="17" t="s">
        <v>31</v>
      </c>
      <c r="M135" s="17" t="s">
        <v>188</v>
      </c>
      <c r="N135" s="17">
        <v>1166</v>
      </c>
      <c r="O135" s="17">
        <v>250</v>
      </c>
      <c r="P135" s="26">
        <f>(data[[#This Row],[LoadedMiles]]/data[[#This Row],[TotalMiles]])*100</f>
        <v>21.440823327615778</v>
      </c>
      <c r="Q135" s="25">
        <f>data[[#This Row],[ShippingCost]]/data[[#This Row],[TotalMiles]]</f>
        <v>2.4502572898799313</v>
      </c>
      <c r="R135" s="17">
        <v>2857</v>
      </c>
      <c r="S135" s="25">
        <f>data[[#This Row],[Revenue]]/data[[#This Row],[TotalMiles]]</f>
        <v>2.8473413379073755</v>
      </c>
      <c r="T135" s="26">
        <f>data[[#This Row],[Revenue]]-data[[#This Row],[ShippingCost]]</f>
        <v>463</v>
      </c>
      <c r="U135" s="17">
        <v>3320</v>
      </c>
      <c r="V135" s="17">
        <v>54</v>
      </c>
      <c r="W135" s="17" t="s">
        <v>68</v>
      </c>
      <c r="X135" s="17">
        <v>5</v>
      </c>
      <c r="Y135" s="17">
        <f>data[[#This Row],[DeliveryDate]]-data[[#This Row],[ShipDate]]</f>
        <v>9</v>
      </c>
      <c r="Z135" s="17" t="str">
        <f>IF(data[[#This Row],[Actual Delivery Days]]&gt;AD136,"Yes","No")</f>
        <v>Yes</v>
      </c>
    </row>
    <row r="136" spans="1:26">
      <c r="A136" s="17">
        <v>10051</v>
      </c>
      <c r="B136" s="17">
        <v>2</v>
      </c>
      <c r="C136" s="17">
        <v>7</v>
      </c>
      <c r="D136" s="17" t="s">
        <v>205</v>
      </c>
      <c r="E136" s="17" t="s">
        <v>206</v>
      </c>
      <c r="F136" s="17" t="str">
        <f>TEXT(data[[#This Row],[ShipDate]],"yyyy - mmmm")</f>
        <v>2016 - February</v>
      </c>
      <c r="G136" s="17" t="str">
        <f>data[[#This Row],[OriginCity]] &amp; " - "  &amp; data[[#This Row],[DestinationCity]]</f>
        <v>Green Bay - Joliet</v>
      </c>
      <c r="H136" s="17" t="s">
        <v>75</v>
      </c>
      <c r="I136" s="17" t="s">
        <v>29</v>
      </c>
      <c r="J136" s="17">
        <v>9</v>
      </c>
      <c r="K136" s="17" t="s">
        <v>61</v>
      </c>
      <c r="L136" s="17" t="s">
        <v>31</v>
      </c>
      <c r="M136" s="17" t="s">
        <v>207</v>
      </c>
      <c r="N136" s="17">
        <v>1130</v>
      </c>
      <c r="O136" s="17">
        <v>462</v>
      </c>
      <c r="P136" s="26">
        <f>(data[[#This Row],[LoadedMiles]]/data[[#This Row],[TotalMiles]])*100</f>
        <v>40.884955752212385</v>
      </c>
      <c r="Q136" s="25">
        <f>data[[#This Row],[ShippingCost]]/data[[#This Row],[TotalMiles]]</f>
        <v>5.4053097345132741</v>
      </c>
      <c r="R136" s="17">
        <v>6108</v>
      </c>
      <c r="S136" s="25">
        <f>data[[#This Row],[Revenue]]/data[[#This Row],[TotalMiles]]</f>
        <v>6.0734513274336281</v>
      </c>
      <c r="T136" s="26">
        <f>data[[#This Row],[Revenue]]-data[[#This Row],[ShippingCost]]</f>
        <v>755</v>
      </c>
      <c r="U136" s="17">
        <v>6863</v>
      </c>
      <c r="V136" s="17">
        <v>89</v>
      </c>
      <c r="W136" s="17" t="s">
        <v>68</v>
      </c>
      <c r="X136" s="17">
        <v>8</v>
      </c>
      <c r="Y136" s="17">
        <f>data[[#This Row],[DeliveryDate]]-data[[#This Row],[ShipDate]]</f>
        <v>6</v>
      </c>
      <c r="Z136" s="17" t="str">
        <f>IF(data[[#This Row],[Actual Delivery Days]]&gt;AD137,"Yes","No")</f>
        <v>Yes</v>
      </c>
    </row>
    <row r="137" spans="1:26">
      <c r="A137" s="17">
        <v>10062</v>
      </c>
      <c r="B137" s="17">
        <v>1</v>
      </c>
      <c r="C137" s="17">
        <v>4</v>
      </c>
      <c r="D137" s="17" t="s">
        <v>233</v>
      </c>
      <c r="E137" s="17" t="s">
        <v>130</v>
      </c>
      <c r="F137" s="17" t="str">
        <f>TEXT(data[[#This Row],[ShipDate]],"yyyy - mmmm")</f>
        <v>2016 - March</v>
      </c>
      <c r="G137" s="17" t="str">
        <f>data[[#This Row],[OriginCity]] &amp; " - "  &amp; data[[#This Row],[DestinationCity]]</f>
        <v>Grand Rapids - Toledo</v>
      </c>
      <c r="H137" s="17" t="s">
        <v>20</v>
      </c>
      <c r="I137" s="17" t="s">
        <v>21</v>
      </c>
      <c r="J137" s="17">
        <v>9</v>
      </c>
      <c r="K137" s="17" t="s">
        <v>22</v>
      </c>
      <c r="L137" s="17" t="s">
        <v>23</v>
      </c>
      <c r="M137" s="17" t="s">
        <v>234</v>
      </c>
      <c r="N137" s="17">
        <v>563</v>
      </c>
      <c r="O137" s="17">
        <v>563</v>
      </c>
      <c r="P137" s="26">
        <f>(data[[#This Row],[LoadedMiles]]/data[[#This Row],[TotalMiles]])*100</f>
        <v>100</v>
      </c>
      <c r="Q137" s="25">
        <f>data[[#This Row],[ShippingCost]]/data[[#This Row],[TotalMiles]]</f>
        <v>9.8525754884547077</v>
      </c>
      <c r="R137" s="17">
        <v>5547</v>
      </c>
      <c r="S137" s="25">
        <f>data[[#This Row],[Revenue]]/data[[#This Row],[TotalMiles]]</f>
        <v>5.8987566607460034</v>
      </c>
      <c r="T137" s="26">
        <f>data[[#This Row],[Revenue]]-data[[#This Row],[ShippingCost]]</f>
        <v>-2226</v>
      </c>
      <c r="U137" s="17">
        <v>3321</v>
      </c>
      <c r="V137" s="17">
        <v>65</v>
      </c>
      <c r="W137" s="17" t="s">
        <v>68</v>
      </c>
      <c r="X137" s="17">
        <v>1</v>
      </c>
      <c r="Y137" s="17">
        <f>data[[#This Row],[DeliveryDate]]-data[[#This Row],[ShipDate]]</f>
        <v>9</v>
      </c>
      <c r="Z137" s="17" t="str">
        <f>IF(data[[#This Row],[Actual Delivery Days]]&gt;AD138,"Yes","No")</f>
        <v>Yes</v>
      </c>
    </row>
    <row r="138" spans="1:26">
      <c r="A138" s="17">
        <v>10074</v>
      </c>
      <c r="B138" s="17">
        <v>2</v>
      </c>
      <c r="C138" s="17">
        <v>6</v>
      </c>
      <c r="D138" s="17" t="s">
        <v>269</v>
      </c>
      <c r="E138" s="17" t="s">
        <v>199</v>
      </c>
      <c r="F138" s="17" t="str">
        <f>TEXT(data[[#This Row],[ShipDate]],"yyyy - mmmm")</f>
        <v>2016 - March</v>
      </c>
      <c r="G138" s="17" t="str">
        <f>data[[#This Row],[OriginCity]] &amp; " - "  &amp; data[[#This Row],[DestinationCity]]</f>
        <v>Lansing - Dayton</v>
      </c>
      <c r="H138" s="17" t="s">
        <v>66</v>
      </c>
      <c r="I138" s="17" t="s">
        <v>21</v>
      </c>
      <c r="J138" s="17">
        <v>9</v>
      </c>
      <c r="K138" s="17" t="s">
        <v>93</v>
      </c>
      <c r="L138" s="17" t="s">
        <v>23</v>
      </c>
      <c r="M138" s="17" t="s">
        <v>270</v>
      </c>
      <c r="N138" s="17">
        <v>248</v>
      </c>
      <c r="O138" s="17">
        <v>248</v>
      </c>
      <c r="P138" s="26">
        <f>(data[[#This Row],[LoadedMiles]]/data[[#This Row],[TotalMiles]])*100</f>
        <v>100</v>
      </c>
      <c r="Q138" s="25">
        <f>data[[#This Row],[ShippingCost]]/data[[#This Row],[TotalMiles]]</f>
        <v>6.8548387096774188E-2</v>
      </c>
      <c r="R138" s="17">
        <v>17</v>
      </c>
      <c r="S138" s="25">
        <f>data[[#This Row],[Revenue]]/data[[#This Row],[TotalMiles]]</f>
        <v>0.53629032258064513</v>
      </c>
      <c r="T138" s="26">
        <f>data[[#This Row],[Revenue]]-data[[#This Row],[ShippingCost]]</f>
        <v>116</v>
      </c>
      <c r="U138" s="17">
        <v>133</v>
      </c>
      <c r="V138" s="17">
        <v>62</v>
      </c>
      <c r="W138" s="17" t="s">
        <v>68</v>
      </c>
      <c r="X138" s="17">
        <v>6</v>
      </c>
      <c r="Y138" s="17">
        <f>data[[#This Row],[DeliveryDate]]-data[[#This Row],[ShipDate]]</f>
        <v>9</v>
      </c>
      <c r="Z138" s="17" t="str">
        <f>IF(data[[#This Row],[Actual Delivery Days]]&gt;AD139,"Yes","No")</f>
        <v>Yes</v>
      </c>
    </row>
    <row r="139" spans="1:26">
      <c r="A139" s="17">
        <v>10077</v>
      </c>
      <c r="B139" s="17">
        <v>1</v>
      </c>
      <c r="C139" s="17">
        <v>5</v>
      </c>
      <c r="D139" s="17" t="s">
        <v>275</v>
      </c>
      <c r="E139" s="17" t="s">
        <v>34</v>
      </c>
      <c r="F139" s="17" t="str">
        <f>TEXT(data[[#This Row],[ShipDate]],"yyyy - mmmm")</f>
        <v>2016 - August</v>
      </c>
      <c r="G139" s="17" t="str">
        <f>data[[#This Row],[OriginCity]] &amp; " - "  &amp; data[[#This Row],[DestinationCity]]</f>
        <v>Skokie - Chicago</v>
      </c>
      <c r="H139" s="17" t="s">
        <v>35</v>
      </c>
      <c r="I139" s="17" t="s">
        <v>31</v>
      </c>
      <c r="J139" s="17">
        <v>9</v>
      </c>
      <c r="K139" s="17" t="s">
        <v>39</v>
      </c>
      <c r="L139" s="17" t="s">
        <v>31</v>
      </c>
      <c r="M139" s="17" t="s">
        <v>82</v>
      </c>
      <c r="N139" s="17">
        <v>771</v>
      </c>
      <c r="O139" s="17">
        <v>601</v>
      </c>
      <c r="P139" s="26">
        <f>(data[[#This Row],[LoadedMiles]]/data[[#This Row],[TotalMiles]])*100</f>
        <v>77.950713359273678</v>
      </c>
      <c r="Q139" s="25">
        <f>data[[#This Row],[ShippingCost]]/data[[#This Row],[TotalMiles]]</f>
        <v>2.5343709468223086</v>
      </c>
      <c r="R139" s="17">
        <v>1954</v>
      </c>
      <c r="S139" s="25">
        <f>data[[#This Row],[Revenue]]/data[[#This Row],[TotalMiles]]</f>
        <v>3.5564202334630348</v>
      </c>
      <c r="T139" s="26">
        <f>data[[#This Row],[Revenue]]-data[[#This Row],[ShippingCost]]</f>
        <v>788</v>
      </c>
      <c r="U139" s="17">
        <v>2742</v>
      </c>
      <c r="V139" s="17">
        <v>87</v>
      </c>
      <c r="W139" s="17" t="s">
        <v>68</v>
      </c>
      <c r="X139" s="17">
        <v>8</v>
      </c>
      <c r="Y139" s="17">
        <f>data[[#This Row],[DeliveryDate]]-data[[#This Row],[ShipDate]]</f>
        <v>-161</v>
      </c>
      <c r="Z139" s="17" t="str">
        <f>IF(data[[#This Row],[Actual Delivery Days]]&gt;AD140,"Yes","No")</f>
        <v>No</v>
      </c>
    </row>
    <row r="140" spans="1:26">
      <c r="A140" s="17">
        <v>10095</v>
      </c>
      <c r="B140" s="17">
        <v>1</v>
      </c>
      <c r="C140" s="17">
        <v>4</v>
      </c>
      <c r="D140" s="17" t="s">
        <v>249</v>
      </c>
      <c r="E140" s="17" t="s">
        <v>204</v>
      </c>
      <c r="F140" s="17" t="str">
        <f>TEXT(data[[#This Row],[ShipDate]],"yyyy - mmmm")</f>
        <v>2016 - January</v>
      </c>
      <c r="G140" s="17" t="str">
        <f>data[[#This Row],[OriginCity]] &amp; " - "  &amp; data[[#This Row],[DestinationCity]]</f>
        <v>Dayton - Elgin</v>
      </c>
      <c r="H140" s="17" t="s">
        <v>93</v>
      </c>
      <c r="I140" s="17" t="s">
        <v>23</v>
      </c>
      <c r="J140" s="17">
        <v>9</v>
      </c>
      <c r="K140" s="17" t="s">
        <v>94</v>
      </c>
      <c r="L140" s="17" t="s">
        <v>31</v>
      </c>
      <c r="M140" s="17" t="s">
        <v>92</v>
      </c>
      <c r="N140" s="17">
        <v>1170</v>
      </c>
      <c r="O140" s="17">
        <v>444</v>
      </c>
      <c r="P140" s="26">
        <f>(data[[#This Row],[LoadedMiles]]/data[[#This Row],[TotalMiles]])*100</f>
        <v>37.948717948717949</v>
      </c>
      <c r="Q140" s="25">
        <f>data[[#This Row],[ShippingCost]]/data[[#This Row],[TotalMiles]]</f>
        <v>3.9264957264957263</v>
      </c>
      <c r="R140" s="17">
        <v>4594</v>
      </c>
      <c r="S140" s="25">
        <f>data[[#This Row],[Revenue]]/data[[#This Row],[TotalMiles]]</f>
        <v>2.911111111111111</v>
      </c>
      <c r="T140" s="26">
        <f>data[[#This Row],[Revenue]]-data[[#This Row],[ShippingCost]]</f>
        <v>-1188</v>
      </c>
      <c r="U140" s="17">
        <v>3406</v>
      </c>
      <c r="V140" s="17">
        <v>61</v>
      </c>
      <c r="W140" s="17" t="s">
        <v>68</v>
      </c>
      <c r="X140" s="17">
        <v>10</v>
      </c>
      <c r="Y140" s="17">
        <f>data[[#This Row],[DeliveryDate]]-data[[#This Row],[ShipDate]]</f>
        <v>9</v>
      </c>
      <c r="Z140" s="17" t="str">
        <f>IF(data[[#This Row],[Actual Delivery Days]]&gt;AD141,"Yes","No")</f>
        <v>Yes</v>
      </c>
    </row>
    <row r="141" spans="1:26">
      <c r="A141" s="17">
        <v>10146</v>
      </c>
      <c r="B141" s="17">
        <v>1</v>
      </c>
      <c r="C141" s="17">
        <v>8</v>
      </c>
      <c r="D141" s="17" t="s">
        <v>401</v>
      </c>
      <c r="E141" s="17" t="s">
        <v>183</v>
      </c>
      <c r="F141" s="17" t="str">
        <f>TEXT(data[[#This Row],[ShipDate]],"yyyy - mmmm")</f>
        <v>2016 - July</v>
      </c>
      <c r="G141" s="17" t="str">
        <f>data[[#This Row],[OriginCity]] &amp; " - "  &amp; data[[#This Row],[DestinationCity]]</f>
        <v>Milwaukee - Springfield</v>
      </c>
      <c r="H141" s="17" t="s">
        <v>28</v>
      </c>
      <c r="I141" s="17" t="s">
        <v>29</v>
      </c>
      <c r="J141" s="17">
        <v>9</v>
      </c>
      <c r="K141" s="17" t="s">
        <v>30</v>
      </c>
      <c r="L141" s="17" t="s">
        <v>31</v>
      </c>
      <c r="M141" s="17" t="s">
        <v>141</v>
      </c>
      <c r="N141" s="17">
        <v>981</v>
      </c>
      <c r="O141" s="17">
        <v>679</v>
      </c>
      <c r="P141" s="26">
        <f>(data[[#This Row],[LoadedMiles]]/data[[#This Row],[TotalMiles]])*100</f>
        <v>69.215086646279318</v>
      </c>
      <c r="Q141" s="25">
        <f>data[[#This Row],[ShippingCost]]/data[[#This Row],[TotalMiles]]</f>
        <v>7.8929663608562688</v>
      </c>
      <c r="R141" s="17">
        <v>7743</v>
      </c>
      <c r="S141" s="25">
        <f>data[[#This Row],[Revenue]]/data[[#This Row],[TotalMiles]]</f>
        <v>8.8735983690112139</v>
      </c>
      <c r="T141" s="26">
        <f>data[[#This Row],[Revenue]]-data[[#This Row],[ShippingCost]]</f>
        <v>962</v>
      </c>
      <c r="U141" s="17">
        <v>8705</v>
      </c>
      <c r="V141" s="17">
        <v>79</v>
      </c>
      <c r="W141" s="17" t="s">
        <v>68</v>
      </c>
      <c r="X141" s="17">
        <v>2</v>
      </c>
      <c r="Y141" s="17">
        <f>data[[#This Row],[DeliveryDate]]-data[[#This Row],[ShipDate]]</f>
        <v>9</v>
      </c>
      <c r="Z141" s="17" t="str">
        <f>IF(data[[#This Row],[Actual Delivery Days]]&gt;AD142,"Yes","No")</f>
        <v>Yes</v>
      </c>
    </row>
    <row r="142" spans="1:26">
      <c r="A142" s="17">
        <v>10166</v>
      </c>
      <c r="B142" s="17">
        <v>2</v>
      </c>
      <c r="C142" s="17">
        <v>5</v>
      </c>
      <c r="D142" s="17" t="s">
        <v>438</v>
      </c>
      <c r="E142" s="17" t="s">
        <v>439</v>
      </c>
      <c r="F142" s="17" t="str">
        <f>TEXT(data[[#This Row],[ShipDate]],"yyyy - mmmm")</f>
        <v>2016 - June</v>
      </c>
      <c r="G142" s="17" t="str">
        <f>data[[#This Row],[OriginCity]] &amp; " - "  &amp; data[[#This Row],[DestinationCity]]</f>
        <v>Grand Rapids - Toledo</v>
      </c>
      <c r="H142" s="17" t="s">
        <v>20</v>
      </c>
      <c r="I142" s="17" t="s">
        <v>21</v>
      </c>
      <c r="J142" s="17">
        <v>9</v>
      </c>
      <c r="K142" s="17" t="s">
        <v>22</v>
      </c>
      <c r="L142" s="17" t="s">
        <v>23</v>
      </c>
      <c r="M142" s="17" t="s">
        <v>24</v>
      </c>
      <c r="N142" s="17">
        <v>365</v>
      </c>
      <c r="O142" s="17">
        <v>365</v>
      </c>
      <c r="P142" s="26">
        <f>(data[[#This Row],[LoadedMiles]]/data[[#This Row],[TotalMiles]])*100</f>
        <v>100</v>
      </c>
      <c r="Q142" s="25">
        <f>data[[#This Row],[ShippingCost]]/data[[#This Row],[TotalMiles]]</f>
        <v>13.402739726027397</v>
      </c>
      <c r="R142" s="17">
        <v>4892</v>
      </c>
      <c r="S142" s="25">
        <f>data[[#This Row],[Revenue]]/data[[#This Row],[TotalMiles]]</f>
        <v>14.87945205479452</v>
      </c>
      <c r="T142" s="26">
        <f>data[[#This Row],[Revenue]]-data[[#This Row],[ShippingCost]]</f>
        <v>539</v>
      </c>
      <c r="U142" s="17">
        <v>5431</v>
      </c>
      <c r="V142" s="17">
        <v>58</v>
      </c>
      <c r="W142" s="17" t="s">
        <v>68</v>
      </c>
      <c r="X142" s="17">
        <v>1</v>
      </c>
      <c r="Y142" s="17">
        <f>data[[#This Row],[DeliveryDate]]-data[[#This Row],[ShipDate]]</f>
        <v>9</v>
      </c>
      <c r="Z142" s="17" t="str">
        <f>IF(data[[#This Row],[Actual Delivery Days]]&gt;AD143,"Yes","No")</f>
        <v>Yes</v>
      </c>
    </row>
    <row r="143" spans="1:26">
      <c r="A143" s="17">
        <v>10171</v>
      </c>
      <c r="B143" s="17">
        <v>2</v>
      </c>
      <c r="C143" s="17">
        <v>5</v>
      </c>
      <c r="D143" s="17" t="s">
        <v>446</v>
      </c>
      <c r="E143" s="17" t="s">
        <v>264</v>
      </c>
      <c r="F143" s="17" t="str">
        <f>TEXT(data[[#This Row],[ShipDate]],"yyyy - mmmm")</f>
        <v>2016 - January</v>
      </c>
      <c r="G143" s="17" t="str">
        <f>data[[#This Row],[OriginCity]] &amp; " - "  &amp; data[[#This Row],[DestinationCity]]</f>
        <v>Detriot - Monon</v>
      </c>
      <c r="H143" s="17" t="s">
        <v>52</v>
      </c>
      <c r="I143" s="17" t="s">
        <v>21</v>
      </c>
      <c r="J143" s="17">
        <v>9</v>
      </c>
      <c r="K143" s="17" t="s">
        <v>53</v>
      </c>
      <c r="L143" s="17" t="s">
        <v>44</v>
      </c>
      <c r="M143" s="17" t="s">
        <v>447</v>
      </c>
      <c r="N143" s="17">
        <v>530</v>
      </c>
      <c r="O143" s="17">
        <v>530</v>
      </c>
      <c r="P143" s="26">
        <f>(data[[#This Row],[LoadedMiles]]/data[[#This Row],[TotalMiles]])*100</f>
        <v>100</v>
      </c>
      <c r="Q143" s="25">
        <f>data[[#This Row],[ShippingCost]]/data[[#This Row],[TotalMiles]]</f>
        <v>7.6811320754716981</v>
      </c>
      <c r="R143" s="17">
        <v>4071</v>
      </c>
      <c r="S143" s="25">
        <f>data[[#This Row],[Revenue]]/data[[#This Row],[TotalMiles]]</f>
        <v>8.584905660377359</v>
      </c>
      <c r="T143" s="26">
        <f>data[[#This Row],[Revenue]]-data[[#This Row],[ShippingCost]]</f>
        <v>479</v>
      </c>
      <c r="U143" s="17">
        <v>4550</v>
      </c>
      <c r="V143" s="17">
        <v>87</v>
      </c>
      <c r="W143" s="17" t="s">
        <v>68</v>
      </c>
      <c r="X143" s="17">
        <v>7</v>
      </c>
      <c r="Y143" s="17">
        <f>data[[#This Row],[DeliveryDate]]-data[[#This Row],[ShipDate]]</f>
        <v>8</v>
      </c>
      <c r="Z143" s="17" t="str">
        <f>IF(data[[#This Row],[Actual Delivery Days]]&gt;AD144,"Yes","No")</f>
        <v>Yes</v>
      </c>
    </row>
    <row r="144" spans="1:26">
      <c r="A144" s="17">
        <v>10182</v>
      </c>
      <c r="B144" s="17">
        <v>2</v>
      </c>
      <c r="C144" s="17">
        <v>7</v>
      </c>
      <c r="D144" s="17" t="s">
        <v>466</v>
      </c>
      <c r="E144" s="17" t="s">
        <v>179</v>
      </c>
      <c r="F144" s="17" t="str">
        <f>TEXT(data[[#This Row],[ShipDate]],"yyyy - mmmm")</f>
        <v>2016 - July</v>
      </c>
      <c r="G144" s="17" t="str">
        <f>data[[#This Row],[OriginCity]] &amp; " - "  &amp; data[[#This Row],[DestinationCity]]</f>
        <v>Elgin - Cincinnati</v>
      </c>
      <c r="H144" s="17" t="s">
        <v>94</v>
      </c>
      <c r="I144" s="17" t="s">
        <v>31</v>
      </c>
      <c r="J144" s="17">
        <v>9</v>
      </c>
      <c r="K144" s="17" t="s">
        <v>89</v>
      </c>
      <c r="L144" s="17" t="s">
        <v>23</v>
      </c>
      <c r="M144" s="17" t="s">
        <v>467</v>
      </c>
      <c r="N144" s="17">
        <v>819</v>
      </c>
      <c r="O144" s="17">
        <v>503</v>
      </c>
      <c r="P144" s="26">
        <f>(data[[#This Row],[LoadedMiles]]/data[[#This Row],[TotalMiles]])*100</f>
        <v>61.416361416361418</v>
      </c>
      <c r="Q144" s="25">
        <f>data[[#This Row],[ShippingCost]]/data[[#This Row],[TotalMiles]]</f>
        <v>5.5286935286935286</v>
      </c>
      <c r="R144" s="17">
        <v>4528</v>
      </c>
      <c r="S144" s="25">
        <f>data[[#This Row],[Revenue]]/data[[#This Row],[TotalMiles]]</f>
        <v>6.4847374847374848</v>
      </c>
      <c r="T144" s="26">
        <f>data[[#This Row],[Revenue]]-data[[#This Row],[ShippingCost]]</f>
        <v>783</v>
      </c>
      <c r="U144" s="17">
        <v>5311</v>
      </c>
      <c r="V144" s="17">
        <v>67</v>
      </c>
      <c r="W144" s="17" t="s">
        <v>68</v>
      </c>
      <c r="X144" s="17">
        <v>10</v>
      </c>
      <c r="Y144" s="17">
        <f>data[[#This Row],[DeliveryDate]]-data[[#This Row],[ShipDate]]</f>
        <v>9</v>
      </c>
      <c r="Z144" s="17" t="str">
        <f>IF(data[[#This Row],[Actual Delivery Days]]&gt;AD145,"Yes","No")</f>
        <v>Yes</v>
      </c>
    </row>
    <row r="145" spans="1:26">
      <c r="A145" s="17">
        <v>10198</v>
      </c>
      <c r="B145" s="17">
        <v>2</v>
      </c>
      <c r="C145" s="17">
        <v>6</v>
      </c>
      <c r="D145" s="17" t="s">
        <v>490</v>
      </c>
      <c r="E145" s="17" t="s">
        <v>333</v>
      </c>
      <c r="F145" s="17" t="str">
        <f>TEXT(data[[#This Row],[ShipDate]],"yyyy - mmmm")</f>
        <v>2016 - February</v>
      </c>
      <c r="G145" s="17" t="str">
        <f>data[[#This Row],[OriginCity]] &amp; " - "  &amp; data[[#This Row],[DestinationCity]]</f>
        <v>Cincinnati - Gary</v>
      </c>
      <c r="H145" s="17" t="s">
        <v>89</v>
      </c>
      <c r="I145" s="17" t="s">
        <v>23</v>
      </c>
      <c r="J145" s="17">
        <v>9</v>
      </c>
      <c r="K145" s="17" t="s">
        <v>57</v>
      </c>
      <c r="L145" s="17" t="s">
        <v>44</v>
      </c>
      <c r="M145" s="17" t="s">
        <v>132</v>
      </c>
      <c r="N145" s="17">
        <v>879</v>
      </c>
      <c r="O145" s="17">
        <v>765</v>
      </c>
      <c r="P145" s="26">
        <f>(data[[#This Row],[LoadedMiles]]/data[[#This Row],[TotalMiles]])*100</f>
        <v>87.030716723549489</v>
      </c>
      <c r="Q145" s="25">
        <f>data[[#This Row],[ShippingCost]]/data[[#This Row],[TotalMiles]]</f>
        <v>9.6450511945392492</v>
      </c>
      <c r="R145" s="17">
        <v>8478</v>
      </c>
      <c r="S145" s="25">
        <f>data[[#This Row],[Revenue]]/data[[#This Row],[TotalMiles]]</f>
        <v>10.224118316268488</v>
      </c>
      <c r="T145" s="26">
        <f>data[[#This Row],[Revenue]]-data[[#This Row],[ShippingCost]]</f>
        <v>509</v>
      </c>
      <c r="U145" s="17">
        <v>8987</v>
      </c>
      <c r="V145" s="17">
        <v>75</v>
      </c>
      <c r="W145" s="17" t="s">
        <v>68</v>
      </c>
      <c r="X145" s="17">
        <v>9</v>
      </c>
      <c r="Y145" s="17">
        <f>data[[#This Row],[DeliveryDate]]-data[[#This Row],[ShipDate]]</f>
        <v>9</v>
      </c>
      <c r="Z145" s="17" t="str">
        <f>IF(data[[#This Row],[Actual Delivery Days]]&gt;AD146,"Yes","No")</f>
        <v>Yes</v>
      </c>
    </row>
    <row r="146" spans="1:26">
      <c r="A146" s="17">
        <v>10218</v>
      </c>
      <c r="B146" s="17">
        <v>2</v>
      </c>
      <c r="C146" s="17">
        <v>8</v>
      </c>
      <c r="D146" s="17" t="s">
        <v>516</v>
      </c>
      <c r="E146" s="17" t="s">
        <v>353</v>
      </c>
      <c r="F146" s="17" t="str">
        <f>TEXT(data[[#This Row],[ShipDate]],"yyyy - mmmm")</f>
        <v>2016 - March</v>
      </c>
      <c r="G146" s="17" t="str">
        <f>data[[#This Row],[OriginCity]] &amp; " - "  &amp; data[[#This Row],[DestinationCity]]</f>
        <v>Naperville - Indianapolis</v>
      </c>
      <c r="H146" s="17" t="s">
        <v>48</v>
      </c>
      <c r="I146" s="17" t="s">
        <v>31</v>
      </c>
      <c r="J146" s="17">
        <v>9</v>
      </c>
      <c r="K146" s="17" t="s">
        <v>43</v>
      </c>
      <c r="L146" s="17" t="s">
        <v>44</v>
      </c>
      <c r="M146" s="17" t="s">
        <v>274</v>
      </c>
      <c r="N146" s="17">
        <v>411</v>
      </c>
      <c r="O146" s="17">
        <v>411</v>
      </c>
      <c r="P146" s="26">
        <f>(data[[#This Row],[LoadedMiles]]/data[[#This Row],[TotalMiles]])*100</f>
        <v>100</v>
      </c>
      <c r="Q146" s="25">
        <f>data[[#This Row],[ShippingCost]]/data[[#This Row],[TotalMiles]]</f>
        <v>9.4038929440389296</v>
      </c>
      <c r="R146" s="17">
        <v>3865</v>
      </c>
      <c r="S146" s="25">
        <f>data[[#This Row],[Revenue]]/data[[#This Row],[TotalMiles]]</f>
        <v>10.150851581508515</v>
      </c>
      <c r="T146" s="26">
        <f>data[[#This Row],[Revenue]]-data[[#This Row],[ShippingCost]]</f>
        <v>307</v>
      </c>
      <c r="U146" s="17">
        <v>4172</v>
      </c>
      <c r="V146" s="17">
        <v>79</v>
      </c>
      <c r="W146" s="17" t="s">
        <v>68</v>
      </c>
      <c r="X146" s="17">
        <v>9</v>
      </c>
      <c r="Y146" s="17">
        <f>data[[#This Row],[DeliveryDate]]-data[[#This Row],[ShipDate]]</f>
        <v>9</v>
      </c>
      <c r="Z146" s="17" t="str">
        <f>IF(data[[#This Row],[Actual Delivery Days]]&gt;AD147,"Yes","No")</f>
        <v>Yes</v>
      </c>
    </row>
    <row r="147" spans="1:26">
      <c r="A147" s="17">
        <v>10241</v>
      </c>
      <c r="B147" s="17">
        <v>1</v>
      </c>
      <c r="C147" s="17">
        <v>5</v>
      </c>
      <c r="D147" s="17" t="s">
        <v>551</v>
      </c>
      <c r="E147" s="17" t="s">
        <v>307</v>
      </c>
      <c r="F147" s="17" t="str">
        <f>TEXT(data[[#This Row],[ShipDate]],"yyyy - mmmm")</f>
        <v>2016 - August</v>
      </c>
      <c r="G147" s="17" t="str">
        <f>data[[#This Row],[OriginCity]] &amp; " - "  &amp; data[[#This Row],[DestinationCity]]</f>
        <v>Cincinnati - Gary</v>
      </c>
      <c r="H147" s="17" t="s">
        <v>89</v>
      </c>
      <c r="I147" s="17" t="s">
        <v>23</v>
      </c>
      <c r="J147" s="17">
        <v>9</v>
      </c>
      <c r="K147" s="17" t="s">
        <v>57</v>
      </c>
      <c r="L147" s="17" t="s">
        <v>44</v>
      </c>
      <c r="M147" s="17" t="s">
        <v>118</v>
      </c>
      <c r="N147" s="17">
        <v>942</v>
      </c>
      <c r="O147" s="17">
        <v>682</v>
      </c>
      <c r="P147" s="26">
        <f>(data[[#This Row],[LoadedMiles]]/data[[#This Row],[TotalMiles]])*100</f>
        <v>72.399150743099781</v>
      </c>
      <c r="Q147" s="25">
        <f>data[[#This Row],[ShippingCost]]/data[[#This Row],[TotalMiles]]</f>
        <v>6.3057324840764331</v>
      </c>
      <c r="R147" s="17">
        <v>5940</v>
      </c>
      <c r="S147" s="25">
        <f>data[[#This Row],[Revenue]]/data[[#This Row],[TotalMiles]]</f>
        <v>6.5562632696390661</v>
      </c>
      <c r="T147" s="26">
        <f>data[[#This Row],[Revenue]]-data[[#This Row],[ShippingCost]]</f>
        <v>236</v>
      </c>
      <c r="U147" s="17">
        <v>6176</v>
      </c>
      <c r="V147" s="17">
        <v>86</v>
      </c>
      <c r="W147" s="17" t="s">
        <v>68</v>
      </c>
      <c r="X147" s="17">
        <v>1</v>
      </c>
      <c r="Y147" s="17">
        <f>data[[#This Row],[DeliveryDate]]-data[[#This Row],[ShipDate]]</f>
        <v>7</v>
      </c>
      <c r="Z147" s="17" t="str">
        <f>IF(data[[#This Row],[Actual Delivery Days]]&gt;AD148,"Yes","No")</f>
        <v>Yes</v>
      </c>
    </row>
    <row r="148" spans="1:26">
      <c r="A148" s="17">
        <v>10250</v>
      </c>
      <c r="B148" s="17">
        <v>2</v>
      </c>
      <c r="C148" s="17">
        <v>6</v>
      </c>
      <c r="D148" s="17" t="s">
        <v>563</v>
      </c>
      <c r="E148" s="17" t="s">
        <v>54</v>
      </c>
      <c r="F148" s="17" t="str">
        <f>TEXT(data[[#This Row],[ShipDate]],"yyyy - mmmm")</f>
        <v>2016 - April</v>
      </c>
      <c r="G148" s="17" t="str">
        <f>data[[#This Row],[OriginCity]] &amp; " - "  &amp; data[[#This Row],[DestinationCity]]</f>
        <v>Springfield - Skokie</v>
      </c>
      <c r="H148" s="17" t="s">
        <v>30</v>
      </c>
      <c r="I148" s="17" t="s">
        <v>31</v>
      </c>
      <c r="J148" s="17">
        <v>9</v>
      </c>
      <c r="K148" s="17" t="s">
        <v>35</v>
      </c>
      <c r="L148" s="17" t="s">
        <v>31</v>
      </c>
      <c r="M148" s="17" t="s">
        <v>418</v>
      </c>
      <c r="N148" s="17">
        <v>806</v>
      </c>
      <c r="O148" s="17">
        <v>262</v>
      </c>
      <c r="P148" s="26">
        <f>(data[[#This Row],[LoadedMiles]]/data[[#This Row],[TotalMiles]])*100</f>
        <v>32.506203473945412</v>
      </c>
      <c r="Q148" s="25">
        <f>data[[#This Row],[ShippingCost]]/data[[#This Row],[TotalMiles]]</f>
        <v>7.8796526054590572</v>
      </c>
      <c r="R148" s="17">
        <v>6351</v>
      </c>
      <c r="S148" s="25">
        <f>data[[#This Row],[Revenue]]/data[[#This Row],[TotalMiles]]</f>
        <v>8.2133995037220835</v>
      </c>
      <c r="T148" s="26">
        <f>data[[#This Row],[Revenue]]-data[[#This Row],[ShippingCost]]</f>
        <v>269</v>
      </c>
      <c r="U148" s="17">
        <v>6620</v>
      </c>
      <c r="V148" s="17">
        <v>91</v>
      </c>
      <c r="W148" s="17" t="s">
        <v>68</v>
      </c>
      <c r="X148" s="17">
        <v>6</v>
      </c>
      <c r="Y148" s="17">
        <f>data[[#This Row],[DeliveryDate]]-data[[#This Row],[ShipDate]]</f>
        <v>9</v>
      </c>
      <c r="Z148" s="17" t="str">
        <f>IF(data[[#This Row],[Actual Delivery Days]]&gt;AD149,"Yes","No")</f>
        <v>Yes</v>
      </c>
    </row>
    <row r="149" spans="1:26">
      <c r="A149" s="17">
        <v>10331</v>
      </c>
      <c r="B149" s="17">
        <v>1</v>
      </c>
      <c r="C149" s="17">
        <v>8</v>
      </c>
      <c r="D149" s="17" t="s">
        <v>187</v>
      </c>
      <c r="E149" s="17" t="s">
        <v>381</v>
      </c>
      <c r="F149" s="17" t="str">
        <f>TEXT(data[[#This Row],[ShipDate]],"yyyy - mmmm")</f>
        <v>2016 - March</v>
      </c>
      <c r="G149" s="17" t="str">
        <f>data[[#This Row],[OriginCity]] &amp; " - "  &amp; data[[#This Row],[DestinationCity]]</f>
        <v>Bangor - Davenport</v>
      </c>
      <c r="H149" s="17" t="s">
        <v>104</v>
      </c>
      <c r="I149" s="17" t="s">
        <v>21</v>
      </c>
      <c r="J149" s="17">
        <v>9</v>
      </c>
      <c r="K149" s="17" t="s">
        <v>105</v>
      </c>
      <c r="L149" s="17" t="s">
        <v>106</v>
      </c>
      <c r="M149" s="17" t="s">
        <v>121</v>
      </c>
      <c r="N149" s="17">
        <v>661</v>
      </c>
      <c r="O149" s="17">
        <v>514</v>
      </c>
      <c r="P149" s="26">
        <f>(data[[#This Row],[LoadedMiles]]/data[[#This Row],[TotalMiles]])*100</f>
        <v>77.760968229954614</v>
      </c>
      <c r="Q149" s="25">
        <f>data[[#This Row],[ShippingCost]]/data[[#This Row],[TotalMiles]]</f>
        <v>0.4114977307110439</v>
      </c>
      <c r="R149" s="17">
        <v>272</v>
      </c>
      <c r="S149" s="25">
        <f>data[[#This Row],[Revenue]]/data[[#This Row],[TotalMiles]]</f>
        <v>1.3101361573373675</v>
      </c>
      <c r="T149" s="26">
        <f>data[[#This Row],[Revenue]]-data[[#This Row],[ShippingCost]]</f>
        <v>594</v>
      </c>
      <c r="U149" s="17">
        <v>866</v>
      </c>
      <c r="V149" s="17">
        <v>66</v>
      </c>
      <c r="W149" s="17" t="s">
        <v>68</v>
      </c>
      <c r="X149" s="17">
        <v>6</v>
      </c>
      <c r="Y149" s="17">
        <f>data[[#This Row],[DeliveryDate]]-data[[#This Row],[ShipDate]]</f>
        <v>6</v>
      </c>
      <c r="Z149" s="17" t="str">
        <f>IF(data[[#This Row],[Actual Delivery Days]]&gt;AD150,"Yes","No")</f>
        <v>Yes</v>
      </c>
    </row>
    <row r="150" spans="1:26">
      <c r="A150" s="17">
        <v>10340</v>
      </c>
      <c r="B150" s="17">
        <v>1</v>
      </c>
      <c r="C150" s="17">
        <v>7</v>
      </c>
      <c r="D150" s="17" t="s">
        <v>213</v>
      </c>
      <c r="E150" s="17" t="s">
        <v>245</v>
      </c>
      <c r="F150" s="17" t="str">
        <f>TEXT(data[[#This Row],[ShipDate]],"yyyy - mmmm")</f>
        <v>2016 - January</v>
      </c>
      <c r="G150" s="17" t="str">
        <f>data[[#This Row],[OriginCity]] &amp; " - "  &amp; data[[#This Row],[DestinationCity]]</f>
        <v>Detriot - Monon</v>
      </c>
      <c r="H150" s="17" t="s">
        <v>52</v>
      </c>
      <c r="I150" s="17" t="s">
        <v>21</v>
      </c>
      <c r="J150" s="17">
        <v>9</v>
      </c>
      <c r="K150" s="17" t="s">
        <v>53</v>
      </c>
      <c r="L150" s="17" t="s">
        <v>44</v>
      </c>
      <c r="M150" s="17" t="s">
        <v>394</v>
      </c>
      <c r="N150" s="17">
        <v>754</v>
      </c>
      <c r="O150" s="17">
        <v>754</v>
      </c>
      <c r="P150" s="26">
        <f>(data[[#This Row],[LoadedMiles]]/data[[#This Row],[TotalMiles]])*100</f>
        <v>100</v>
      </c>
      <c r="Q150" s="25">
        <f>data[[#This Row],[ShippingCost]]/data[[#This Row],[TotalMiles]]</f>
        <v>8.1564986737400531</v>
      </c>
      <c r="R150" s="17">
        <v>6150</v>
      </c>
      <c r="S150" s="25">
        <f>data[[#This Row],[Revenue]]/data[[#This Row],[TotalMiles]]</f>
        <v>8.588859416445624</v>
      </c>
      <c r="T150" s="26">
        <f>data[[#This Row],[Revenue]]-data[[#This Row],[ShippingCost]]</f>
        <v>326</v>
      </c>
      <c r="U150" s="17">
        <v>6476</v>
      </c>
      <c r="V150" s="17">
        <v>68</v>
      </c>
      <c r="W150" s="17" t="s">
        <v>68</v>
      </c>
      <c r="X150" s="17">
        <v>8</v>
      </c>
      <c r="Y150" s="17">
        <f>data[[#This Row],[DeliveryDate]]-data[[#This Row],[ShipDate]]</f>
        <v>9</v>
      </c>
      <c r="Z150" s="17" t="str">
        <f>IF(data[[#This Row],[Actual Delivery Days]]&gt;AD151,"Yes","No")</f>
        <v>Yes</v>
      </c>
    </row>
    <row r="151" spans="1:26">
      <c r="A151" s="17">
        <v>10341</v>
      </c>
      <c r="B151" s="17">
        <v>2</v>
      </c>
      <c r="C151" s="17">
        <v>8</v>
      </c>
      <c r="D151" s="17" t="s">
        <v>215</v>
      </c>
      <c r="E151" s="17" t="s">
        <v>176</v>
      </c>
      <c r="F151" s="17" t="str">
        <f>TEXT(data[[#This Row],[ShipDate]],"yyyy - mmmm")</f>
        <v>2016 - June</v>
      </c>
      <c r="G151" s="17" t="str">
        <f>data[[#This Row],[OriginCity]] &amp; " - "  &amp; data[[#This Row],[DestinationCity]]</f>
        <v>Gary - Milwaukee</v>
      </c>
      <c r="H151" s="17" t="s">
        <v>57</v>
      </c>
      <c r="I151" s="17" t="s">
        <v>44</v>
      </c>
      <c r="J151" s="17">
        <v>9</v>
      </c>
      <c r="K151" s="17" t="s">
        <v>28</v>
      </c>
      <c r="L151" s="17" t="s">
        <v>29</v>
      </c>
      <c r="M151" s="17" t="s">
        <v>298</v>
      </c>
      <c r="N151" s="17">
        <v>412</v>
      </c>
      <c r="O151" s="17">
        <v>412</v>
      </c>
      <c r="P151" s="26">
        <f>(data[[#This Row],[LoadedMiles]]/data[[#This Row],[TotalMiles]])*100</f>
        <v>100</v>
      </c>
      <c r="Q151" s="25">
        <f>data[[#This Row],[ShippingCost]]/data[[#This Row],[TotalMiles]]</f>
        <v>18.956310679611651</v>
      </c>
      <c r="R151" s="17">
        <v>7810</v>
      </c>
      <c r="S151" s="25">
        <f>data[[#This Row],[Revenue]]/data[[#This Row],[TotalMiles]]</f>
        <v>20.303398058252426</v>
      </c>
      <c r="T151" s="26">
        <f>data[[#This Row],[Revenue]]-data[[#This Row],[ShippingCost]]</f>
        <v>555</v>
      </c>
      <c r="U151" s="17">
        <v>8365</v>
      </c>
      <c r="V151" s="17">
        <v>70</v>
      </c>
      <c r="W151" s="17" t="s">
        <v>68</v>
      </c>
      <c r="X151" s="17">
        <v>6</v>
      </c>
      <c r="Y151" s="17">
        <f>data[[#This Row],[DeliveryDate]]-data[[#This Row],[ShipDate]]</f>
        <v>9</v>
      </c>
      <c r="Z151" s="17" t="str">
        <f>IF(data[[#This Row],[Actual Delivery Days]]&gt;AD152,"Yes","No")</f>
        <v>Yes</v>
      </c>
    </row>
    <row r="152" spans="1:26">
      <c r="A152" s="17">
        <v>10349</v>
      </c>
      <c r="B152" s="17">
        <v>2</v>
      </c>
      <c r="C152" s="17">
        <v>5</v>
      </c>
      <c r="D152" s="17" t="s">
        <v>232</v>
      </c>
      <c r="E152" s="17" t="s">
        <v>296</v>
      </c>
      <c r="F152" s="17" t="str">
        <f>TEXT(data[[#This Row],[ShipDate]],"yyyy - mmmm")</f>
        <v>2016 - March</v>
      </c>
      <c r="G152" s="17" t="str">
        <f>data[[#This Row],[OriginCity]] &amp; " - "  &amp; data[[#This Row],[DestinationCity]]</f>
        <v>Cincinnati - Gary</v>
      </c>
      <c r="H152" s="17" t="s">
        <v>89</v>
      </c>
      <c r="I152" s="17" t="s">
        <v>23</v>
      </c>
      <c r="J152" s="17">
        <v>9</v>
      </c>
      <c r="K152" s="17" t="s">
        <v>57</v>
      </c>
      <c r="L152" s="17" t="s">
        <v>44</v>
      </c>
      <c r="M152" s="17" t="s">
        <v>129</v>
      </c>
      <c r="N152" s="17">
        <v>1076</v>
      </c>
      <c r="O152" s="17">
        <v>699</v>
      </c>
      <c r="P152" s="26">
        <f>(data[[#This Row],[LoadedMiles]]/data[[#This Row],[TotalMiles]])*100</f>
        <v>64.962825278810413</v>
      </c>
      <c r="Q152" s="25">
        <f>data[[#This Row],[ShippingCost]]/data[[#This Row],[TotalMiles]]</f>
        <v>0.3503717472118959</v>
      </c>
      <c r="R152" s="17">
        <v>377</v>
      </c>
      <c r="S152" s="25">
        <f>data[[#This Row],[Revenue]]/data[[#This Row],[TotalMiles]]</f>
        <v>0.50743494423791824</v>
      </c>
      <c r="T152" s="26">
        <f>data[[#This Row],[Revenue]]-data[[#This Row],[ShippingCost]]</f>
        <v>169</v>
      </c>
      <c r="U152" s="17">
        <v>546</v>
      </c>
      <c r="V152" s="17">
        <v>90</v>
      </c>
      <c r="W152" s="17" t="s">
        <v>68</v>
      </c>
      <c r="X152" s="17">
        <v>3</v>
      </c>
      <c r="Y152" s="17">
        <f>data[[#This Row],[DeliveryDate]]-data[[#This Row],[ShipDate]]</f>
        <v>6</v>
      </c>
      <c r="Z152" s="17" t="str">
        <f>IF(data[[#This Row],[Actual Delivery Days]]&gt;AD153,"Yes","No")</f>
        <v>Yes</v>
      </c>
    </row>
    <row r="153" spans="1:26">
      <c r="A153" s="17">
        <v>10386</v>
      </c>
      <c r="B153" s="17">
        <v>1</v>
      </c>
      <c r="C153" s="17">
        <v>7</v>
      </c>
      <c r="D153" s="17" t="s">
        <v>311</v>
      </c>
      <c r="E153" s="17" t="s">
        <v>286</v>
      </c>
      <c r="F153" s="17" t="str">
        <f>TEXT(data[[#This Row],[ShipDate]],"yyyy - mmmm")</f>
        <v>2016 - May</v>
      </c>
      <c r="G153" s="17" t="str">
        <f>data[[#This Row],[OriginCity]] &amp; " - "  &amp; data[[#This Row],[DestinationCity]]</f>
        <v>Gary - Milwaukee</v>
      </c>
      <c r="H153" s="17" t="s">
        <v>57</v>
      </c>
      <c r="I153" s="17" t="s">
        <v>44</v>
      </c>
      <c r="J153" s="17">
        <v>9</v>
      </c>
      <c r="K153" s="17" t="s">
        <v>28</v>
      </c>
      <c r="L153" s="17" t="s">
        <v>29</v>
      </c>
      <c r="M153" s="17" t="s">
        <v>348</v>
      </c>
      <c r="N153" s="17">
        <v>370</v>
      </c>
      <c r="O153" s="17">
        <v>316</v>
      </c>
      <c r="P153" s="26">
        <f>(data[[#This Row],[LoadedMiles]]/data[[#This Row],[TotalMiles]])*100</f>
        <v>85.405405405405403</v>
      </c>
      <c r="Q153" s="25">
        <f>data[[#This Row],[ShippingCost]]/data[[#This Row],[TotalMiles]]</f>
        <v>1.5540540540540539</v>
      </c>
      <c r="R153" s="17">
        <v>575</v>
      </c>
      <c r="S153" s="25">
        <f>data[[#This Row],[Revenue]]/data[[#This Row],[TotalMiles]]</f>
        <v>2.4945945945945946</v>
      </c>
      <c r="T153" s="26">
        <f>data[[#This Row],[Revenue]]-data[[#This Row],[ShippingCost]]</f>
        <v>348</v>
      </c>
      <c r="U153" s="17">
        <v>923</v>
      </c>
      <c r="V153" s="17">
        <v>91</v>
      </c>
      <c r="W153" s="17" t="s">
        <v>68</v>
      </c>
      <c r="X153" s="17">
        <v>1</v>
      </c>
      <c r="Y153" s="17">
        <f>data[[#This Row],[DeliveryDate]]-data[[#This Row],[ShipDate]]</f>
        <v>8</v>
      </c>
      <c r="Z153" s="17" t="str">
        <f>IF(data[[#This Row],[Actual Delivery Days]]&gt;AD154,"Yes","No")</f>
        <v>Yes</v>
      </c>
    </row>
    <row r="154" spans="1:26">
      <c r="A154" s="17">
        <v>10406</v>
      </c>
      <c r="B154" s="17">
        <v>2</v>
      </c>
      <c r="C154" s="17">
        <v>4</v>
      </c>
      <c r="D154" s="17" t="s">
        <v>342</v>
      </c>
      <c r="E154" s="17" t="s">
        <v>79</v>
      </c>
      <c r="F154" s="17" t="str">
        <f>TEXT(data[[#This Row],[ShipDate]],"yyyy - mmmm")</f>
        <v>2016 - June</v>
      </c>
      <c r="G154" s="17" t="str">
        <f>data[[#This Row],[OriginCity]] &amp; " - "  &amp; data[[#This Row],[DestinationCity]]</f>
        <v>Chicago - Rockford</v>
      </c>
      <c r="H154" s="17" t="s">
        <v>39</v>
      </c>
      <c r="I154" s="17" t="s">
        <v>31</v>
      </c>
      <c r="J154" s="17">
        <v>9</v>
      </c>
      <c r="K154" s="17" t="s">
        <v>40</v>
      </c>
      <c r="L154" s="17" t="s">
        <v>31</v>
      </c>
      <c r="M154" s="17" t="s">
        <v>537</v>
      </c>
      <c r="N154" s="17">
        <v>266</v>
      </c>
      <c r="O154" s="17">
        <v>266</v>
      </c>
      <c r="P154" s="26">
        <f>(data[[#This Row],[LoadedMiles]]/data[[#This Row],[TotalMiles]])*100</f>
        <v>100</v>
      </c>
      <c r="Q154" s="25">
        <f>data[[#This Row],[ShippingCost]]/data[[#This Row],[TotalMiles]]</f>
        <v>14.052631578947368</v>
      </c>
      <c r="R154" s="17">
        <v>3738</v>
      </c>
      <c r="S154" s="25">
        <f>data[[#This Row],[Revenue]]/data[[#This Row],[TotalMiles]]</f>
        <v>4.8007518796992485</v>
      </c>
      <c r="T154" s="26">
        <f>data[[#This Row],[Revenue]]-data[[#This Row],[ShippingCost]]</f>
        <v>-2461</v>
      </c>
      <c r="U154" s="17">
        <v>1277</v>
      </c>
      <c r="V154" s="17">
        <v>98</v>
      </c>
      <c r="W154" s="17" t="s">
        <v>68</v>
      </c>
      <c r="X154" s="17">
        <v>4</v>
      </c>
      <c r="Y154" s="17">
        <f>data[[#This Row],[DeliveryDate]]-data[[#This Row],[ShipDate]]</f>
        <v>6</v>
      </c>
      <c r="Z154" s="17" t="str">
        <f>IF(data[[#This Row],[Actual Delivery Days]]&gt;AD155,"Yes","No")</f>
        <v>Yes</v>
      </c>
    </row>
    <row r="155" spans="1:26">
      <c r="A155" s="17">
        <v>10436</v>
      </c>
      <c r="B155" s="17">
        <v>1</v>
      </c>
      <c r="C155" s="17">
        <v>5</v>
      </c>
      <c r="D155" s="17" t="s">
        <v>392</v>
      </c>
      <c r="E155" s="17" t="s">
        <v>204</v>
      </c>
      <c r="F155" s="17" t="str">
        <f>TEXT(data[[#This Row],[ShipDate]],"yyyy - mmmm")</f>
        <v>2016 - January</v>
      </c>
      <c r="G155" s="17" t="str">
        <f>data[[#This Row],[OriginCity]] &amp; " - "  &amp; data[[#This Row],[DestinationCity]]</f>
        <v>Green Bay - Joliet</v>
      </c>
      <c r="H155" s="17" t="s">
        <v>75</v>
      </c>
      <c r="I155" s="17" t="s">
        <v>29</v>
      </c>
      <c r="J155" s="17">
        <v>9</v>
      </c>
      <c r="K155" s="17" t="s">
        <v>61</v>
      </c>
      <c r="L155" s="17" t="s">
        <v>31</v>
      </c>
      <c r="M155" s="17" t="s">
        <v>92</v>
      </c>
      <c r="N155" s="17">
        <v>266</v>
      </c>
      <c r="O155" s="17">
        <v>266</v>
      </c>
      <c r="P155" s="26">
        <f>(data[[#This Row],[LoadedMiles]]/data[[#This Row],[TotalMiles]])*100</f>
        <v>100</v>
      </c>
      <c r="Q155" s="25">
        <f>data[[#This Row],[ShippingCost]]/data[[#This Row],[TotalMiles]]</f>
        <v>23.515037593984964</v>
      </c>
      <c r="R155" s="17">
        <v>6255</v>
      </c>
      <c r="S155" s="25">
        <f>data[[#This Row],[Revenue]]/data[[#This Row],[TotalMiles]]</f>
        <v>25.022556390977442</v>
      </c>
      <c r="T155" s="26">
        <f>data[[#This Row],[Revenue]]-data[[#This Row],[ShippingCost]]</f>
        <v>401</v>
      </c>
      <c r="U155" s="17">
        <v>6656</v>
      </c>
      <c r="V155" s="17">
        <v>88</v>
      </c>
      <c r="W155" s="17" t="s">
        <v>68</v>
      </c>
      <c r="X155" s="17">
        <v>5</v>
      </c>
      <c r="Y155" s="17">
        <f>data[[#This Row],[DeliveryDate]]-data[[#This Row],[ShipDate]]</f>
        <v>9</v>
      </c>
      <c r="Z155" s="17" t="str">
        <f>IF(data[[#This Row],[Actual Delivery Days]]&gt;AD156,"Yes","No")</f>
        <v>Yes</v>
      </c>
    </row>
    <row r="156" spans="1:26">
      <c r="A156" s="17">
        <v>10437</v>
      </c>
      <c r="B156" s="17">
        <v>2</v>
      </c>
      <c r="C156" s="17">
        <v>4</v>
      </c>
      <c r="D156" s="17" t="s">
        <v>393</v>
      </c>
      <c r="E156" s="17" t="s">
        <v>200</v>
      </c>
      <c r="F156" s="17" t="str">
        <f>TEXT(data[[#This Row],[ShipDate]],"yyyy - mmmm")</f>
        <v>2016 - March</v>
      </c>
      <c r="G156" s="17" t="str">
        <f>data[[#This Row],[OriginCity]] &amp; " - "  &amp; data[[#This Row],[DestinationCity]]</f>
        <v>Naperville - Indianapolis</v>
      </c>
      <c r="H156" s="17" t="s">
        <v>48</v>
      </c>
      <c r="I156" s="17" t="s">
        <v>31</v>
      </c>
      <c r="J156" s="17">
        <v>9</v>
      </c>
      <c r="K156" s="17" t="s">
        <v>43</v>
      </c>
      <c r="L156" s="17" t="s">
        <v>44</v>
      </c>
      <c r="M156" s="17" t="s">
        <v>122</v>
      </c>
      <c r="N156" s="17">
        <v>280</v>
      </c>
      <c r="O156" s="17">
        <v>280</v>
      </c>
      <c r="P156" s="26">
        <f>(data[[#This Row],[LoadedMiles]]/data[[#This Row],[TotalMiles]])*100</f>
        <v>100</v>
      </c>
      <c r="Q156" s="25">
        <f>data[[#This Row],[ShippingCost]]/data[[#This Row],[TotalMiles]]</f>
        <v>21.110714285714284</v>
      </c>
      <c r="R156" s="17">
        <v>5911</v>
      </c>
      <c r="S156" s="25">
        <f>data[[#This Row],[Revenue]]/data[[#This Row],[TotalMiles]]</f>
        <v>11.735714285714286</v>
      </c>
      <c r="T156" s="26">
        <f>data[[#This Row],[Revenue]]-data[[#This Row],[ShippingCost]]</f>
        <v>-2625</v>
      </c>
      <c r="U156" s="17">
        <v>3286</v>
      </c>
      <c r="V156" s="17">
        <v>69</v>
      </c>
      <c r="W156" s="17" t="s">
        <v>68</v>
      </c>
      <c r="X156" s="17">
        <v>7</v>
      </c>
      <c r="Y156" s="17">
        <f>data[[#This Row],[DeliveryDate]]-data[[#This Row],[ShipDate]]</f>
        <v>9</v>
      </c>
      <c r="Z156" s="17" t="str">
        <f>IF(data[[#This Row],[Actual Delivery Days]]&gt;AD157,"Yes","No")</f>
        <v>Yes</v>
      </c>
    </row>
    <row r="157" spans="1:26">
      <c r="A157" s="17">
        <v>10442</v>
      </c>
      <c r="B157" s="17">
        <v>2</v>
      </c>
      <c r="C157" s="17">
        <v>8</v>
      </c>
      <c r="D157" s="17" t="s">
        <v>402</v>
      </c>
      <c r="E157" s="17" t="s">
        <v>337</v>
      </c>
      <c r="F157" s="17" t="str">
        <f>TEXT(data[[#This Row],[ShipDate]],"yyyy - mmmm")</f>
        <v>2016 - March</v>
      </c>
      <c r="G157" s="17" t="str">
        <f>data[[#This Row],[OriginCity]] &amp; " - "  &amp; data[[#This Row],[DestinationCity]]</f>
        <v>Lansing - Dayton</v>
      </c>
      <c r="H157" s="17" t="s">
        <v>66</v>
      </c>
      <c r="I157" s="17" t="s">
        <v>21</v>
      </c>
      <c r="J157" s="17">
        <v>9</v>
      </c>
      <c r="K157" s="17" t="s">
        <v>93</v>
      </c>
      <c r="L157" s="17" t="s">
        <v>23</v>
      </c>
      <c r="M157" s="17" t="s">
        <v>272</v>
      </c>
      <c r="N157" s="17">
        <v>265</v>
      </c>
      <c r="O157" s="17">
        <v>265</v>
      </c>
      <c r="P157" s="26">
        <f>(data[[#This Row],[LoadedMiles]]/data[[#This Row],[TotalMiles]])*100</f>
        <v>100</v>
      </c>
      <c r="Q157" s="25">
        <f>data[[#This Row],[ShippingCost]]/data[[#This Row],[TotalMiles]]</f>
        <v>3.030188679245283</v>
      </c>
      <c r="R157" s="17">
        <v>803</v>
      </c>
      <c r="S157" s="25">
        <f>data[[#This Row],[Revenue]]/data[[#This Row],[TotalMiles]]</f>
        <v>3.6905660377358491</v>
      </c>
      <c r="T157" s="26">
        <f>data[[#This Row],[Revenue]]-data[[#This Row],[ShippingCost]]</f>
        <v>175</v>
      </c>
      <c r="U157" s="17">
        <v>978</v>
      </c>
      <c r="V157" s="17">
        <v>51</v>
      </c>
      <c r="W157" s="17" t="s">
        <v>68</v>
      </c>
      <c r="X157" s="17">
        <v>9</v>
      </c>
      <c r="Y157" s="17">
        <f>data[[#This Row],[DeliveryDate]]-data[[#This Row],[ShipDate]]</f>
        <v>7</v>
      </c>
      <c r="Z157" s="17" t="str">
        <f>IF(data[[#This Row],[Actual Delivery Days]]&gt;AD158,"Yes","No")</f>
        <v>Yes</v>
      </c>
    </row>
    <row r="158" spans="1:26">
      <c r="A158" s="17">
        <v>10472</v>
      </c>
      <c r="B158" s="17">
        <v>1</v>
      </c>
      <c r="C158" s="17">
        <v>6</v>
      </c>
      <c r="D158" s="17" t="s">
        <v>455</v>
      </c>
      <c r="E158" s="17" t="s">
        <v>467</v>
      </c>
      <c r="F158" s="17" t="str">
        <f>TEXT(data[[#This Row],[ShipDate]],"yyyy - mmmm")</f>
        <v>2016 - July</v>
      </c>
      <c r="G158" s="17" t="str">
        <f>data[[#This Row],[OriginCity]] &amp; " - "  &amp; data[[#This Row],[DestinationCity]]</f>
        <v>Chicago - Rockford</v>
      </c>
      <c r="H158" s="17" t="s">
        <v>39</v>
      </c>
      <c r="I158" s="17" t="s">
        <v>31</v>
      </c>
      <c r="J158" s="17">
        <v>9</v>
      </c>
      <c r="K158" s="17" t="s">
        <v>40</v>
      </c>
      <c r="L158" s="17" t="s">
        <v>31</v>
      </c>
      <c r="M158" s="17" t="s">
        <v>386</v>
      </c>
      <c r="N158" s="17">
        <v>1179</v>
      </c>
      <c r="O158" s="17">
        <v>286</v>
      </c>
      <c r="P158" s="26">
        <f>(data[[#This Row],[LoadedMiles]]/data[[#This Row],[TotalMiles]])*100</f>
        <v>24.257845631891435</v>
      </c>
      <c r="Q158" s="25">
        <f>data[[#This Row],[ShippingCost]]/data[[#This Row],[TotalMiles]]</f>
        <v>1.8524173027989821</v>
      </c>
      <c r="R158" s="17">
        <v>2184</v>
      </c>
      <c r="S158" s="25">
        <f>data[[#This Row],[Revenue]]/data[[#This Row],[TotalMiles]]</f>
        <v>1.9770992366412214</v>
      </c>
      <c r="T158" s="26">
        <f>data[[#This Row],[Revenue]]-data[[#This Row],[ShippingCost]]</f>
        <v>147</v>
      </c>
      <c r="U158" s="17">
        <v>2331</v>
      </c>
      <c r="V158" s="17">
        <v>57</v>
      </c>
      <c r="W158" s="17" t="s">
        <v>68</v>
      </c>
      <c r="X158" s="17">
        <v>6</v>
      </c>
      <c r="Y158" s="17">
        <f>data[[#This Row],[DeliveryDate]]-data[[#This Row],[ShipDate]]</f>
        <v>9</v>
      </c>
      <c r="Z158" s="17" t="str">
        <f>IF(data[[#This Row],[Actual Delivery Days]]&gt;AD159,"Yes","No")</f>
        <v>Yes</v>
      </c>
    </row>
    <row r="159" spans="1:26">
      <c r="A159" s="17">
        <v>10474</v>
      </c>
      <c r="B159" s="17">
        <v>1</v>
      </c>
      <c r="C159" s="17">
        <v>7</v>
      </c>
      <c r="D159" s="17" t="s">
        <v>457</v>
      </c>
      <c r="E159" s="17" t="s">
        <v>387</v>
      </c>
      <c r="F159" s="17" t="str">
        <f>TEXT(data[[#This Row],[ShipDate]],"yyyy - mmmm")</f>
        <v>2016 - August</v>
      </c>
      <c r="G159" s="17" t="str">
        <f>data[[#This Row],[OriginCity]] &amp; " - "  &amp; data[[#This Row],[DestinationCity]]</f>
        <v>Northbrook - Naperville</v>
      </c>
      <c r="H159" s="17" t="s">
        <v>45</v>
      </c>
      <c r="I159" s="17" t="s">
        <v>31</v>
      </c>
      <c r="J159" s="17">
        <v>9</v>
      </c>
      <c r="K159" s="17" t="s">
        <v>48</v>
      </c>
      <c r="L159" s="17" t="s">
        <v>31</v>
      </c>
      <c r="M159" s="17" t="s">
        <v>82</v>
      </c>
      <c r="N159" s="17">
        <v>565</v>
      </c>
      <c r="O159" s="17">
        <v>215</v>
      </c>
      <c r="P159" s="26">
        <f>(data[[#This Row],[LoadedMiles]]/data[[#This Row],[TotalMiles]])*100</f>
        <v>38.053097345132741</v>
      </c>
      <c r="Q159" s="25">
        <f>data[[#This Row],[ShippingCost]]/data[[#This Row],[TotalMiles]]</f>
        <v>9.6477876106194689</v>
      </c>
      <c r="R159" s="17">
        <v>5451</v>
      </c>
      <c r="S159" s="25">
        <f>data[[#This Row],[Revenue]]/data[[#This Row],[TotalMiles]]</f>
        <v>11.079646017699115</v>
      </c>
      <c r="T159" s="26">
        <f>data[[#This Row],[Revenue]]-data[[#This Row],[ShippingCost]]</f>
        <v>809</v>
      </c>
      <c r="U159" s="17">
        <v>6260</v>
      </c>
      <c r="V159" s="17">
        <v>90</v>
      </c>
      <c r="W159" s="17" t="s">
        <v>68</v>
      </c>
      <c r="X159" s="17">
        <v>5</v>
      </c>
      <c r="Y159" s="17">
        <f>data[[#This Row],[DeliveryDate]]-data[[#This Row],[ShipDate]]</f>
        <v>-141</v>
      </c>
      <c r="Z159" s="17" t="str">
        <f>IF(data[[#This Row],[Actual Delivery Days]]&gt;AD160,"Yes","No")</f>
        <v>No</v>
      </c>
    </row>
    <row r="160" spans="1:26">
      <c r="A160" s="17">
        <v>10489</v>
      </c>
      <c r="B160" s="17">
        <v>1</v>
      </c>
      <c r="C160" s="17">
        <v>8</v>
      </c>
      <c r="D160" s="17" t="s">
        <v>479</v>
      </c>
      <c r="E160" s="17" t="s">
        <v>116</v>
      </c>
      <c r="F160" s="17" t="str">
        <f>TEXT(data[[#This Row],[ShipDate]],"yyyy - mmmm")</f>
        <v>2016 - July</v>
      </c>
      <c r="G160" s="17" t="str">
        <f>data[[#This Row],[OriginCity]] &amp; " - "  &amp; data[[#This Row],[DestinationCity]]</f>
        <v>Skokie - Chicago</v>
      </c>
      <c r="H160" s="17" t="s">
        <v>35</v>
      </c>
      <c r="I160" s="17" t="s">
        <v>31</v>
      </c>
      <c r="J160" s="17">
        <v>9</v>
      </c>
      <c r="K160" s="17" t="s">
        <v>39</v>
      </c>
      <c r="L160" s="17" t="s">
        <v>31</v>
      </c>
      <c r="M160" s="17" t="s">
        <v>180</v>
      </c>
      <c r="N160" s="17">
        <v>937</v>
      </c>
      <c r="O160" s="17">
        <v>229</v>
      </c>
      <c r="P160" s="26">
        <f>(data[[#This Row],[LoadedMiles]]/data[[#This Row],[TotalMiles]])*100</f>
        <v>24.439701173959445</v>
      </c>
      <c r="Q160" s="25">
        <f>data[[#This Row],[ShippingCost]]/data[[#This Row],[TotalMiles]]</f>
        <v>6.5859124866595522</v>
      </c>
      <c r="R160" s="17">
        <v>6171</v>
      </c>
      <c r="S160" s="25">
        <f>data[[#This Row],[Revenue]]/data[[#This Row],[TotalMiles]]</f>
        <v>6.8420490928495195</v>
      </c>
      <c r="T160" s="26">
        <f>data[[#This Row],[Revenue]]-data[[#This Row],[ShippingCost]]</f>
        <v>240</v>
      </c>
      <c r="U160" s="17">
        <v>6411</v>
      </c>
      <c r="V160" s="17">
        <v>99</v>
      </c>
      <c r="W160" s="17" t="s">
        <v>68</v>
      </c>
      <c r="X160" s="17">
        <v>7</v>
      </c>
      <c r="Y160" s="17">
        <f>data[[#This Row],[DeliveryDate]]-data[[#This Row],[ShipDate]]</f>
        <v>9</v>
      </c>
      <c r="Z160" s="17" t="str">
        <f>IF(data[[#This Row],[Actual Delivery Days]]&gt;AD161,"Yes","No")</f>
        <v>Yes</v>
      </c>
    </row>
    <row r="161" spans="1:26">
      <c r="A161" s="17">
        <v>10492</v>
      </c>
      <c r="B161" s="17">
        <v>2</v>
      </c>
      <c r="C161" s="17">
        <v>7</v>
      </c>
      <c r="D161" s="17" t="s">
        <v>484</v>
      </c>
      <c r="E161" s="17" t="s">
        <v>114</v>
      </c>
      <c r="F161" s="17" t="str">
        <f>TEXT(data[[#This Row],[ShipDate]],"yyyy - mmmm")</f>
        <v>2016 - April</v>
      </c>
      <c r="G161" s="17" t="str">
        <f>data[[#This Row],[OriginCity]] &amp; " - "  &amp; data[[#This Row],[DestinationCity]]</f>
        <v>Milwaukee - Springfield</v>
      </c>
      <c r="H161" s="17" t="s">
        <v>28</v>
      </c>
      <c r="I161" s="17" t="s">
        <v>29</v>
      </c>
      <c r="J161" s="17">
        <v>9</v>
      </c>
      <c r="K161" s="17" t="s">
        <v>30</v>
      </c>
      <c r="L161" s="17" t="s">
        <v>31</v>
      </c>
      <c r="M161" s="17" t="s">
        <v>82</v>
      </c>
      <c r="N161" s="17">
        <v>1017</v>
      </c>
      <c r="O161" s="17">
        <v>421</v>
      </c>
      <c r="P161" s="26">
        <f>(data[[#This Row],[LoadedMiles]]/data[[#This Row],[TotalMiles]])*100</f>
        <v>41.396263520157326</v>
      </c>
      <c r="Q161" s="25">
        <f>data[[#This Row],[ShippingCost]]/data[[#This Row],[TotalMiles]]</f>
        <v>4.943952802359882</v>
      </c>
      <c r="R161" s="17">
        <v>5028</v>
      </c>
      <c r="S161" s="25">
        <f>data[[#This Row],[Revenue]]/data[[#This Row],[TotalMiles]]</f>
        <v>5.2527040314650932</v>
      </c>
      <c r="T161" s="26">
        <f>data[[#This Row],[Revenue]]-data[[#This Row],[ShippingCost]]</f>
        <v>314</v>
      </c>
      <c r="U161" s="17">
        <v>5342</v>
      </c>
      <c r="V161" s="17">
        <v>86</v>
      </c>
      <c r="W161" s="17" t="s">
        <v>68</v>
      </c>
      <c r="X161" s="17">
        <v>7</v>
      </c>
      <c r="Y161" s="17">
        <f>data[[#This Row],[DeliveryDate]]-data[[#This Row],[ShipDate]]</f>
        <v>-37</v>
      </c>
      <c r="Z161" s="17" t="str">
        <f>IF(data[[#This Row],[Actual Delivery Days]]&gt;AD162,"Yes","No")</f>
        <v>No</v>
      </c>
    </row>
    <row r="162" spans="1:26">
      <c r="A162" s="17">
        <v>10506</v>
      </c>
      <c r="B162" s="17">
        <v>1</v>
      </c>
      <c r="C162" s="17">
        <v>4</v>
      </c>
      <c r="D162" s="17" t="s">
        <v>504</v>
      </c>
      <c r="E162" s="17" t="s">
        <v>264</v>
      </c>
      <c r="F162" s="17" t="str">
        <f>TEXT(data[[#This Row],[ShipDate]],"yyyy - mmmm")</f>
        <v>2016 - January</v>
      </c>
      <c r="G162" s="17" t="str">
        <f>data[[#This Row],[OriginCity]] &amp; " - "  &amp; data[[#This Row],[DestinationCity]]</f>
        <v>Lansing - Dayton</v>
      </c>
      <c r="H162" s="17" t="s">
        <v>66</v>
      </c>
      <c r="I162" s="17" t="s">
        <v>21</v>
      </c>
      <c r="J162" s="17">
        <v>9</v>
      </c>
      <c r="K162" s="17" t="s">
        <v>93</v>
      </c>
      <c r="L162" s="17" t="s">
        <v>23</v>
      </c>
      <c r="M162" s="17" t="s">
        <v>229</v>
      </c>
      <c r="N162" s="17">
        <v>1032</v>
      </c>
      <c r="O162" s="17">
        <v>409</v>
      </c>
      <c r="P162" s="26">
        <f>(data[[#This Row],[LoadedMiles]]/data[[#This Row],[TotalMiles]])*100</f>
        <v>39.631782945736433</v>
      </c>
      <c r="Q162" s="25">
        <f>data[[#This Row],[ShippingCost]]/data[[#This Row],[TotalMiles]]</f>
        <v>5.295542635658915</v>
      </c>
      <c r="R162" s="17">
        <v>5465</v>
      </c>
      <c r="S162" s="25">
        <f>data[[#This Row],[Revenue]]/data[[#This Row],[TotalMiles]]</f>
        <v>3.373062015503876</v>
      </c>
      <c r="T162" s="26">
        <f>data[[#This Row],[Revenue]]-data[[#This Row],[ShippingCost]]</f>
        <v>-1984</v>
      </c>
      <c r="U162" s="17">
        <v>3481</v>
      </c>
      <c r="V162" s="17">
        <v>90</v>
      </c>
      <c r="W162" s="17" t="s">
        <v>68</v>
      </c>
      <c r="X162" s="17">
        <v>9</v>
      </c>
      <c r="Y162" s="17">
        <f>data[[#This Row],[DeliveryDate]]-data[[#This Row],[ShipDate]]</f>
        <v>9</v>
      </c>
      <c r="Z162" s="17" t="str">
        <f>IF(data[[#This Row],[Actual Delivery Days]]&gt;AD163,"Yes","No")</f>
        <v>Yes</v>
      </c>
    </row>
    <row r="163" spans="1:26">
      <c r="A163" s="17">
        <v>10508</v>
      </c>
      <c r="B163" s="17">
        <v>2</v>
      </c>
      <c r="C163" s="17">
        <v>4</v>
      </c>
      <c r="D163" s="17" t="s">
        <v>506</v>
      </c>
      <c r="E163" s="17" t="s">
        <v>193</v>
      </c>
      <c r="F163" s="17" t="str">
        <f>TEXT(data[[#This Row],[ShipDate]],"yyyy - mmmm")</f>
        <v>2016 - January</v>
      </c>
      <c r="G163" s="17" t="str">
        <f>data[[#This Row],[OriginCity]] &amp; " - "  &amp; data[[#This Row],[DestinationCity]]</f>
        <v>Elgin - Cincinnati</v>
      </c>
      <c r="H163" s="17" t="s">
        <v>94</v>
      </c>
      <c r="I163" s="17" t="s">
        <v>31</v>
      </c>
      <c r="J163" s="17">
        <v>9</v>
      </c>
      <c r="K163" s="17" t="s">
        <v>89</v>
      </c>
      <c r="L163" s="17" t="s">
        <v>23</v>
      </c>
      <c r="M163" s="17" t="s">
        <v>396</v>
      </c>
      <c r="N163" s="17">
        <v>1165</v>
      </c>
      <c r="O163" s="17">
        <v>437</v>
      </c>
      <c r="P163" s="26">
        <f>(data[[#This Row],[LoadedMiles]]/data[[#This Row],[TotalMiles]])*100</f>
        <v>37.510729613733908</v>
      </c>
      <c r="Q163" s="25">
        <f>data[[#This Row],[ShippingCost]]/data[[#This Row],[TotalMiles]]</f>
        <v>2.7175965665236053</v>
      </c>
      <c r="R163" s="17">
        <v>3166</v>
      </c>
      <c r="S163" s="25">
        <f>data[[#This Row],[Revenue]]/data[[#This Row],[TotalMiles]]</f>
        <v>1.0626609442060087</v>
      </c>
      <c r="T163" s="26">
        <f>data[[#This Row],[Revenue]]-data[[#This Row],[ShippingCost]]</f>
        <v>-1928</v>
      </c>
      <c r="U163" s="17">
        <v>1238</v>
      </c>
      <c r="V163" s="17">
        <v>71</v>
      </c>
      <c r="W163" s="17" t="s">
        <v>68</v>
      </c>
      <c r="X163" s="17">
        <v>10</v>
      </c>
      <c r="Y163" s="17">
        <f>data[[#This Row],[DeliveryDate]]-data[[#This Row],[ShipDate]]</f>
        <v>9</v>
      </c>
      <c r="Z163" s="17" t="str">
        <f>IF(data[[#This Row],[Actual Delivery Days]]&gt;AD164,"Yes","No")</f>
        <v>Yes</v>
      </c>
    </row>
    <row r="164" spans="1:26">
      <c r="A164" s="17">
        <v>10560</v>
      </c>
      <c r="B164" s="17">
        <v>1</v>
      </c>
      <c r="C164" s="17">
        <v>4</v>
      </c>
      <c r="D164" s="17" t="s">
        <v>578</v>
      </c>
      <c r="E164" s="17" t="s">
        <v>608</v>
      </c>
      <c r="F164" s="17" t="str">
        <f>TEXT(data[[#This Row],[ShipDate]],"yyyy - mmmm")</f>
        <v>2016 - July</v>
      </c>
      <c r="G164" s="17" t="str">
        <f>data[[#This Row],[OriginCity]] &amp; " - "  &amp; data[[#This Row],[DestinationCity]]</f>
        <v>Gary - Milwaukee</v>
      </c>
      <c r="H164" s="17" t="s">
        <v>57</v>
      </c>
      <c r="I164" s="17" t="s">
        <v>44</v>
      </c>
      <c r="J164" s="17">
        <v>9</v>
      </c>
      <c r="K164" s="17" t="s">
        <v>28</v>
      </c>
      <c r="L164" s="17" t="s">
        <v>29</v>
      </c>
      <c r="M164" s="17" t="s">
        <v>426</v>
      </c>
      <c r="N164" s="17">
        <v>778</v>
      </c>
      <c r="O164" s="17">
        <v>485</v>
      </c>
      <c r="P164" s="26">
        <f>(data[[#This Row],[LoadedMiles]]/data[[#This Row],[TotalMiles]])*100</f>
        <v>62.339331619537276</v>
      </c>
      <c r="Q164" s="25">
        <f>data[[#This Row],[ShippingCost]]/data[[#This Row],[TotalMiles]]</f>
        <v>4.0141388174807195</v>
      </c>
      <c r="R164" s="17">
        <v>3123</v>
      </c>
      <c r="S164" s="25">
        <f>data[[#This Row],[Revenue]]/data[[#This Row],[TotalMiles]]</f>
        <v>0.7005141388174807</v>
      </c>
      <c r="T164" s="26">
        <f>data[[#This Row],[Revenue]]-data[[#This Row],[ShippingCost]]</f>
        <v>-2578</v>
      </c>
      <c r="U164" s="17">
        <v>545</v>
      </c>
      <c r="V164" s="17">
        <v>54</v>
      </c>
      <c r="W164" s="17" t="s">
        <v>68</v>
      </c>
      <c r="X164" s="17">
        <v>10</v>
      </c>
      <c r="Y164" s="17">
        <f>data[[#This Row],[DeliveryDate]]-data[[#This Row],[ShipDate]]</f>
        <v>9</v>
      </c>
      <c r="Z164" s="17" t="str">
        <f>IF(data[[#This Row],[Actual Delivery Days]]&gt;AD165,"Yes","No")</f>
        <v>Yes</v>
      </c>
    </row>
    <row r="165" spans="1:26">
      <c r="A165" s="17">
        <v>10561</v>
      </c>
      <c r="B165" s="17">
        <v>1</v>
      </c>
      <c r="C165" s="17">
        <v>4</v>
      </c>
      <c r="D165" s="17" t="s">
        <v>579</v>
      </c>
      <c r="E165" s="17" t="s">
        <v>327</v>
      </c>
      <c r="F165" s="17" t="str">
        <f>TEXT(data[[#This Row],[ShipDate]],"yyyy - mmmm")</f>
        <v>2016 - January</v>
      </c>
      <c r="G165" s="17" t="str">
        <f>data[[#This Row],[OriginCity]] &amp; " - "  &amp; data[[#This Row],[DestinationCity]]</f>
        <v>Joliet - Madison</v>
      </c>
      <c r="H165" s="17" t="s">
        <v>61</v>
      </c>
      <c r="I165" s="17" t="s">
        <v>31</v>
      </c>
      <c r="J165" s="17">
        <v>9</v>
      </c>
      <c r="K165" s="17" t="s">
        <v>62</v>
      </c>
      <c r="L165" s="17" t="s">
        <v>29</v>
      </c>
      <c r="M165" s="17" t="s">
        <v>309</v>
      </c>
      <c r="N165" s="17">
        <v>1046</v>
      </c>
      <c r="O165" s="17">
        <v>572</v>
      </c>
      <c r="P165" s="26">
        <f>(data[[#This Row],[LoadedMiles]]/data[[#This Row],[TotalMiles]])*100</f>
        <v>54.684512428298284</v>
      </c>
      <c r="Q165" s="25">
        <f>data[[#This Row],[ShippingCost]]/data[[#This Row],[TotalMiles]]</f>
        <v>6.6118546845124282</v>
      </c>
      <c r="R165" s="17">
        <v>6916</v>
      </c>
      <c r="S165" s="25">
        <f>data[[#This Row],[Revenue]]/data[[#This Row],[TotalMiles]]</f>
        <v>5.0334608030592731</v>
      </c>
      <c r="T165" s="26">
        <f>data[[#This Row],[Revenue]]-data[[#This Row],[ShippingCost]]</f>
        <v>-1651</v>
      </c>
      <c r="U165" s="17">
        <v>5265</v>
      </c>
      <c r="V165" s="17">
        <v>58</v>
      </c>
      <c r="W165" s="17" t="s">
        <v>68</v>
      </c>
      <c r="X165" s="17">
        <v>10</v>
      </c>
      <c r="Y165" s="17">
        <f>data[[#This Row],[DeliveryDate]]-data[[#This Row],[ShipDate]]</f>
        <v>9</v>
      </c>
      <c r="Z165" s="17" t="str">
        <f>IF(data[[#This Row],[Actual Delivery Days]]&gt;AD166,"Yes","No")</f>
        <v>Yes</v>
      </c>
    </row>
    <row r="166" spans="1:26">
      <c r="A166" s="17">
        <v>10578</v>
      </c>
      <c r="B166" s="17">
        <v>1</v>
      </c>
      <c r="C166" s="17">
        <v>8</v>
      </c>
      <c r="D166" s="17" t="s">
        <v>600</v>
      </c>
      <c r="E166" s="17" t="s">
        <v>293</v>
      </c>
      <c r="F166" s="17" t="str">
        <f>TEXT(data[[#This Row],[ShipDate]],"yyyy - mmmm")</f>
        <v>2016 - June</v>
      </c>
      <c r="G166" s="17" t="str">
        <f>data[[#This Row],[OriginCity]] &amp; " - "  &amp; data[[#This Row],[DestinationCity]]</f>
        <v>Springfield - Skokie</v>
      </c>
      <c r="H166" s="17" t="s">
        <v>30</v>
      </c>
      <c r="I166" s="17" t="s">
        <v>31</v>
      </c>
      <c r="J166" s="17">
        <v>9</v>
      </c>
      <c r="K166" s="17" t="s">
        <v>35</v>
      </c>
      <c r="L166" s="17" t="s">
        <v>31</v>
      </c>
      <c r="M166" s="17" t="s">
        <v>399</v>
      </c>
      <c r="N166" s="17">
        <v>614</v>
      </c>
      <c r="O166" s="17">
        <v>521</v>
      </c>
      <c r="P166" s="26">
        <f>(data[[#This Row],[LoadedMiles]]/data[[#This Row],[TotalMiles]])*100</f>
        <v>84.853420195439739</v>
      </c>
      <c r="Q166" s="25">
        <f>data[[#This Row],[ShippingCost]]/data[[#This Row],[TotalMiles]]</f>
        <v>2.3127035830618894</v>
      </c>
      <c r="R166" s="17">
        <v>1420</v>
      </c>
      <c r="S166" s="25">
        <f>data[[#This Row],[Revenue]]/data[[#This Row],[TotalMiles]]</f>
        <v>3.2866449511400653</v>
      </c>
      <c r="T166" s="26">
        <f>data[[#This Row],[Revenue]]-data[[#This Row],[ShippingCost]]</f>
        <v>598</v>
      </c>
      <c r="U166" s="17">
        <v>2018</v>
      </c>
      <c r="V166" s="17">
        <v>68</v>
      </c>
      <c r="W166" s="17" t="s">
        <v>68</v>
      </c>
      <c r="X166" s="17">
        <v>8</v>
      </c>
      <c r="Y166" s="17">
        <f>data[[#This Row],[DeliveryDate]]-data[[#This Row],[ShipDate]]</f>
        <v>9</v>
      </c>
      <c r="Z166" s="17" t="str">
        <f>IF(data[[#This Row],[Actual Delivery Days]]&gt;AD167,"Yes","No")</f>
        <v>Yes</v>
      </c>
    </row>
    <row r="167" spans="1:26">
      <c r="A167" s="17">
        <v>10579</v>
      </c>
      <c r="B167" s="17">
        <v>2</v>
      </c>
      <c r="C167" s="17">
        <v>7</v>
      </c>
      <c r="D167" s="17" t="s">
        <v>601</v>
      </c>
      <c r="E167" s="17" t="s">
        <v>149</v>
      </c>
      <c r="F167" s="17" t="str">
        <f>TEXT(data[[#This Row],[ShipDate]],"yyyy - mmmm")</f>
        <v>2016 - July</v>
      </c>
      <c r="G167" s="17" t="str">
        <f>data[[#This Row],[OriginCity]] &amp; " - "  &amp; data[[#This Row],[DestinationCity]]</f>
        <v>Chicago - Rockford</v>
      </c>
      <c r="H167" s="17" t="s">
        <v>39</v>
      </c>
      <c r="I167" s="17" t="s">
        <v>31</v>
      </c>
      <c r="J167" s="17">
        <v>9</v>
      </c>
      <c r="K167" s="17" t="s">
        <v>40</v>
      </c>
      <c r="L167" s="17" t="s">
        <v>31</v>
      </c>
      <c r="M167" s="17" t="s">
        <v>184</v>
      </c>
      <c r="N167" s="17">
        <v>630</v>
      </c>
      <c r="O167" s="17">
        <v>214</v>
      </c>
      <c r="P167" s="26">
        <f>(data[[#This Row],[LoadedMiles]]/data[[#This Row],[TotalMiles]])*100</f>
        <v>33.968253968253968</v>
      </c>
      <c r="Q167" s="25">
        <f>data[[#This Row],[ShippingCost]]/data[[#This Row],[TotalMiles]]</f>
        <v>5.1888888888888891</v>
      </c>
      <c r="R167" s="17">
        <v>3269</v>
      </c>
      <c r="S167" s="25">
        <f>data[[#This Row],[Revenue]]/data[[#This Row],[TotalMiles]]</f>
        <v>5.647619047619048</v>
      </c>
      <c r="T167" s="26">
        <f>data[[#This Row],[Revenue]]-data[[#This Row],[ShippingCost]]</f>
        <v>289</v>
      </c>
      <c r="U167" s="17">
        <v>3558</v>
      </c>
      <c r="V167" s="17">
        <v>63</v>
      </c>
      <c r="W167" s="17" t="s">
        <v>68</v>
      </c>
      <c r="X167" s="17">
        <v>10</v>
      </c>
      <c r="Y167" s="17">
        <f>data[[#This Row],[DeliveryDate]]-data[[#This Row],[ShipDate]]</f>
        <v>9</v>
      </c>
      <c r="Z167" s="17" t="str">
        <f>IF(data[[#This Row],[Actual Delivery Days]]&gt;AD168,"Yes","No")</f>
        <v>Yes</v>
      </c>
    </row>
    <row r="168" spans="1:26">
      <c r="A168" s="17">
        <v>10624</v>
      </c>
      <c r="B168" s="17">
        <v>2</v>
      </c>
      <c r="C168" s="17">
        <v>6</v>
      </c>
      <c r="D168" s="17" t="s">
        <v>167</v>
      </c>
      <c r="E168" s="17" t="s">
        <v>238</v>
      </c>
      <c r="F168" s="17" t="str">
        <f>TEXT(data[[#This Row],[ShipDate]],"yyyy - mmmm")</f>
        <v>2016 - March</v>
      </c>
      <c r="G168" s="17" t="str">
        <f>data[[#This Row],[OriginCity]] &amp; " - "  &amp; data[[#This Row],[DestinationCity]]</f>
        <v>Springfield - Skokie</v>
      </c>
      <c r="H168" s="17" t="s">
        <v>30</v>
      </c>
      <c r="I168" s="17" t="s">
        <v>31</v>
      </c>
      <c r="J168" s="17">
        <v>9</v>
      </c>
      <c r="K168" s="17" t="s">
        <v>35</v>
      </c>
      <c r="L168" s="17" t="s">
        <v>31</v>
      </c>
      <c r="M168" s="17" t="s">
        <v>81</v>
      </c>
      <c r="N168" s="17">
        <v>682</v>
      </c>
      <c r="O168" s="17">
        <v>636</v>
      </c>
      <c r="P168" s="26">
        <f>(data[[#This Row],[LoadedMiles]]/data[[#This Row],[TotalMiles]])*100</f>
        <v>93.255131964809379</v>
      </c>
      <c r="Q168" s="25">
        <f>data[[#This Row],[ShippingCost]]/data[[#This Row],[TotalMiles]]</f>
        <v>1.7551319648093842</v>
      </c>
      <c r="R168" s="17">
        <v>1197</v>
      </c>
      <c r="S168" s="25">
        <f>data[[#This Row],[Revenue]]/data[[#This Row],[TotalMiles]]</f>
        <v>2.2331378299120233</v>
      </c>
      <c r="T168" s="26">
        <f>data[[#This Row],[Revenue]]-data[[#This Row],[ShippingCost]]</f>
        <v>326</v>
      </c>
      <c r="U168" s="17">
        <v>1523</v>
      </c>
      <c r="V168" s="17">
        <v>63</v>
      </c>
      <c r="W168" s="17" t="s">
        <v>68</v>
      </c>
      <c r="X168" s="17">
        <v>8</v>
      </c>
      <c r="Y168" s="17">
        <f>data[[#This Row],[DeliveryDate]]-data[[#This Row],[ShipDate]]</f>
        <v>6</v>
      </c>
      <c r="Z168" s="17" t="str">
        <f>IF(data[[#This Row],[Actual Delivery Days]]&gt;AD169,"Yes","No")</f>
        <v>Yes</v>
      </c>
    </row>
    <row r="169" spans="1:26">
      <c r="A169" s="17">
        <v>10692</v>
      </c>
      <c r="B169" s="17">
        <v>2</v>
      </c>
      <c r="C169" s="17">
        <v>4</v>
      </c>
      <c r="D169" s="17" t="s">
        <v>320</v>
      </c>
      <c r="E169" s="17" t="s">
        <v>253</v>
      </c>
      <c r="F169" s="17" t="str">
        <f>TEXT(data[[#This Row],[ShipDate]],"yyyy - mmmm")</f>
        <v>2016 - April</v>
      </c>
      <c r="G169" s="17" t="str">
        <f>data[[#This Row],[OriginCity]] &amp; " - "  &amp; data[[#This Row],[DestinationCity]]</f>
        <v>Indianapolis - Northbrook</v>
      </c>
      <c r="H169" s="17" t="s">
        <v>43</v>
      </c>
      <c r="I169" s="17" t="s">
        <v>44</v>
      </c>
      <c r="J169" s="17">
        <v>9</v>
      </c>
      <c r="K169" s="17" t="s">
        <v>45</v>
      </c>
      <c r="L169" s="17" t="s">
        <v>31</v>
      </c>
      <c r="M169" s="17" t="s">
        <v>620</v>
      </c>
      <c r="N169" s="17">
        <v>1090</v>
      </c>
      <c r="O169" s="17">
        <v>278</v>
      </c>
      <c r="P169" s="26">
        <f>(data[[#This Row],[LoadedMiles]]/data[[#This Row],[TotalMiles]])*100</f>
        <v>25.504587155963304</v>
      </c>
      <c r="Q169" s="25">
        <f>data[[#This Row],[ShippingCost]]/data[[#This Row],[TotalMiles]]</f>
        <v>3.2155963302752295</v>
      </c>
      <c r="R169" s="17">
        <v>3505</v>
      </c>
      <c r="S169" s="25">
        <f>data[[#This Row],[Revenue]]/data[[#This Row],[TotalMiles]]</f>
        <v>1.0073394495412844</v>
      </c>
      <c r="T169" s="26">
        <f>data[[#This Row],[Revenue]]-data[[#This Row],[ShippingCost]]</f>
        <v>-2407</v>
      </c>
      <c r="U169" s="17">
        <v>1098</v>
      </c>
      <c r="V169" s="17">
        <v>92</v>
      </c>
      <c r="W169" s="17" t="s">
        <v>68</v>
      </c>
      <c r="X169" s="17">
        <v>9</v>
      </c>
      <c r="Y169" s="17">
        <f>data[[#This Row],[DeliveryDate]]-data[[#This Row],[ShipDate]]</f>
        <v>9</v>
      </c>
      <c r="Z169" s="17" t="str">
        <f>IF(data[[#This Row],[Actual Delivery Days]]&gt;AD170,"Yes","No")</f>
        <v>Yes</v>
      </c>
    </row>
    <row r="170" spans="1:26">
      <c r="A170" s="17">
        <v>10698</v>
      </c>
      <c r="B170" s="17">
        <v>1</v>
      </c>
      <c r="C170" s="17">
        <v>8</v>
      </c>
      <c r="D170" s="17" t="s">
        <v>329</v>
      </c>
      <c r="E170" s="17" t="s">
        <v>103</v>
      </c>
      <c r="F170" s="17" t="str">
        <f>TEXT(data[[#This Row],[ShipDate]],"yyyy - mmmm")</f>
        <v>2016 - August</v>
      </c>
      <c r="G170" s="17" t="str">
        <f>data[[#This Row],[OriginCity]] &amp; " - "  &amp; data[[#This Row],[DestinationCity]]</f>
        <v>Green Bay - Joliet</v>
      </c>
      <c r="H170" s="17" t="s">
        <v>75</v>
      </c>
      <c r="I170" s="17" t="s">
        <v>29</v>
      </c>
      <c r="J170" s="17">
        <v>9</v>
      </c>
      <c r="K170" s="17" t="s">
        <v>61</v>
      </c>
      <c r="L170" s="17" t="s">
        <v>31</v>
      </c>
      <c r="M170" s="17" t="s">
        <v>621</v>
      </c>
      <c r="N170" s="17">
        <v>1093</v>
      </c>
      <c r="O170" s="17">
        <v>715</v>
      </c>
      <c r="P170" s="26">
        <f>(data[[#This Row],[LoadedMiles]]/data[[#This Row],[TotalMiles]])*100</f>
        <v>65.416285452881979</v>
      </c>
      <c r="Q170" s="25">
        <f>data[[#This Row],[ShippingCost]]/data[[#This Row],[TotalMiles]]</f>
        <v>2.5507776761207683</v>
      </c>
      <c r="R170" s="17">
        <v>2788</v>
      </c>
      <c r="S170" s="25">
        <f>data[[#This Row],[Revenue]]/data[[#This Row],[TotalMiles]]</f>
        <v>2.6477584629460202</v>
      </c>
      <c r="T170" s="26">
        <f>data[[#This Row],[Revenue]]-data[[#This Row],[ShippingCost]]</f>
        <v>106</v>
      </c>
      <c r="U170" s="17">
        <v>2894</v>
      </c>
      <c r="V170" s="17">
        <v>77</v>
      </c>
      <c r="W170" s="17" t="s">
        <v>68</v>
      </c>
      <c r="X170" s="17">
        <v>2</v>
      </c>
      <c r="Y170" s="17">
        <f>data[[#This Row],[DeliveryDate]]-data[[#This Row],[ShipDate]]</f>
        <v>8</v>
      </c>
      <c r="Z170" s="17" t="str">
        <f>IF(data[[#This Row],[Actual Delivery Days]]&gt;AD171,"Yes","No")</f>
        <v>Yes</v>
      </c>
    </row>
    <row r="171" spans="1:26">
      <c r="A171" s="17">
        <v>10711</v>
      </c>
      <c r="B171" s="17">
        <v>2</v>
      </c>
      <c r="C171" s="17">
        <v>6</v>
      </c>
      <c r="D171" s="17" t="s">
        <v>349</v>
      </c>
      <c r="E171" s="17" t="s">
        <v>81</v>
      </c>
      <c r="F171" s="17" t="str">
        <f>TEXT(data[[#This Row],[ShipDate]],"yyyy - mmmm")</f>
        <v>2016 - March</v>
      </c>
      <c r="G171" s="17" t="str">
        <f>data[[#This Row],[OriginCity]] &amp; " - "  &amp; data[[#This Row],[DestinationCity]]</f>
        <v>Grand Rapids - Toledo</v>
      </c>
      <c r="H171" s="17" t="s">
        <v>20</v>
      </c>
      <c r="I171" s="17" t="s">
        <v>21</v>
      </c>
      <c r="J171" s="17">
        <v>9</v>
      </c>
      <c r="K171" s="17" t="s">
        <v>22</v>
      </c>
      <c r="L171" s="17" t="s">
        <v>23</v>
      </c>
      <c r="M171" s="17" t="s">
        <v>355</v>
      </c>
      <c r="N171" s="17">
        <v>633</v>
      </c>
      <c r="O171" s="17">
        <v>220</v>
      </c>
      <c r="P171" s="26">
        <f>(data[[#This Row],[LoadedMiles]]/data[[#This Row],[TotalMiles]])*100</f>
        <v>34.755134281200633</v>
      </c>
      <c r="Q171" s="25">
        <f>data[[#This Row],[ShippingCost]]/data[[#This Row],[TotalMiles]]</f>
        <v>4.3775671406003163</v>
      </c>
      <c r="R171" s="17">
        <v>2771</v>
      </c>
      <c r="S171" s="25">
        <f>data[[#This Row],[Revenue]]/data[[#This Row],[TotalMiles]]</f>
        <v>5.2022116903633489</v>
      </c>
      <c r="T171" s="26">
        <f>data[[#This Row],[Revenue]]-data[[#This Row],[ShippingCost]]</f>
        <v>522</v>
      </c>
      <c r="U171" s="17">
        <v>3293</v>
      </c>
      <c r="V171" s="17">
        <v>71</v>
      </c>
      <c r="W171" s="17" t="s">
        <v>68</v>
      </c>
      <c r="X171" s="17">
        <v>9</v>
      </c>
      <c r="Y171" s="17">
        <f>data[[#This Row],[DeliveryDate]]-data[[#This Row],[ShipDate]]</f>
        <v>9</v>
      </c>
      <c r="Z171" s="17" t="str">
        <f>IF(data[[#This Row],[Actual Delivery Days]]&gt;AD172,"Yes","No")</f>
        <v>Yes</v>
      </c>
    </row>
    <row r="172" spans="1:26">
      <c r="A172" s="17">
        <v>10743</v>
      </c>
      <c r="B172" s="17">
        <v>2</v>
      </c>
      <c r="C172" s="17">
        <v>6</v>
      </c>
      <c r="D172" s="17" t="s">
        <v>409</v>
      </c>
      <c r="E172" s="17" t="s">
        <v>268</v>
      </c>
      <c r="F172" s="17" t="str">
        <f>TEXT(data[[#This Row],[ShipDate]],"yyyy - mmmm")</f>
        <v>2016 - February</v>
      </c>
      <c r="G172" s="17" t="str">
        <f>data[[#This Row],[OriginCity]] &amp; " - "  &amp; data[[#This Row],[DestinationCity]]</f>
        <v>Appleton - Grand Rapids</v>
      </c>
      <c r="H172" s="17" t="s">
        <v>85</v>
      </c>
      <c r="I172" s="17" t="s">
        <v>29</v>
      </c>
      <c r="J172" s="17">
        <v>9</v>
      </c>
      <c r="K172" s="17" t="s">
        <v>20</v>
      </c>
      <c r="L172" s="17" t="s">
        <v>21</v>
      </c>
      <c r="M172" s="17" t="s">
        <v>379</v>
      </c>
      <c r="N172" s="17">
        <v>1086</v>
      </c>
      <c r="O172" s="17">
        <v>336</v>
      </c>
      <c r="P172" s="26">
        <f>(data[[#This Row],[LoadedMiles]]/data[[#This Row],[TotalMiles]])*100</f>
        <v>30.939226519337016</v>
      </c>
      <c r="Q172" s="25">
        <f>data[[#This Row],[ShippingCost]]/data[[#This Row],[TotalMiles]]</f>
        <v>6.4226519337016574</v>
      </c>
      <c r="R172" s="17">
        <v>6975</v>
      </c>
      <c r="S172" s="25">
        <f>data[[#This Row],[Revenue]]/data[[#This Row],[TotalMiles]]</f>
        <v>6.5488029465930016</v>
      </c>
      <c r="T172" s="26">
        <f>data[[#This Row],[Revenue]]-data[[#This Row],[ShippingCost]]</f>
        <v>137</v>
      </c>
      <c r="U172" s="17">
        <v>7112</v>
      </c>
      <c r="V172" s="17">
        <v>66</v>
      </c>
      <c r="W172" s="17" t="s">
        <v>68</v>
      </c>
      <c r="X172" s="17">
        <v>4</v>
      </c>
      <c r="Y172" s="17">
        <f>data[[#This Row],[DeliveryDate]]-data[[#This Row],[ShipDate]]</f>
        <v>9</v>
      </c>
      <c r="Z172" s="17" t="str">
        <f>IF(data[[#This Row],[Actual Delivery Days]]&gt;AD173,"Yes","No")</f>
        <v>Yes</v>
      </c>
    </row>
    <row r="173" spans="1:26">
      <c r="A173" s="17">
        <v>10750</v>
      </c>
      <c r="B173" s="17">
        <v>2</v>
      </c>
      <c r="C173" s="17">
        <v>7</v>
      </c>
      <c r="D173" s="17" t="s">
        <v>423</v>
      </c>
      <c r="E173" s="17" t="s">
        <v>197</v>
      </c>
      <c r="F173" s="17" t="str">
        <f>TEXT(data[[#This Row],[ShipDate]],"yyyy - mmmm")</f>
        <v>2016 - May</v>
      </c>
      <c r="G173" s="17" t="str">
        <f>data[[#This Row],[OriginCity]] &amp; " - "  &amp; data[[#This Row],[DestinationCity]]</f>
        <v>Kalamazoo - Bangor</v>
      </c>
      <c r="H173" s="17" t="s">
        <v>71</v>
      </c>
      <c r="I173" s="17" t="s">
        <v>21</v>
      </c>
      <c r="J173" s="17">
        <v>9</v>
      </c>
      <c r="K173" s="17" t="s">
        <v>104</v>
      </c>
      <c r="L173" s="17" t="s">
        <v>21</v>
      </c>
      <c r="M173" s="17" t="s">
        <v>348</v>
      </c>
      <c r="N173" s="17">
        <v>1091</v>
      </c>
      <c r="O173" s="17">
        <v>527</v>
      </c>
      <c r="P173" s="26">
        <f>(data[[#This Row],[LoadedMiles]]/data[[#This Row],[TotalMiles]])*100</f>
        <v>48.304307974335472</v>
      </c>
      <c r="Q173" s="25">
        <f>data[[#This Row],[ShippingCost]]/data[[#This Row],[TotalMiles]]</f>
        <v>2.4702108157653528</v>
      </c>
      <c r="R173" s="17">
        <v>2695</v>
      </c>
      <c r="S173" s="25">
        <f>data[[#This Row],[Revenue]]/data[[#This Row],[TotalMiles]]</f>
        <v>2.9349220898258479</v>
      </c>
      <c r="T173" s="26">
        <f>data[[#This Row],[Revenue]]-data[[#This Row],[ShippingCost]]</f>
        <v>507</v>
      </c>
      <c r="U173" s="17">
        <v>3202</v>
      </c>
      <c r="V173" s="17">
        <v>68</v>
      </c>
      <c r="W173" s="17" t="s">
        <v>68</v>
      </c>
      <c r="X173" s="17">
        <v>2</v>
      </c>
      <c r="Y173" s="17">
        <f>data[[#This Row],[DeliveryDate]]-data[[#This Row],[ShipDate]]</f>
        <v>6</v>
      </c>
      <c r="Z173" s="17" t="str">
        <f>IF(data[[#This Row],[Actual Delivery Days]]&gt;AD174,"Yes","No")</f>
        <v>Yes</v>
      </c>
    </row>
    <row r="174" spans="1:26">
      <c r="A174" s="17">
        <v>10759</v>
      </c>
      <c r="B174" s="17">
        <v>1</v>
      </c>
      <c r="C174" s="17">
        <v>4</v>
      </c>
      <c r="D174" s="17" t="s">
        <v>440</v>
      </c>
      <c r="E174" s="17" t="s">
        <v>453</v>
      </c>
      <c r="F174" s="17" t="str">
        <f>TEXT(data[[#This Row],[ShipDate]],"yyyy - mmmm")</f>
        <v>2016 - March</v>
      </c>
      <c r="G174" s="17" t="str">
        <f>data[[#This Row],[OriginCity]] &amp; " - "  &amp; data[[#This Row],[DestinationCity]]</f>
        <v>Monon - Lansing</v>
      </c>
      <c r="H174" s="17" t="s">
        <v>53</v>
      </c>
      <c r="I174" s="17" t="s">
        <v>44</v>
      </c>
      <c r="J174" s="17">
        <v>9</v>
      </c>
      <c r="K174" s="17" t="s">
        <v>66</v>
      </c>
      <c r="L174" s="17" t="s">
        <v>21</v>
      </c>
      <c r="M174" s="17" t="s">
        <v>253</v>
      </c>
      <c r="N174" s="17">
        <v>267</v>
      </c>
      <c r="O174" s="17">
        <v>267</v>
      </c>
      <c r="P174" s="26">
        <f>(data[[#This Row],[LoadedMiles]]/data[[#This Row],[TotalMiles]])*100</f>
        <v>100</v>
      </c>
      <c r="Q174" s="25">
        <f>data[[#This Row],[ShippingCost]]/data[[#This Row],[TotalMiles]]</f>
        <v>13.842696629213483</v>
      </c>
      <c r="R174" s="17">
        <v>3696</v>
      </c>
      <c r="S174" s="25">
        <f>data[[#This Row],[Revenue]]/data[[#This Row],[TotalMiles]]</f>
        <v>7.2322097378277155</v>
      </c>
      <c r="T174" s="26">
        <f>data[[#This Row],[Revenue]]-data[[#This Row],[ShippingCost]]</f>
        <v>-1765</v>
      </c>
      <c r="U174" s="17">
        <v>1931</v>
      </c>
      <c r="V174" s="17">
        <v>63</v>
      </c>
      <c r="W174" s="17" t="s">
        <v>68</v>
      </c>
      <c r="X174" s="17">
        <v>8</v>
      </c>
      <c r="Y174" s="17">
        <f>data[[#This Row],[DeliveryDate]]-data[[#This Row],[ShipDate]]</f>
        <v>9</v>
      </c>
      <c r="Z174" s="17" t="str">
        <f>IF(data[[#This Row],[Actual Delivery Days]]&gt;AD175,"Yes","No")</f>
        <v>Yes</v>
      </c>
    </row>
    <row r="175" spans="1:26">
      <c r="A175" s="17">
        <v>10769</v>
      </c>
      <c r="B175" s="17">
        <v>1</v>
      </c>
      <c r="C175" s="17">
        <v>5</v>
      </c>
      <c r="D175" s="17" t="s">
        <v>455</v>
      </c>
      <c r="E175" s="17" t="s">
        <v>410</v>
      </c>
      <c r="F175" s="17" t="str">
        <f>TEXT(data[[#This Row],[ShipDate]],"yyyy - mmmm")</f>
        <v>2016 - June</v>
      </c>
      <c r="G175" s="17" t="str">
        <f>data[[#This Row],[OriginCity]] &amp; " - "  &amp; data[[#This Row],[DestinationCity]]</f>
        <v>Bangor - Davenport</v>
      </c>
      <c r="H175" s="17" t="s">
        <v>104</v>
      </c>
      <c r="I175" s="17" t="s">
        <v>21</v>
      </c>
      <c r="J175" s="17">
        <v>9</v>
      </c>
      <c r="K175" s="17" t="s">
        <v>105</v>
      </c>
      <c r="L175" s="17" t="s">
        <v>106</v>
      </c>
      <c r="M175" s="17" t="s">
        <v>78</v>
      </c>
      <c r="N175" s="17">
        <v>863</v>
      </c>
      <c r="O175" s="17">
        <v>288</v>
      </c>
      <c r="P175" s="26">
        <f>(data[[#This Row],[LoadedMiles]]/data[[#This Row],[TotalMiles]])*100</f>
        <v>33.371958285052145</v>
      </c>
      <c r="Q175" s="25">
        <f>data[[#This Row],[ShippingCost]]/data[[#This Row],[TotalMiles]]</f>
        <v>5.6060254924681345</v>
      </c>
      <c r="R175" s="17">
        <v>4838</v>
      </c>
      <c r="S175" s="25">
        <f>data[[#This Row],[Revenue]]/data[[#This Row],[TotalMiles]]</f>
        <v>6.3661645422943218</v>
      </c>
      <c r="T175" s="26">
        <f>data[[#This Row],[Revenue]]-data[[#This Row],[ShippingCost]]</f>
        <v>656</v>
      </c>
      <c r="U175" s="17">
        <v>5494</v>
      </c>
      <c r="V175" s="17">
        <v>80</v>
      </c>
      <c r="W175" s="17" t="s">
        <v>68</v>
      </c>
      <c r="X175" s="17">
        <v>2</v>
      </c>
      <c r="Y175" s="17">
        <f>data[[#This Row],[DeliveryDate]]-data[[#This Row],[ShipDate]]</f>
        <v>6</v>
      </c>
      <c r="Z175" s="17" t="str">
        <f>IF(data[[#This Row],[Actual Delivery Days]]&gt;AD176,"Yes","No")</f>
        <v>Yes</v>
      </c>
    </row>
    <row r="176" spans="1:26">
      <c r="A176" s="17">
        <v>10816</v>
      </c>
      <c r="B176" s="17">
        <v>1</v>
      </c>
      <c r="C176" s="17">
        <v>6</v>
      </c>
      <c r="D176" s="17" t="s">
        <v>519</v>
      </c>
      <c r="E176" s="17" t="s">
        <v>67</v>
      </c>
      <c r="F176" s="17" t="str">
        <f>TEXT(data[[#This Row],[ShipDate]],"yyyy - mmmm")</f>
        <v>2016 - April</v>
      </c>
      <c r="G176" s="17" t="str">
        <f>data[[#This Row],[OriginCity]] &amp; " - "  &amp; data[[#This Row],[DestinationCity]]</f>
        <v>Davenport - Appleton</v>
      </c>
      <c r="H176" s="17" t="s">
        <v>105</v>
      </c>
      <c r="I176" s="17" t="s">
        <v>106</v>
      </c>
      <c r="J176" s="17">
        <v>9</v>
      </c>
      <c r="K176" s="17" t="s">
        <v>85</v>
      </c>
      <c r="L176" s="17" t="s">
        <v>29</v>
      </c>
      <c r="M176" s="17" t="s">
        <v>114</v>
      </c>
      <c r="N176" s="17">
        <v>348</v>
      </c>
      <c r="O176" s="17">
        <v>348</v>
      </c>
      <c r="P176" s="26">
        <f>(data[[#This Row],[LoadedMiles]]/data[[#This Row],[TotalMiles]])*100</f>
        <v>100</v>
      </c>
      <c r="Q176" s="25">
        <f>data[[#This Row],[ShippingCost]]/data[[#This Row],[TotalMiles]]</f>
        <v>17.505747126436781</v>
      </c>
      <c r="R176" s="17">
        <v>6092</v>
      </c>
      <c r="S176" s="25">
        <f>data[[#This Row],[Revenue]]/data[[#This Row],[TotalMiles]]</f>
        <v>19.089080459770116</v>
      </c>
      <c r="T176" s="26">
        <f>data[[#This Row],[Revenue]]-data[[#This Row],[ShippingCost]]</f>
        <v>551</v>
      </c>
      <c r="U176" s="17">
        <v>6643</v>
      </c>
      <c r="V176" s="17">
        <v>66</v>
      </c>
      <c r="W176" s="17" t="s">
        <v>68</v>
      </c>
      <c r="X176" s="17">
        <v>2</v>
      </c>
      <c r="Y176" s="17">
        <f>data[[#This Row],[DeliveryDate]]-data[[#This Row],[ShipDate]]</f>
        <v>9</v>
      </c>
      <c r="Z176" s="17" t="str">
        <f>IF(data[[#This Row],[Actual Delivery Days]]&gt;AD177,"Yes","No")</f>
        <v>Yes</v>
      </c>
    </row>
    <row r="177" spans="1:26">
      <c r="A177" s="17">
        <v>10832</v>
      </c>
      <c r="B177" s="17">
        <v>1</v>
      </c>
      <c r="C177" s="17">
        <v>6</v>
      </c>
      <c r="D177" s="17" t="s">
        <v>545</v>
      </c>
      <c r="E177" s="17" t="s">
        <v>111</v>
      </c>
      <c r="F177" s="17" t="str">
        <f>TEXT(data[[#This Row],[ShipDate]],"yyyy - mmmm")</f>
        <v>2016 - January</v>
      </c>
      <c r="G177" s="17" t="str">
        <f>data[[#This Row],[OriginCity]] &amp; " - "  &amp; data[[#This Row],[DestinationCity]]</f>
        <v>Toledo - Detriot</v>
      </c>
      <c r="H177" s="17" t="s">
        <v>22</v>
      </c>
      <c r="I177" s="17" t="s">
        <v>23</v>
      </c>
      <c r="J177" s="17">
        <v>9</v>
      </c>
      <c r="K177" s="17" t="s">
        <v>52</v>
      </c>
      <c r="L177" s="17" t="s">
        <v>21</v>
      </c>
      <c r="M177" s="17" t="s">
        <v>263</v>
      </c>
      <c r="N177" s="17">
        <v>933</v>
      </c>
      <c r="O177" s="17">
        <v>390</v>
      </c>
      <c r="P177" s="26">
        <f>(data[[#This Row],[LoadedMiles]]/data[[#This Row],[TotalMiles]])*100</f>
        <v>41.80064308681672</v>
      </c>
      <c r="Q177" s="25">
        <f>data[[#This Row],[ShippingCost]]/data[[#This Row],[TotalMiles]]</f>
        <v>8.0664523043944261</v>
      </c>
      <c r="R177" s="17">
        <v>7526</v>
      </c>
      <c r="S177" s="25">
        <f>data[[#This Row],[Revenue]]/data[[#This Row],[TotalMiles]]</f>
        <v>8.590568060021436</v>
      </c>
      <c r="T177" s="26">
        <f>data[[#This Row],[Revenue]]-data[[#This Row],[ShippingCost]]</f>
        <v>489</v>
      </c>
      <c r="U177" s="17">
        <v>8015</v>
      </c>
      <c r="V177" s="17">
        <v>86</v>
      </c>
      <c r="W177" s="17" t="s">
        <v>68</v>
      </c>
      <c r="X177" s="17">
        <v>5</v>
      </c>
      <c r="Y177" s="17">
        <f>data[[#This Row],[DeliveryDate]]-data[[#This Row],[ShipDate]]</f>
        <v>9</v>
      </c>
      <c r="Z177" s="17" t="str">
        <f>IF(data[[#This Row],[Actual Delivery Days]]&gt;AD178,"Yes","No")</f>
        <v>Yes</v>
      </c>
    </row>
    <row r="178" spans="1:26">
      <c r="A178" s="17">
        <v>10835</v>
      </c>
      <c r="B178" s="17">
        <v>2</v>
      </c>
      <c r="C178" s="17">
        <v>7</v>
      </c>
      <c r="D178" s="17" t="s">
        <v>548</v>
      </c>
      <c r="E178" s="17" t="s">
        <v>272</v>
      </c>
      <c r="F178" s="17" t="str">
        <f>TEXT(data[[#This Row],[ShipDate]],"yyyy - mmmm")</f>
        <v>2016 - March</v>
      </c>
      <c r="G178" s="17" t="str">
        <f>data[[#This Row],[OriginCity]] &amp; " - "  &amp; data[[#This Row],[DestinationCity]]</f>
        <v>Elgin - Cincinnati</v>
      </c>
      <c r="H178" s="17" t="s">
        <v>94</v>
      </c>
      <c r="I178" s="17" t="s">
        <v>31</v>
      </c>
      <c r="J178" s="17">
        <v>9</v>
      </c>
      <c r="K178" s="17" t="s">
        <v>89</v>
      </c>
      <c r="L178" s="17" t="s">
        <v>23</v>
      </c>
      <c r="M178" s="17" t="s">
        <v>51</v>
      </c>
      <c r="N178" s="17">
        <v>721</v>
      </c>
      <c r="O178" s="17">
        <v>312</v>
      </c>
      <c r="P178" s="26">
        <f>(data[[#This Row],[LoadedMiles]]/data[[#This Row],[TotalMiles]])*100</f>
        <v>43.273231622746181</v>
      </c>
      <c r="Q178" s="25">
        <f>data[[#This Row],[ShippingCost]]/data[[#This Row],[TotalMiles]]</f>
        <v>3.5436893203883497</v>
      </c>
      <c r="R178" s="17">
        <v>2555</v>
      </c>
      <c r="S178" s="25">
        <f>data[[#This Row],[Revenue]]/data[[#This Row],[TotalMiles]]</f>
        <v>3.7239944521497921</v>
      </c>
      <c r="T178" s="26">
        <f>data[[#This Row],[Revenue]]-data[[#This Row],[ShippingCost]]</f>
        <v>130</v>
      </c>
      <c r="U178" s="17">
        <v>2685</v>
      </c>
      <c r="V178" s="17">
        <v>80</v>
      </c>
      <c r="W178" s="17" t="s">
        <v>68</v>
      </c>
      <c r="X178" s="17">
        <v>6</v>
      </c>
      <c r="Y178" s="17">
        <f>data[[#This Row],[DeliveryDate]]-data[[#This Row],[ShipDate]]</f>
        <v>9</v>
      </c>
      <c r="Z178" s="17" t="str">
        <f>IF(data[[#This Row],[Actual Delivery Days]]&gt;AD179,"Yes","No")</f>
        <v>Yes</v>
      </c>
    </row>
    <row r="179" spans="1:26">
      <c r="A179" s="17">
        <v>10929</v>
      </c>
      <c r="B179" s="17">
        <v>2</v>
      </c>
      <c r="C179" s="17">
        <v>1</v>
      </c>
      <c r="D179" s="17" t="s">
        <v>173</v>
      </c>
      <c r="E179" s="17" t="s">
        <v>470</v>
      </c>
      <c r="F179" s="17" t="str">
        <f>TEXT(data[[#This Row],[ShipDate]],"yyyy - mmmm")</f>
        <v>2016 - August</v>
      </c>
      <c r="G179" s="17" t="str">
        <f>data[[#This Row],[OriginCity]] &amp; " - "  &amp; data[[#This Row],[DestinationCity]]</f>
        <v>Skokie - Chicago</v>
      </c>
      <c r="H179" s="17" t="s">
        <v>35</v>
      </c>
      <c r="I179" s="17" t="s">
        <v>31</v>
      </c>
      <c r="J179" s="17">
        <v>9</v>
      </c>
      <c r="K179" s="17" t="s">
        <v>39</v>
      </c>
      <c r="L179" s="17" t="s">
        <v>31</v>
      </c>
      <c r="M179" s="17" t="s">
        <v>408</v>
      </c>
      <c r="N179" s="17">
        <v>203</v>
      </c>
      <c r="O179" s="17">
        <v>203</v>
      </c>
      <c r="P179" s="26">
        <f>(data[[#This Row],[LoadedMiles]]/data[[#This Row],[TotalMiles]])*100</f>
        <v>100</v>
      </c>
      <c r="Q179" s="25">
        <f>data[[#This Row],[ShippingCost]]/data[[#This Row],[TotalMiles]]</f>
        <v>9.4088669950738915</v>
      </c>
      <c r="R179" s="17">
        <v>1910</v>
      </c>
      <c r="S179" s="25">
        <f>data[[#This Row],[Revenue]]/data[[#This Row],[TotalMiles]]</f>
        <v>28.497536945812808</v>
      </c>
      <c r="T179" s="26">
        <f>data[[#This Row],[Revenue]]-data[[#This Row],[ShippingCost]]</f>
        <v>3875</v>
      </c>
      <c r="U179" s="17">
        <v>5785</v>
      </c>
      <c r="V179" s="17">
        <v>60</v>
      </c>
      <c r="W179" s="17" t="s">
        <v>68</v>
      </c>
      <c r="X179" s="17">
        <v>5</v>
      </c>
      <c r="Y179" s="17">
        <f>data[[#This Row],[DeliveryDate]]-data[[#This Row],[ShipDate]]</f>
        <v>9</v>
      </c>
      <c r="Z179" s="17" t="str">
        <f>IF(data[[#This Row],[Actual Delivery Days]]&gt;AD180,"Yes","No")</f>
        <v>Yes</v>
      </c>
    </row>
    <row r="180" spans="1:26">
      <c r="A180" s="17">
        <v>10945</v>
      </c>
      <c r="B180" s="17">
        <v>3</v>
      </c>
      <c r="C180" s="17">
        <v>5</v>
      </c>
      <c r="D180" s="17" t="s">
        <v>219</v>
      </c>
      <c r="E180" s="17" t="s">
        <v>56</v>
      </c>
      <c r="F180" s="17" t="str">
        <f>TEXT(data[[#This Row],[ShipDate]],"yyyy - mmmm")</f>
        <v>2016 - May</v>
      </c>
      <c r="G180" s="17" t="str">
        <f>data[[#This Row],[OriginCity]] &amp; " - "  &amp; data[[#This Row],[DestinationCity]]</f>
        <v>Toledo - Detriot</v>
      </c>
      <c r="H180" s="17" t="s">
        <v>22</v>
      </c>
      <c r="I180" s="17" t="s">
        <v>23</v>
      </c>
      <c r="J180" s="17">
        <v>9</v>
      </c>
      <c r="K180" s="17" t="s">
        <v>52</v>
      </c>
      <c r="L180" s="17" t="s">
        <v>21</v>
      </c>
      <c r="M180" s="17" t="s">
        <v>32</v>
      </c>
      <c r="N180" s="17">
        <v>1149</v>
      </c>
      <c r="O180" s="17">
        <v>663</v>
      </c>
      <c r="P180" s="26">
        <f>(data[[#This Row],[LoadedMiles]]/data[[#This Row],[TotalMiles]])*100</f>
        <v>57.702349869451695</v>
      </c>
      <c r="Q180" s="25">
        <f>data[[#This Row],[ShippingCost]]/data[[#This Row],[TotalMiles]]</f>
        <v>5.1766753698868584</v>
      </c>
      <c r="R180" s="17">
        <v>5948</v>
      </c>
      <c r="S180" s="25">
        <f>data[[#This Row],[Revenue]]/data[[#This Row],[TotalMiles]]</f>
        <v>5.2889469103568318</v>
      </c>
      <c r="T180" s="26">
        <f>data[[#This Row],[Revenue]]-data[[#This Row],[ShippingCost]]</f>
        <v>129</v>
      </c>
      <c r="U180" s="17">
        <v>6077</v>
      </c>
      <c r="V180" s="17">
        <v>53</v>
      </c>
      <c r="W180" s="17" t="s">
        <v>68</v>
      </c>
      <c r="X180" s="17">
        <v>10</v>
      </c>
      <c r="Y180" s="17">
        <f>data[[#This Row],[DeliveryDate]]-data[[#This Row],[ShipDate]]</f>
        <v>9</v>
      </c>
      <c r="Z180" s="17" t="str">
        <f>IF(data[[#This Row],[Actual Delivery Days]]&gt;AD181,"Yes","No")</f>
        <v>Yes</v>
      </c>
    </row>
    <row r="181" spans="1:26">
      <c r="A181" s="17">
        <v>11015</v>
      </c>
      <c r="B181" s="17">
        <v>3</v>
      </c>
      <c r="C181" s="17">
        <v>1</v>
      </c>
      <c r="D181" s="17" t="s">
        <v>366</v>
      </c>
      <c r="E181" s="17" t="s">
        <v>264</v>
      </c>
      <c r="F181" s="17" t="str">
        <f>TEXT(data[[#This Row],[ShipDate]],"yyyy - mmmm")</f>
        <v>2016 - January</v>
      </c>
      <c r="G181" s="17" t="str">
        <f>data[[#This Row],[OriginCity]] &amp; " - "  &amp; data[[#This Row],[DestinationCity]]</f>
        <v>Springfield - Skokie</v>
      </c>
      <c r="H181" s="17" t="s">
        <v>30</v>
      </c>
      <c r="I181" s="17" t="s">
        <v>31</v>
      </c>
      <c r="J181" s="17">
        <v>9</v>
      </c>
      <c r="K181" s="17" t="s">
        <v>35</v>
      </c>
      <c r="L181" s="17" t="s">
        <v>31</v>
      </c>
      <c r="M181" s="17" t="s">
        <v>229</v>
      </c>
      <c r="N181" s="17">
        <v>778</v>
      </c>
      <c r="O181" s="17">
        <v>614</v>
      </c>
      <c r="P181" s="26">
        <f>(data[[#This Row],[LoadedMiles]]/data[[#This Row],[TotalMiles]])*100</f>
        <v>78.920308483290498</v>
      </c>
      <c r="Q181" s="25">
        <f>data[[#This Row],[ShippingCost]]/data[[#This Row],[TotalMiles]]</f>
        <v>4.5784061696658096</v>
      </c>
      <c r="R181" s="17">
        <v>3562</v>
      </c>
      <c r="S181" s="25">
        <f>data[[#This Row],[Revenue]]/data[[#This Row],[TotalMiles]]</f>
        <v>10.109254498714654</v>
      </c>
      <c r="T181" s="26">
        <f>data[[#This Row],[Revenue]]-data[[#This Row],[ShippingCost]]</f>
        <v>4303</v>
      </c>
      <c r="U181" s="17">
        <v>7865</v>
      </c>
      <c r="V181" s="17">
        <v>72</v>
      </c>
      <c r="W181" s="17" t="s">
        <v>68</v>
      </c>
      <c r="X181" s="17">
        <v>5</v>
      </c>
      <c r="Y181" s="17">
        <f>data[[#This Row],[DeliveryDate]]-data[[#This Row],[ShipDate]]</f>
        <v>9</v>
      </c>
      <c r="Z181" s="17" t="str">
        <f>IF(data[[#This Row],[Actual Delivery Days]]&gt;AD182,"Yes","No")</f>
        <v>Yes</v>
      </c>
    </row>
    <row r="182" spans="1:26">
      <c r="A182" s="17">
        <v>11034</v>
      </c>
      <c r="B182" s="17">
        <v>2</v>
      </c>
      <c r="C182" s="17">
        <v>2</v>
      </c>
      <c r="D182" s="17" t="s">
        <v>395</v>
      </c>
      <c r="E182" s="17" t="s">
        <v>248</v>
      </c>
      <c r="F182" s="17" t="str">
        <f>TEXT(data[[#This Row],[ShipDate]],"yyyy - mmmm")</f>
        <v>2016 - May</v>
      </c>
      <c r="G182" s="17" t="str">
        <f>data[[#This Row],[OriginCity]] &amp; " - "  &amp; data[[#This Row],[DestinationCity]]</f>
        <v>Skokie - Chicago</v>
      </c>
      <c r="H182" s="17" t="s">
        <v>35</v>
      </c>
      <c r="I182" s="17" t="s">
        <v>31</v>
      </c>
      <c r="J182" s="17">
        <v>9</v>
      </c>
      <c r="K182" s="17" t="s">
        <v>39</v>
      </c>
      <c r="L182" s="17" t="s">
        <v>31</v>
      </c>
      <c r="M182" s="17" t="s">
        <v>367</v>
      </c>
      <c r="N182" s="17">
        <v>216</v>
      </c>
      <c r="O182" s="17">
        <v>216</v>
      </c>
      <c r="P182" s="26">
        <f>(data[[#This Row],[LoadedMiles]]/data[[#This Row],[TotalMiles]])*100</f>
        <v>100</v>
      </c>
      <c r="Q182" s="25">
        <f>data[[#This Row],[ShippingCost]]/data[[#This Row],[TotalMiles]]</f>
        <v>10.986111111111111</v>
      </c>
      <c r="R182" s="17">
        <v>2373</v>
      </c>
      <c r="S182" s="25">
        <f>data[[#This Row],[Revenue]]/data[[#This Row],[TotalMiles]]</f>
        <v>15.328703703703704</v>
      </c>
      <c r="T182" s="26">
        <f>data[[#This Row],[Revenue]]-data[[#This Row],[ShippingCost]]</f>
        <v>938</v>
      </c>
      <c r="U182" s="17">
        <v>3311</v>
      </c>
      <c r="V182" s="17">
        <v>59</v>
      </c>
      <c r="W182" s="17" t="s">
        <v>68</v>
      </c>
      <c r="X182" s="17">
        <v>9</v>
      </c>
      <c r="Y182" s="17">
        <f>data[[#This Row],[DeliveryDate]]-data[[#This Row],[ShipDate]]</f>
        <v>9</v>
      </c>
      <c r="Z182" s="17" t="str">
        <f>IF(data[[#This Row],[Actual Delivery Days]]&gt;AD183,"Yes","No")</f>
        <v>Yes</v>
      </c>
    </row>
    <row r="183" spans="1:26">
      <c r="A183" s="17">
        <v>11050</v>
      </c>
      <c r="B183" s="17">
        <v>2</v>
      </c>
      <c r="C183" s="17">
        <v>5</v>
      </c>
      <c r="D183" s="17" t="s">
        <v>429</v>
      </c>
      <c r="E183" s="17" t="s">
        <v>291</v>
      </c>
      <c r="F183" s="17" t="str">
        <f>TEXT(data[[#This Row],[ShipDate]],"yyyy - mmmm")</f>
        <v>2016 - February</v>
      </c>
      <c r="G183" s="17" t="str">
        <f>data[[#This Row],[OriginCity]] &amp; " - "  &amp; data[[#This Row],[DestinationCity]]</f>
        <v>Lansing - Dayton</v>
      </c>
      <c r="H183" s="17" t="s">
        <v>66</v>
      </c>
      <c r="I183" s="17" t="s">
        <v>21</v>
      </c>
      <c r="J183" s="17">
        <v>9</v>
      </c>
      <c r="K183" s="17" t="s">
        <v>93</v>
      </c>
      <c r="L183" s="17" t="s">
        <v>23</v>
      </c>
      <c r="M183" s="17" t="s">
        <v>88</v>
      </c>
      <c r="N183" s="17">
        <v>986</v>
      </c>
      <c r="O183" s="17">
        <v>450</v>
      </c>
      <c r="P183" s="26">
        <f>(data[[#This Row],[LoadedMiles]]/data[[#This Row],[TotalMiles]])*100</f>
        <v>45.638945233265723</v>
      </c>
      <c r="Q183" s="25">
        <f>data[[#This Row],[ShippingCost]]/data[[#This Row],[TotalMiles]]</f>
        <v>1.0385395537525355</v>
      </c>
      <c r="R183" s="17">
        <v>1024</v>
      </c>
      <c r="S183" s="25">
        <f>data[[#This Row],[Revenue]]/data[[#This Row],[TotalMiles]]</f>
        <v>1.2109533468559839</v>
      </c>
      <c r="T183" s="26">
        <f>data[[#This Row],[Revenue]]-data[[#This Row],[ShippingCost]]</f>
        <v>170</v>
      </c>
      <c r="U183" s="17">
        <v>1194</v>
      </c>
      <c r="V183" s="17">
        <v>55</v>
      </c>
      <c r="W183" s="17" t="s">
        <v>68</v>
      </c>
      <c r="X183" s="17">
        <v>6</v>
      </c>
      <c r="Y183" s="17">
        <f>data[[#This Row],[DeliveryDate]]-data[[#This Row],[ShipDate]]</f>
        <v>9</v>
      </c>
      <c r="Z183" s="17" t="str">
        <f>IF(data[[#This Row],[Actual Delivery Days]]&gt;AD184,"Yes","No")</f>
        <v>Yes</v>
      </c>
    </row>
    <row r="184" spans="1:26">
      <c r="A184" s="17">
        <v>11068</v>
      </c>
      <c r="B184" s="17">
        <v>3</v>
      </c>
      <c r="C184" s="17">
        <v>3</v>
      </c>
      <c r="D184" s="17" t="s">
        <v>458</v>
      </c>
      <c r="E184" s="17" t="s">
        <v>255</v>
      </c>
      <c r="F184" s="17" t="str">
        <f>TEXT(data[[#This Row],[ShipDate]],"yyyy - mmmm")</f>
        <v>2016 - February</v>
      </c>
      <c r="G184" s="17" t="str">
        <f>data[[#This Row],[OriginCity]] &amp; " - "  &amp; data[[#This Row],[DestinationCity]]</f>
        <v>Appleton - Grand Rapids</v>
      </c>
      <c r="H184" s="17" t="s">
        <v>85</v>
      </c>
      <c r="I184" s="17" t="s">
        <v>29</v>
      </c>
      <c r="J184" s="17">
        <v>9</v>
      </c>
      <c r="K184" s="17" t="s">
        <v>20</v>
      </c>
      <c r="L184" s="17" t="s">
        <v>21</v>
      </c>
      <c r="M184" s="17" t="s">
        <v>353</v>
      </c>
      <c r="N184" s="17">
        <v>461</v>
      </c>
      <c r="O184" s="17">
        <v>328</v>
      </c>
      <c r="P184" s="26">
        <f>(data[[#This Row],[LoadedMiles]]/data[[#This Row],[TotalMiles]])*100</f>
        <v>71.149674620390456</v>
      </c>
      <c r="Q184" s="25">
        <f>data[[#This Row],[ShippingCost]]/data[[#This Row],[TotalMiles]]</f>
        <v>3.8459869848156183</v>
      </c>
      <c r="R184" s="17">
        <v>1773</v>
      </c>
      <c r="S184" s="25">
        <f>data[[#This Row],[Revenue]]/data[[#This Row],[TotalMiles]]</f>
        <v>4.3709327548806938</v>
      </c>
      <c r="T184" s="26">
        <f>data[[#This Row],[Revenue]]-data[[#This Row],[ShippingCost]]</f>
        <v>242</v>
      </c>
      <c r="U184" s="17">
        <v>2015</v>
      </c>
      <c r="V184" s="17">
        <v>73</v>
      </c>
      <c r="W184" s="17" t="s">
        <v>68</v>
      </c>
      <c r="X184" s="17">
        <v>9</v>
      </c>
      <c r="Y184" s="17">
        <f>data[[#This Row],[DeliveryDate]]-data[[#This Row],[ShipDate]]</f>
        <v>9</v>
      </c>
      <c r="Z184" s="17" t="str">
        <f>IF(data[[#This Row],[Actual Delivery Days]]&gt;AD185,"Yes","No")</f>
        <v>Yes</v>
      </c>
    </row>
    <row r="185" spans="1:26">
      <c r="A185" s="17">
        <v>11075</v>
      </c>
      <c r="B185" s="17">
        <v>2</v>
      </c>
      <c r="C185" s="17">
        <v>3</v>
      </c>
      <c r="D185" s="17" t="s">
        <v>469</v>
      </c>
      <c r="E185" s="17" t="s">
        <v>480</v>
      </c>
      <c r="F185" s="17" t="str">
        <f>TEXT(data[[#This Row],[ShipDate]],"yyyy - mmmm")</f>
        <v>2016 - April</v>
      </c>
      <c r="G185" s="17" t="str">
        <f>data[[#This Row],[OriginCity]] &amp; " - "  &amp; data[[#This Row],[DestinationCity]]</f>
        <v>Kalamazoo - Bangor</v>
      </c>
      <c r="H185" s="17" t="s">
        <v>71</v>
      </c>
      <c r="I185" s="17" t="s">
        <v>21</v>
      </c>
      <c r="J185" s="17">
        <v>9</v>
      </c>
      <c r="K185" s="17" t="s">
        <v>104</v>
      </c>
      <c r="L185" s="17" t="s">
        <v>21</v>
      </c>
      <c r="M185" s="17" t="s">
        <v>626</v>
      </c>
      <c r="N185" s="17">
        <v>484</v>
      </c>
      <c r="O185" s="17">
        <v>484</v>
      </c>
      <c r="P185" s="26">
        <f>(data[[#This Row],[LoadedMiles]]/data[[#This Row],[TotalMiles]])*100</f>
        <v>100</v>
      </c>
      <c r="Q185" s="25">
        <f>data[[#This Row],[ShippingCost]]/data[[#This Row],[TotalMiles]]</f>
        <v>5.8574380165289259</v>
      </c>
      <c r="R185" s="17">
        <v>2835</v>
      </c>
      <c r="S185" s="25">
        <f>data[[#This Row],[Revenue]]/data[[#This Row],[TotalMiles]]</f>
        <v>7.4173553719008263</v>
      </c>
      <c r="T185" s="26">
        <f>data[[#This Row],[Revenue]]-data[[#This Row],[ShippingCost]]</f>
        <v>755</v>
      </c>
      <c r="U185" s="17">
        <v>3590</v>
      </c>
      <c r="V185" s="17">
        <v>83</v>
      </c>
      <c r="W185" s="17" t="s">
        <v>68</v>
      </c>
      <c r="X185" s="17">
        <v>10</v>
      </c>
      <c r="Y185" s="17">
        <f>data[[#This Row],[DeliveryDate]]-data[[#This Row],[ShipDate]]</f>
        <v>6</v>
      </c>
      <c r="Z185" s="17" t="str">
        <f>IF(data[[#This Row],[Actual Delivery Days]]&gt;AD186,"Yes","No")</f>
        <v>Yes</v>
      </c>
    </row>
    <row r="186" spans="1:26">
      <c r="A186" s="17">
        <v>11076</v>
      </c>
      <c r="B186" s="17">
        <v>2</v>
      </c>
      <c r="C186" s="17">
        <v>1</v>
      </c>
      <c r="D186" s="17" t="s">
        <v>471</v>
      </c>
      <c r="E186" s="17" t="s">
        <v>574</v>
      </c>
      <c r="F186" s="17" t="str">
        <f>TEXT(data[[#This Row],[ShipDate]],"yyyy - mmmm")</f>
        <v>2016 - January</v>
      </c>
      <c r="G186" s="17" t="str">
        <f>data[[#This Row],[OriginCity]] &amp; " - "  &amp; data[[#This Row],[DestinationCity]]</f>
        <v>Davenport - Appleton</v>
      </c>
      <c r="H186" s="17" t="s">
        <v>105</v>
      </c>
      <c r="I186" s="17" t="s">
        <v>106</v>
      </c>
      <c r="J186" s="17">
        <v>9</v>
      </c>
      <c r="K186" s="17" t="s">
        <v>85</v>
      </c>
      <c r="L186" s="17" t="s">
        <v>29</v>
      </c>
      <c r="M186" s="17" t="s">
        <v>327</v>
      </c>
      <c r="N186" s="17">
        <v>448</v>
      </c>
      <c r="O186" s="17">
        <v>448</v>
      </c>
      <c r="P186" s="26">
        <f>(data[[#This Row],[LoadedMiles]]/data[[#This Row],[TotalMiles]])*100</f>
        <v>100</v>
      </c>
      <c r="Q186" s="25">
        <f>data[[#This Row],[ShippingCost]]/data[[#This Row],[TotalMiles]]</f>
        <v>11.1875</v>
      </c>
      <c r="R186" s="17">
        <v>5012</v>
      </c>
      <c r="S186" s="25">
        <f>data[[#This Row],[Revenue]]/data[[#This Row],[TotalMiles]]</f>
        <v>21.104910714285715</v>
      </c>
      <c r="T186" s="26">
        <f>data[[#This Row],[Revenue]]-data[[#This Row],[ShippingCost]]</f>
        <v>4443</v>
      </c>
      <c r="U186" s="17">
        <v>9455</v>
      </c>
      <c r="V186" s="17">
        <v>98</v>
      </c>
      <c r="W186" s="17" t="s">
        <v>68</v>
      </c>
      <c r="X186" s="17">
        <v>5</v>
      </c>
      <c r="Y186" s="17">
        <f>data[[#This Row],[DeliveryDate]]-data[[#This Row],[ShipDate]]</f>
        <v>7</v>
      </c>
      <c r="Z186" s="17" t="str">
        <f>IF(data[[#This Row],[Actual Delivery Days]]&gt;AD187,"Yes","No")</f>
        <v>Yes</v>
      </c>
    </row>
    <row r="187" spans="1:26">
      <c r="A187" s="17">
        <v>11087</v>
      </c>
      <c r="B187" s="17">
        <v>3</v>
      </c>
      <c r="C187" s="17">
        <v>1</v>
      </c>
      <c r="D187" s="17" t="s">
        <v>486</v>
      </c>
      <c r="E187" s="17" t="s">
        <v>79</v>
      </c>
      <c r="F187" s="17" t="str">
        <f>TEXT(data[[#This Row],[ShipDate]],"yyyy - mmmm")</f>
        <v>2016 - June</v>
      </c>
      <c r="G187" s="17" t="str">
        <f>data[[#This Row],[OriginCity]] &amp; " - "  &amp; data[[#This Row],[DestinationCity]]</f>
        <v>Green Bay - Joliet</v>
      </c>
      <c r="H187" s="17" t="s">
        <v>75</v>
      </c>
      <c r="I187" s="17" t="s">
        <v>29</v>
      </c>
      <c r="J187" s="17">
        <v>9</v>
      </c>
      <c r="K187" s="17" t="s">
        <v>61</v>
      </c>
      <c r="L187" s="17" t="s">
        <v>31</v>
      </c>
      <c r="M187" s="17" t="s">
        <v>319</v>
      </c>
      <c r="N187" s="17">
        <v>950</v>
      </c>
      <c r="O187" s="17">
        <v>284</v>
      </c>
      <c r="P187" s="26">
        <f>(data[[#This Row],[LoadedMiles]]/data[[#This Row],[TotalMiles]])*100</f>
        <v>29.894736842105264</v>
      </c>
      <c r="Q187" s="25">
        <f>data[[#This Row],[ShippingCost]]/data[[#This Row],[TotalMiles]]</f>
        <v>6.2052631578947368</v>
      </c>
      <c r="R187" s="17">
        <v>5895</v>
      </c>
      <c r="S187" s="25">
        <f>data[[#This Row],[Revenue]]/data[[#This Row],[TotalMiles]]</f>
        <v>11.354736842105263</v>
      </c>
      <c r="T187" s="26">
        <f>data[[#This Row],[Revenue]]-data[[#This Row],[ShippingCost]]</f>
        <v>4892</v>
      </c>
      <c r="U187" s="17">
        <v>10787</v>
      </c>
      <c r="V187" s="17">
        <v>62</v>
      </c>
      <c r="W187" s="17" t="s">
        <v>68</v>
      </c>
      <c r="X187" s="17">
        <v>6</v>
      </c>
      <c r="Y187" s="17">
        <f>data[[#This Row],[DeliveryDate]]-data[[#This Row],[ShipDate]]</f>
        <v>9</v>
      </c>
      <c r="Z187" s="17" t="str">
        <f>IF(data[[#This Row],[Actual Delivery Days]]&gt;AD188,"Yes","No")</f>
        <v>Yes</v>
      </c>
    </row>
    <row r="188" spans="1:26">
      <c r="A188" s="17">
        <v>11122</v>
      </c>
      <c r="B188" s="17">
        <v>3</v>
      </c>
      <c r="C188" s="17">
        <v>3</v>
      </c>
      <c r="D188" s="17" t="s">
        <v>533</v>
      </c>
      <c r="E188" s="17" t="s">
        <v>171</v>
      </c>
      <c r="F188" s="17" t="str">
        <f>TEXT(data[[#This Row],[ShipDate]],"yyyy - mmmm")</f>
        <v>2016 - April</v>
      </c>
      <c r="G188" s="17" t="str">
        <f>data[[#This Row],[OriginCity]] &amp; " - "  &amp; data[[#This Row],[DestinationCity]]</f>
        <v>Milwaukee - Springfield</v>
      </c>
      <c r="H188" s="17" t="s">
        <v>28</v>
      </c>
      <c r="I188" s="17" t="s">
        <v>29</v>
      </c>
      <c r="J188" s="17">
        <v>9</v>
      </c>
      <c r="K188" s="17" t="s">
        <v>30</v>
      </c>
      <c r="L188" s="17" t="s">
        <v>31</v>
      </c>
      <c r="M188" s="17" t="s">
        <v>196</v>
      </c>
      <c r="N188" s="17">
        <v>384</v>
      </c>
      <c r="O188" s="17">
        <v>361</v>
      </c>
      <c r="P188" s="26">
        <f>(data[[#This Row],[LoadedMiles]]/data[[#This Row],[TotalMiles]])*100</f>
        <v>94.010416666666657</v>
      </c>
      <c r="Q188" s="25">
        <f>data[[#This Row],[ShippingCost]]/data[[#This Row],[TotalMiles]]</f>
        <v>1.296875</v>
      </c>
      <c r="R188" s="17">
        <v>498</v>
      </c>
      <c r="S188" s="25">
        <f>data[[#This Row],[Revenue]]/data[[#This Row],[TotalMiles]]</f>
        <v>3.8151041666666665</v>
      </c>
      <c r="T188" s="26">
        <f>data[[#This Row],[Revenue]]-data[[#This Row],[ShippingCost]]</f>
        <v>967</v>
      </c>
      <c r="U188" s="17">
        <v>1465</v>
      </c>
      <c r="V188" s="17">
        <v>57</v>
      </c>
      <c r="W188" s="17" t="s">
        <v>68</v>
      </c>
      <c r="X188" s="17">
        <v>9</v>
      </c>
      <c r="Y188" s="17">
        <f>data[[#This Row],[DeliveryDate]]-data[[#This Row],[ShipDate]]</f>
        <v>9</v>
      </c>
      <c r="Z188" s="17" t="str">
        <f>IF(data[[#This Row],[Actual Delivery Days]]&gt;AD189,"Yes","No")</f>
        <v>Yes</v>
      </c>
    </row>
    <row r="189" spans="1:26">
      <c r="A189" s="17">
        <v>11141</v>
      </c>
      <c r="B189" s="17">
        <v>2</v>
      </c>
      <c r="C189" s="17">
        <v>6</v>
      </c>
      <c r="D189" s="17" t="s">
        <v>558</v>
      </c>
      <c r="E189" s="17" t="s">
        <v>221</v>
      </c>
      <c r="F189" s="17" t="str">
        <f>TEXT(data[[#This Row],[ShipDate]],"yyyy - mmmm")</f>
        <v>2016 - April</v>
      </c>
      <c r="G189" s="17" t="str">
        <f>data[[#This Row],[OriginCity]] &amp; " - "  &amp; data[[#This Row],[DestinationCity]]</f>
        <v>Skokie - Chicago</v>
      </c>
      <c r="H189" s="17" t="s">
        <v>35</v>
      </c>
      <c r="I189" s="17" t="s">
        <v>31</v>
      </c>
      <c r="J189" s="17">
        <v>9</v>
      </c>
      <c r="K189" s="17" t="s">
        <v>39</v>
      </c>
      <c r="L189" s="17" t="s">
        <v>31</v>
      </c>
      <c r="M189" s="17" t="s">
        <v>170</v>
      </c>
      <c r="N189" s="17">
        <v>483</v>
      </c>
      <c r="O189" s="17">
        <v>211</v>
      </c>
      <c r="P189" s="26">
        <f>(data[[#This Row],[LoadedMiles]]/data[[#This Row],[TotalMiles]])*100</f>
        <v>43.685300207039333</v>
      </c>
      <c r="Q189" s="25">
        <f>data[[#This Row],[ShippingCost]]/data[[#This Row],[TotalMiles]]</f>
        <v>10.008281573498964</v>
      </c>
      <c r="R189" s="17">
        <v>4834</v>
      </c>
      <c r="S189" s="25">
        <f>data[[#This Row],[Revenue]]/data[[#This Row],[TotalMiles]]</f>
        <v>10.67287784679089</v>
      </c>
      <c r="T189" s="26">
        <f>data[[#This Row],[Revenue]]-data[[#This Row],[ShippingCost]]</f>
        <v>321</v>
      </c>
      <c r="U189" s="17">
        <v>5155</v>
      </c>
      <c r="V189" s="17">
        <v>93</v>
      </c>
      <c r="W189" s="17" t="s">
        <v>68</v>
      </c>
      <c r="X189" s="17">
        <v>5</v>
      </c>
      <c r="Y189" s="17">
        <f>data[[#This Row],[DeliveryDate]]-data[[#This Row],[ShipDate]]</f>
        <v>9</v>
      </c>
      <c r="Z189" s="17" t="str">
        <f>IF(data[[#This Row],[Actual Delivery Days]]&gt;AD190,"Yes","No")</f>
        <v>Yes</v>
      </c>
    </row>
    <row r="190" spans="1:26">
      <c r="A190" s="17">
        <v>11142</v>
      </c>
      <c r="B190" s="17">
        <v>3</v>
      </c>
      <c r="C190" s="17">
        <v>5</v>
      </c>
      <c r="D190" s="17" t="s">
        <v>559</v>
      </c>
      <c r="E190" s="17" t="s">
        <v>142</v>
      </c>
      <c r="F190" s="17" t="str">
        <f>TEXT(data[[#This Row],[ShipDate]],"yyyy - mmmm")</f>
        <v>2016 - August</v>
      </c>
      <c r="G190" s="17" t="str">
        <f>data[[#This Row],[OriginCity]] &amp; " - "  &amp; data[[#This Row],[DestinationCity]]</f>
        <v>Kalamazoo - Bangor</v>
      </c>
      <c r="H190" s="17" t="s">
        <v>71</v>
      </c>
      <c r="I190" s="17" t="s">
        <v>21</v>
      </c>
      <c r="J190" s="17">
        <v>9</v>
      </c>
      <c r="K190" s="17" t="s">
        <v>104</v>
      </c>
      <c r="L190" s="17" t="s">
        <v>21</v>
      </c>
      <c r="M190" s="17" t="s">
        <v>138</v>
      </c>
      <c r="N190" s="17">
        <v>376</v>
      </c>
      <c r="O190" s="17">
        <v>376</v>
      </c>
      <c r="P190" s="26">
        <f>(data[[#This Row],[LoadedMiles]]/data[[#This Row],[TotalMiles]])*100</f>
        <v>100</v>
      </c>
      <c r="Q190" s="25">
        <f>data[[#This Row],[ShippingCost]]/data[[#This Row],[TotalMiles]]</f>
        <v>20.36436170212766</v>
      </c>
      <c r="R190" s="17">
        <v>7657</v>
      </c>
      <c r="S190" s="25">
        <f>data[[#This Row],[Revenue]]/data[[#This Row],[TotalMiles]]</f>
        <v>21.066489361702128</v>
      </c>
      <c r="T190" s="26">
        <f>data[[#This Row],[Revenue]]-data[[#This Row],[ShippingCost]]</f>
        <v>264</v>
      </c>
      <c r="U190" s="17">
        <v>7921</v>
      </c>
      <c r="V190" s="17">
        <v>58</v>
      </c>
      <c r="W190" s="17" t="s">
        <v>68</v>
      </c>
      <c r="X190" s="17">
        <v>2</v>
      </c>
      <c r="Y190" s="17">
        <f>data[[#This Row],[DeliveryDate]]-data[[#This Row],[ShipDate]]</f>
        <v>9</v>
      </c>
      <c r="Z190" s="17" t="str">
        <f>IF(data[[#This Row],[Actual Delivery Days]]&gt;AD191,"Yes","No")</f>
        <v>Yes</v>
      </c>
    </row>
    <row r="191" spans="1:26">
      <c r="A191" s="17">
        <v>11207</v>
      </c>
      <c r="B191" s="17">
        <v>3</v>
      </c>
      <c r="C191" s="17">
        <v>6</v>
      </c>
      <c r="D191" s="17" t="s">
        <v>123</v>
      </c>
      <c r="E191" s="17" t="s">
        <v>216</v>
      </c>
      <c r="F191" s="17" t="str">
        <f>TEXT(data[[#This Row],[ShipDate]],"yyyy - mmmm")</f>
        <v>2016 - August</v>
      </c>
      <c r="G191" s="17" t="str">
        <f>data[[#This Row],[OriginCity]] &amp; " - "  &amp; data[[#This Row],[DestinationCity]]</f>
        <v>Lansing - Dayton</v>
      </c>
      <c r="H191" s="17" t="s">
        <v>66</v>
      </c>
      <c r="I191" s="17" t="s">
        <v>21</v>
      </c>
      <c r="J191" s="17">
        <v>9</v>
      </c>
      <c r="K191" s="17" t="s">
        <v>93</v>
      </c>
      <c r="L191" s="17" t="s">
        <v>23</v>
      </c>
      <c r="M191" s="17" t="s">
        <v>240</v>
      </c>
      <c r="N191" s="17">
        <v>320</v>
      </c>
      <c r="O191" s="17">
        <v>238</v>
      </c>
      <c r="P191" s="26">
        <f>(data[[#This Row],[LoadedMiles]]/data[[#This Row],[TotalMiles]])*100</f>
        <v>74.375</v>
      </c>
      <c r="Q191" s="25">
        <f>data[[#This Row],[ShippingCost]]/data[[#This Row],[TotalMiles]]</f>
        <v>3.5375000000000001</v>
      </c>
      <c r="R191" s="17">
        <v>1132</v>
      </c>
      <c r="S191" s="25">
        <f>data[[#This Row],[Revenue]]/data[[#This Row],[TotalMiles]]</f>
        <v>5.8718750000000002</v>
      </c>
      <c r="T191" s="26">
        <f>data[[#This Row],[Revenue]]-data[[#This Row],[ShippingCost]]</f>
        <v>747</v>
      </c>
      <c r="U191" s="17">
        <v>1879</v>
      </c>
      <c r="V191" s="17">
        <v>73</v>
      </c>
      <c r="W191" s="17" t="s">
        <v>68</v>
      </c>
      <c r="X191" s="17">
        <v>3</v>
      </c>
      <c r="Y191" s="17">
        <f>data[[#This Row],[DeliveryDate]]-data[[#This Row],[ShipDate]]</f>
        <v>8</v>
      </c>
      <c r="Z191" s="17" t="str">
        <f>IF(data[[#This Row],[Actual Delivery Days]]&gt;AD192,"Yes","No")</f>
        <v>Yes</v>
      </c>
    </row>
    <row r="192" spans="1:26">
      <c r="A192" s="17">
        <v>11208</v>
      </c>
      <c r="B192" s="17">
        <v>3</v>
      </c>
      <c r="C192" s="17">
        <v>4</v>
      </c>
      <c r="D192" s="17" t="s">
        <v>126</v>
      </c>
      <c r="E192" s="17" t="s">
        <v>337</v>
      </c>
      <c r="F192" s="17" t="str">
        <f>TEXT(data[[#This Row],[ShipDate]],"yyyy - mmmm")</f>
        <v>2016 - March</v>
      </c>
      <c r="G192" s="17" t="str">
        <f>data[[#This Row],[OriginCity]] &amp; " - "  &amp; data[[#This Row],[DestinationCity]]</f>
        <v>Bangor - Davenport</v>
      </c>
      <c r="H192" s="17" t="s">
        <v>104</v>
      </c>
      <c r="I192" s="17" t="s">
        <v>21</v>
      </c>
      <c r="J192" s="17">
        <v>9</v>
      </c>
      <c r="K192" s="17" t="s">
        <v>105</v>
      </c>
      <c r="L192" s="17" t="s">
        <v>106</v>
      </c>
      <c r="M192" s="17" t="s">
        <v>355</v>
      </c>
      <c r="N192" s="17">
        <v>876</v>
      </c>
      <c r="O192" s="17">
        <v>547</v>
      </c>
      <c r="P192" s="26">
        <f>(data[[#This Row],[LoadedMiles]]/data[[#This Row],[TotalMiles]])*100</f>
        <v>62.442922374429223</v>
      </c>
      <c r="Q192" s="25">
        <f>data[[#This Row],[ShippingCost]]/data[[#This Row],[TotalMiles]]</f>
        <v>6.7488584474885842</v>
      </c>
      <c r="R192" s="17">
        <v>5912</v>
      </c>
      <c r="S192" s="25">
        <f>data[[#This Row],[Revenue]]/data[[#This Row],[TotalMiles]]</f>
        <v>4.2260273972602738</v>
      </c>
      <c r="T192" s="26">
        <f>data[[#This Row],[Revenue]]-data[[#This Row],[ShippingCost]]</f>
        <v>-2210</v>
      </c>
      <c r="U192" s="17">
        <v>3702</v>
      </c>
      <c r="V192" s="17">
        <v>57</v>
      </c>
      <c r="W192" s="17" t="s">
        <v>68</v>
      </c>
      <c r="X192" s="17">
        <v>3</v>
      </c>
      <c r="Y192" s="17">
        <f>data[[#This Row],[DeliveryDate]]-data[[#This Row],[ShipDate]]</f>
        <v>8</v>
      </c>
      <c r="Z192" s="17" t="str">
        <f>IF(data[[#This Row],[Actual Delivery Days]]&gt;AD193,"Yes","No")</f>
        <v>Yes</v>
      </c>
    </row>
    <row r="193" spans="1:26">
      <c r="A193" s="17">
        <v>11219</v>
      </c>
      <c r="B193" s="17">
        <v>2</v>
      </c>
      <c r="C193" s="17">
        <v>2</v>
      </c>
      <c r="D193" s="17" t="s">
        <v>157</v>
      </c>
      <c r="E193" s="17" t="s">
        <v>362</v>
      </c>
      <c r="F193" s="17" t="str">
        <f>TEXT(data[[#This Row],[ShipDate]],"yyyy - mmmm")</f>
        <v>2016 - February</v>
      </c>
      <c r="G193" s="17" t="str">
        <f>data[[#This Row],[OriginCity]] &amp; " - "  &amp; data[[#This Row],[DestinationCity]]</f>
        <v>Detriot - Monon</v>
      </c>
      <c r="H193" s="17" t="s">
        <v>52</v>
      </c>
      <c r="I193" s="17" t="s">
        <v>21</v>
      </c>
      <c r="J193" s="17">
        <v>9</v>
      </c>
      <c r="K193" s="17" t="s">
        <v>53</v>
      </c>
      <c r="L193" s="17" t="s">
        <v>44</v>
      </c>
      <c r="M193" s="17" t="s">
        <v>90</v>
      </c>
      <c r="N193" s="17">
        <v>582</v>
      </c>
      <c r="O193" s="17">
        <v>582</v>
      </c>
      <c r="P193" s="26">
        <f>(data[[#This Row],[LoadedMiles]]/data[[#This Row],[TotalMiles]])*100</f>
        <v>100</v>
      </c>
      <c r="Q193" s="25">
        <f>data[[#This Row],[ShippingCost]]/data[[#This Row],[TotalMiles]]</f>
        <v>8.8247422680412377</v>
      </c>
      <c r="R193" s="17">
        <v>5136</v>
      </c>
      <c r="S193" s="25">
        <f>data[[#This Row],[Revenue]]/data[[#This Row],[TotalMiles]]</f>
        <v>9.0927835051546388</v>
      </c>
      <c r="T193" s="26">
        <f>data[[#This Row],[Revenue]]-data[[#This Row],[ShippingCost]]</f>
        <v>156</v>
      </c>
      <c r="U193" s="17">
        <v>5292</v>
      </c>
      <c r="V193" s="17">
        <v>82</v>
      </c>
      <c r="W193" s="17" t="s">
        <v>68</v>
      </c>
      <c r="X193" s="17">
        <v>6</v>
      </c>
      <c r="Y193" s="17">
        <f>data[[#This Row],[DeliveryDate]]-data[[#This Row],[ShipDate]]</f>
        <v>9</v>
      </c>
      <c r="Z193" s="17" t="str">
        <f>IF(data[[#This Row],[Actual Delivery Days]]&gt;AD194,"Yes","No")</f>
        <v>Yes</v>
      </c>
    </row>
    <row r="194" spans="1:26">
      <c r="A194" s="17">
        <v>11238</v>
      </c>
      <c r="B194" s="17">
        <v>3</v>
      </c>
      <c r="C194" s="17">
        <v>5</v>
      </c>
      <c r="D194" s="17" t="s">
        <v>205</v>
      </c>
      <c r="E194" s="17" t="s">
        <v>58</v>
      </c>
      <c r="F194" s="17" t="str">
        <f>TEXT(data[[#This Row],[ShipDate]],"yyyy - mmmm")</f>
        <v>2016 - May</v>
      </c>
      <c r="G194" s="17" t="str">
        <f>data[[#This Row],[OriginCity]] &amp; " - "  &amp; data[[#This Row],[DestinationCity]]</f>
        <v>Chicago - Rockford</v>
      </c>
      <c r="H194" s="17" t="s">
        <v>39</v>
      </c>
      <c r="I194" s="17" t="s">
        <v>31</v>
      </c>
      <c r="J194" s="17">
        <v>9</v>
      </c>
      <c r="K194" s="17" t="s">
        <v>40</v>
      </c>
      <c r="L194" s="17" t="s">
        <v>31</v>
      </c>
      <c r="M194" s="17" t="s">
        <v>616</v>
      </c>
      <c r="N194" s="17">
        <v>357</v>
      </c>
      <c r="O194" s="17">
        <v>357</v>
      </c>
      <c r="P194" s="26">
        <f>(data[[#This Row],[LoadedMiles]]/data[[#This Row],[TotalMiles]])*100</f>
        <v>100</v>
      </c>
      <c r="Q194" s="25">
        <f>data[[#This Row],[ShippingCost]]/data[[#This Row],[TotalMiles]]</f>
        <v>6.3473389355742293</v>
      </c>
      <c r="R194" s="17">
        <v>2266</v>
      </c>
      <c r="S194" s="25">
        <f>data[[#This Row],[Revenue]]/data[[#This Row],[TotalMiles]]</f>
        <v>7.742296918767507</v>
      </c>
      <c r="T194" s="26">
        <f>data[[#This Row],[Revenue]]-data[[#This Row],[ShippingCost]]</f>
        <v>498</v>
      </c>
      <c r="U194" s="17">
        <v>2764</v>
      </c>
      <c r="V194" s="17">
        <v>81</v>
      </c>
      <c r="W194" s="17" t="s">
        <v>68</v>
      </c>
      <c r="X194" s="17">
        <v>10</v>
      </c>
      <c r="Y194" s="17">
        <f>data[[#This Row],[DeliveryDate]]-data[[#This Row],[ShipDate]]</f>
        <v>9</v>
      </c>
      <c r="Z194" s="17" t="str">
        <f>IF(data[[#This Row],[Actual Delivery Days]]&gt;AD195,"Yes","No")</f>
        <v>Yes</v>
      </c>
    </row>
    <row r="195" spans="1:26">
      <c r="A195" s="17">
        <v>11245</v>
      </c>
      <c r="B195" s="17">
        <v>2</v>
      </c>
      <c r="C195" s="17">
        <v>2</v>
      </c>
      <c r="D195" s="17" t="s">
        <v>223</v>
      </c>
      <c r="E195" s="17" t="s">
        <v>299</v>
      </c>
      <c r="F195" s="17" t="str">
        <f>TEXT(data[[#This Row],[ShipDate]],"yyyy - mmmm")</f>
        <v>2016 - July</v>
      </c>
      <c r="G195" s="17" t="str">
        <f>data[[#This Row],[OriginCity]] &amp; " - "  &amp; data[[#This Row],[DestinationCity]]</f>
        <v>Green Bay - Joliet</v>
      </c>
      <c r="H195" s="17" t="s">
        <v>75</v>
      </c>
      <c r="I195" s="17" t="s">
        <v>29</v>
      </c>
      <c r="J195" s="17">
        <v>9</v>
      </c>
      <c r="K195" s="17" t="s">
        <v>61</v>
      </c>
      <c r="L195" s="17" t="s">
        <v>31</v>
      </c>
      <c r="M195" s="17" t="s">
        <v>191</v>
      </c>
      <c r="N195" s="17">
        <v>1173</v>
      </c>
      <c r="O195" s="17">
        <v>719</v>
      </c>
      <c r="P195" s="26">
        <f>(data[[#This Row],[LoadedMiles]]/data[[#This Row],[TotalMiles]])*100</f>
        <v>61.295822676896847</v>
      </c>
      <c r="Q195" s="25">
        <f>data[[#This Row],[ShippingCost]]/data[[#This Row],[TotalMiles]]</f>
        <v>3.1884057971014492</v>
      </c>
      <c r="R195" s="17">
        <v>3740</v>
      </c>
      <c r="S195" s="25">
        <f>data[[#This Row],[Revenue]]/data[[#This Row],[TotalMiles]]</f>
        <v>3.3086104006820118</v>
      </c>
      <c r="T195" s="26">
        <f>data[[#This Row],[Revenue]]-data[[#This Row],[ShippingCost]]</f>
        <v>141</v>
      </c>
      <c r="U195" s="17">
        <v>3881</v>
      </c>
      <c r="V195" s="17">
        <v>65</v>
      </c>
      <c r="W195" s="17" t="s">
        <v>68</v>
      </c>
      <c r="X195" s="17">
        <v>3</v>
      </c>
      <c r="Y195" s="17">
        <f>data[[#This Row],[DeliveryDate]]-data[[#This Row],[ShipDate]]</f>
        <v>7</v>
      </c>
      <c r="Z195" s="17" t="str">
        <f>IF(data[[#This Row],[Actual Delivery Days]]&gt;AD196,"Yes","No")</f>
        <v>Yes</v>
      </c>
    </row>
    <row r="196" spans="1:26">
      <c r="A196" s="17">
        <v>11271</v>
      </c>
      <c r="B196" s="17">
        <v>3</v>
      </c>
      <c r="C196" s="17">
        <v>5</v>
      </c>
      <c r="D196" s="17" t="s">
        <v>281</v>
      </c>
      <c r="E196" s="17" t="s">
        <v>216</v>
      </c>
      <c r="F196" s="17" t="str">
        <f>TEXT(data[[#This Row],[ShipDate]],"yyyy - mmmm")</f>
        <v>2016 - August</v>
      </c>
      <c r="G196" s="17" t="str">
        <f>data[[#This Row],[OriginCity]] &amp; " - "  &amp; data[[#This Row],[DestinationCity]]</f>
        <v>Toledo - Detriot</v>
      </c>
      <c r="H196" s="17" t="s">
        <v>22</v>
      </c>
      <c r="I196" s="17" t="s">
        <v>23</v>
      </c>
      <c r="J196" s="17">
        <v>9</v>
      </c>
      <c r="K196" s="17" t="s">
        <v>52</v>
      </c>
      <c r="L196" s="17" t="s">
        <v>21</v>
      </c>
      <c r="M196" s="17" t="s">
        <v>243</v>
      </c>
      <c r="N196" s="17">
        <v>357</v>
      </c>
      <c r="O196" s="17">
        <v>357</v>
      </c>
      <c r="P196" s="26">
        <f>(data[[#This Row],[LoadedMiles]]/data[[#This Row],[TotalMiles]])*100</f>
        <v>100</v>
      </c>
      <c r="Q196" s="25">
        <f>data[[#This Row],[ShippingCost]]/data[[#This Row],[TotalMiles]]</f>
        <v>9.9607843137254903</v>
      </c>
      <c r="R196" s="17">
        <v>3556</v>
      </c>
      <c r="S196" s="25">
        <f>data[[#This Row],[Revenue]]/data[[#This Row],[TotalMiles]]</f>
        <v>12.532212885154062</v>
      </c>
      <c r="T196" s="26">
        <f>data[[#This Row],[Revenue]]-data[[#This Row],[ShippingCost]]</f>
        <v>918</v>
      </c>
      <c r="U196" s="17">
        <v>4474</v>
      </c>
      <c r="V196" s="17">
        <v>51</v>
      </c>
      <c r="W196" s="17" t="s">
        <v>68</v>
      </c>
      <c r="X196" s="17">
        <v>10</v>
      </c>
      <c r="Y196" s="17">
        <f>data[[#This Row],[DeliveryDate]]-data[[#This Row],[ShipDate]]</f>
        <v>9</v>
      </c>
      <c r="Z196" s="17" t="str">
        <f>IF(data[[#This Row],[Actual Delivery Days]]&gt;AD197,"Yes","No")</f>
        <v>Yes</v>
      </c>
    </row>
    <row r="197" spans="1:26">
      <c r="A197" s="17">
        <v>11291</v>
      </c>
      <c r="B197" s="17">
        <v>2</v>
      </c>
      <c r="C197" s="17">
        <v>5</v>
      </c>
      <c r="D197" s="17" t="s">
        <v>325</v>
      </c>
      <c r="E197" s="17" t="s">
        <v>625</v>
      </c>
      <c r="F197" s="17" t="str">
        <f>TEXT(data[[#This Row],[ShipDate]],"yyyy - mmmm")</f>
        <v>2016 - January</v>
      </c>
      <c r="G197" s="17" t="str">
        <f>data[[#This Row],[OriginCity]] &amp; " - "  &amp; data[[#This Row],[DestinationCity]]</f>
        <v>Dayton - Elgin</v>
      </c>
      <c r="H197" s="17" t="s">
        <v>93</v>
      </c>
      <c r="I197" s="17" t="s">
        <v>23</v>
      </c>
      <c r="J197" s="17">
        <v>9</v>
      </c>
      <c r="K197" s="17" t="s">
        <v>94</v>
      </c>
      <c r="L197" s="17" t="s">
        <v>31</v>
      </c>
      <c r="M197" s="17" t="s">
        <v>245</v>
      </c>
      <c r="N197" s="17">
        <v>866</v>
      </c>
      <c r="O197" s="17">
        <v>200</v>
      </c>
      <c r="P197" s="26">
        <f>(data[[#This Row],[LoadedMiles]]/data[[#This Row],[TotalMiles]])*100</f>
        <v>23.094688221709006</v>
      </c>
      <c r="Q197" s="25">
        <f>data[[#This Row],[ShippingCost]]/data[[#This Row],[TotalMiles]]</f>
        <v>0.88799076212471129</v>
      </c>
      <c r="R197" s="17">
        <v>769</v>
      </c>
      <c r="S197" s="25">
        <f>data[[#This Row],[Revenue]]/data[[#This Row],[TotalMiles]]</f>
        <v>2.0277136258660509</v>
      </c>
      <c r="T197" s="26">
        <f>data[[#This Row],[Revenue]]-data[[#This Row],[ShippingCost]]</f>
        <v>987</v>
      </c>
      <c r="U197" s="17">
        <v>1756</v>
      </c>
      <c r="V197" s="17">
        <v>61</v>
      </c>
      <c r="W197" s="17" t="s">
        <v>68</v>
      </c>
      <c r="X197" s="17">
        <v>5</v>
      </c>
      <c r="Y197" s="17">
        <f>data[[#This Row],[DeliveryDate]]-data[[#This Row],[ShipDate]]</f>
        <v>9</v>
      </c>
      <c r="Z197" s="17" t="str">
        <f>IF(data[[#This Row],[Actual Delivery Days]]&gt;AD198,"Yes","No")</f>
        <v>Yes</v>
      </c>
    </row>
    <row r="198" spans="1:26">
      <c r="A198" s="17">
        <v>11318</v>
      </c>
      <c r="B198" s="17">
        <v>2</v>
      </c>
      <c r="C198" s="17">
        <v>4</v>
      </c>
      <c r="D198" s="17" t="s">
        <v>369</v>
      </c>
      <c r="E198" s="17" t="s">
        <v>144</v>
      </c>
      <c r="F198" s="17" t="str">
        <f>TEXT(data[[#This Row],[ShipDate]],"yyyy - mmmm")</f>
        <v>2016 - July</v>
      </c>
      <c r="G198" s="17" t="str">
        <f>data[[#This Row],[OriginCity]] &amp; " - "  &amp; data[[#This Row],[DestinationCity]]</f>
        <v>Bangor - Davenport</v>
      </c>
      <c r="H198" s="17" t="s">
        <v>104</v>
      </c>
      <c r="I198" s="17" t="s">
        <v>21</v>
      </c>
      <c r="J198" s="17">
        <v>9</v>
      </c>
      <c r="K198" s="17" t="s">
        <v>105</v>
      </c>
      <c r="L198" s="17" t="s">
        <v>106</v>
      </c>
      <c r="M198" s="17" t="s">
        <v>150</v>
      </c>
      <c r="N198" s="17">
        <v>714</v>
      </c>
      <c r="O198" s="17">
        <v>334</v>
      </c>
      <c r="P198" s="26">
        <f>(data[[#This Row],[LoadedMiles]]/data[[#This Row],[TotalMiles]])*100</f>
        <v>46.778711484593835</v>
      </c>
      <c r="Q198" s="25">
        <f>data[[#This Row],[ShippingCost]]/data[[#This Row],[TotalMiles]]</f>
        <v>6.2549019607843137</v>
      </c>
      <c r="R198" s="17">
        <v>4466</v>
      </c>
      <c r="S198" s="25">
        <f>data[[#This Row],[Revenue]]/data[[#This Row],[TotalMiles]]</f>
        <v>4.7857142857142856</v>
      </c>
      <c r="T198" s="26">
        <f>data[[#This Row],[Revenue]]-data[[#This Row],[ShippingCost]]</f>
        <v>-1049</v>
      </c>
      <c r="U198" s="17">
        <v>3417</v>
      </c>
      <c r="V198" s="17">
        <v>92</v>
      </c>
      <c r="W198" s="17" t="s">
        <v>68</v>
      </c>
      <c r="X198" s="17">
        <v>3</v>
      </c>
      <c r="Y198" s="17">
        <f>data[[#This Row],[DeliveryDate]]-data[[#This Row],[ShipDate]]</f>
        <v>6</v>
      </c>
      <c r="Z198" s="17" t="str">
        <f>IF(data[[#This Row],[Actual Delivery Days]]&gt;AD199,"Yes","No")</f>
        <v>Yes</v>
      </c>
    </row>
    <row r="199" spans="1:26">
      <c r="A199" s="17">
        <v>11335</v>
      </c>
      <c r="B199" s="17">
        <v>3</v>
      </c>
      <c r="C199" s="17">
        <v>6</v>
      </c>
      <c r="D199" s="17" t="s">
        <v>398</v>
      </c>
      <c r="E199" s="17" t="s">
        <v>424</v>
      </c>
      <c r="F199" s="17" t="str">
        <f>TEXT(data[[#This Row],[ShipDate]],"yyyy - mmmm")</f>
        <v>2016 - January</v>
      </c>
      <c r="G199" s="17" t="str">
        <f>data[[#This Row],[OriginCity]] &amp; " - "  &amp; data[[#This Row],[DestinationCity]]</f>
        <v>Cincinnati - Gary</v>
      </c>
      <c r="H199" s="17" t="s">
        <v>89</v>
      </c>
      <c r="I199" s="17" t="s">
        <v>23</v>
      </c>
      <c r="J199" s="17">
        <v>9</v>
      </c>
      <c r="K199" s="17" t="s">
        <v>57</v>
      </c>
      <c r="L199" s="17" t="s">
        <v>44</v>
      </c>
      <c r="M199" s="17" t="s">
        <v>193</v>
      </c>
      <c r="N199" s="17">
        <v>333</v>
      </c>
      <c r="O199" s="17">
        <v>333</v>
      </c>
      <c r="P199" s="26">
        <f>(data[[#This Row],[LoadedMiles]]/data[[#This Row],[TotalMiles]])*100</f>
        <v>100</v>
      </c>
      <c r="Q199" s="25">
        <f>data[[#This Row],[ShippingCost]]/data[[#This Row],[TotalMiles]]</f>
        <v>24.612612612612612</v>
      </c>
      <c r="R199" s="17">
        <v>8196</v>
      </c>
      <c r="S199" s="25">
        <f>data[[#This Row],[Revenue]]/data[[#This Row],[TotalMiles]]</f>
        <v>26.108108108108109</v>
      </c>
      <c r="T199" s="26">
        <f>data[[#This Row],[Revenue]]-data[[#This Row],[ShippingCost]]</f>
        <v>498</v>
      </c>
      <c r="U199" s="17">
        <v>8694</v>
      </c>
      <c r="V199" s="17">
        <v>96</v>
      </c>
      <c r="W199" s="17" t="s">
        <v>68</v>
      </c>
      <c r="X199" s="17">
        <v>2</v>
      </c>
      <c r="Y199" s="17">
        <f>data[[#This Row],[DeliveryDate]]-data[[#This Row],[ShipDate]]</f>
        <v>8</v>
      </c>
      <c r="Z199" s="17" t="str">
        <f>IF(data[[#This Row],[Actual Delivery Days]]&gt;AD200,"Yes","No")</f>
        <v>Yes</v>
      </c>
    </row>
    <row r="200" spans="1:26">
      <c r="A200" s="17">
        <v>11388</v>
      </c>
      <c r="B200" s="17">
        <v>2</v>
      </c>
      <c r="C200" s="17">
        <v>6</v>
      </c>
      <c r="D200" s="17" t="s">
        <v>479</v>
      </c>
      <c r="E200" s="17" t="s">
        <v>435</v>
      </c>
      <c r="F200" s="17" t="str">
        <f>TEXT(data[[#This Row],[ShipDate]],"yyyy - mmmm")</f>
        <v>2016 - February</v>
      </c>
      <c r="G200" s="17" t="str">
        <f>data[[#This Row],[OriginCity]] &amp; " - "  &amp; data[[#This Row],[DestinationCity]]</f>
        <v>Skokie - Chicago</v>
      </c>
      <c r="H200" s="17" t="s">
        <v>35</v>
      </c>
      <c r="I200" s="17" t="s">
        <v>31</v>
      </c>
      <c r="J200" s="17">
        <v>9</v>
      </c>
      <c r="K200" s="17" t="s">
        <v>39</v>
      </c>
      <c r="L200" s="17" t="s">
        <v>31</v>
      </c>
      <c r="M200" s="17" t="s">
        <v>82</v>
      </c>
      <c r="N200" s="17">
        <v>630</v>
      </c>
      <c r="O200" s="17">
        <v>341</v>
      </c>
      <c r="P200" s="26">
        <f>(data[[#This Row],[LoadedMiles]]/data[[#This Row],[TotalMiles]])*100</f>
        <v>54.126984126984127</v>
      </c>
      <c r="Q200" s="25">
        <f>data[[#This Row],[ShippingCost]]/data[[#This Row],[TotalMiles]]</f>
        <v>5.0650793650793648</v>
      </c>
      <c r="R200" s="17">
        <v>3191</v>
      </c>
      <c r="S200" s="25">
        <f>data[[#This Row],[Revenue]]/data[[#This Row],[TotalMiles]]</f>
        <v>6.4476190476190478</v>
      </c>
      <c r="T200" s="26">
        <f>data[[#This Row],[Revenue]]-data[[#This Row],[ShippingCost]]</f>
        <v>871</v>
      </c>
      <c r="U200" s="17">
        <v>4062</v>
      </c>
      <c r="V200" s="17">
        <v>63</v>
      </c>
      <c r="W200" s="17" t="s">
        <v>68</v>
      </c>
      <c r="X200" s="17">
        <v>7</v>
      </c>
      <c r="Y200" s="17">
        <f>data[[#This Row],[DeliveryDate]]-data[[#This Row],[ShipDate]]</f>
        <v>34</v>
      </c>
      <c r="Z200" s="17" t="str">
        <f>IF(data[[#This Row],[Actual Delivery Days]]&gt;AD201,"Yes","No")</f>
        <v>Yes</v>
      </c>
    </row>
    <row r="201" spans="1:26">
      <c r="A201" s="17">
        <v>11420</v>
      </c>
      <c r="B201" s="17">
        <v>3</v>
      </c>
      <c r="C201" s="17">
        <v>6</v>
      </c>
      <c r="D201" s="17" t="s">
        <v>524</v>
      </c>
      <c r="E201" s="17" t="s">
        <v>405</v>
      </c>
      <c r="F201" s="17" t="str">
        <f>TEXT(data[[#This Row],[ShipDate]],"yyyy - mmmm")</f>
        <v>2016 - August</v>
      </c>
      <c r="G201" s="17" t="str">
        <f>data[[#This Row],[OriginCity]] &amp; " - "  &amp; data[[#This Row],[DestinationCity]]</f>
        <v>Madison - Kalamazoo</v>
      </c>
      <c r="H201" s="17" t="s">
        <v>62</v>
      </c>
      <c r="I201" s="17" t="s">
        <v>29</v>
      </c>
      <c r="J201" s="17">
        <v>9</v>
      </c>
      <c r="K201" s="17" t="s">
        <v>71</v>
      </c>
      <c r="L201" s="17" t="s">
        <v>21</v>
      </c>
      <c r="M201" s="17" t="s">
        <v>211</v>
      </c>
      <c r="N201" s="17">
        <v>611</v>
      </c>
      <c r="O201" s="17">
        <v>242</v>
      </c>
      <c r="P201" s="26">
        <f>(data[[#This Row],[LoadedMiles]]/data[[#This Row],[TotalMiles]])*100</f>
        <v>39.607201309328971</v>
      </c>
      <c r="Q201" s="25">
        <f>data[[#This Row],[ShippingCost]]/data[[#This Row],[TotalMiles]]</f>
        <v>2.2945990180032734</v>
      </c>
      <c r="R201" s="17">
        <v>1402</v>
      </c>
      <c r="S201" s="25">
        <f>data[[#This Row],[Revenue]]/data[[#This Row],[TotalMiles]]</f>
        <v>3.7086743044189854</v>
      </c>
      <c r="T201" s="26">
        <f>data[[#This Row],[Revenue]]-data[[#This Row],[ShippingCost]]</f>
        <v>864</v>
      </c>
      <c r="U201" s="17">
        <v>2266</v>
      </c>
      <c r="V201" s="17">
        <v>71</v>
      </c>
      <c r="W201" s="17" t="s">
        <v>68</v>
      </c>
      <c r="X201" s="17">
        <v>10</v>
      </c>
      <c r="Y201" s="17">
        <f>data[[#This Row],[DeliveryDate]]-data[[#This Row],[ShipDate]]</f>
        <v>9</v>
      </c>
      <c r="Z201" s="17" t="str">
        <f>IF(data[[#This Row],[Actual Delivery Days]]&gt;AD202,"Yes","No")</f>
        <v>Yes</v>
      </c>
    </row>
    <row r="202" spans="1:26">
      <c r="A202" s="17">
        <v>11427</v>
      </c>
      <c r="B202" s="17">
        <v>3</v>
      </c>
      <c r="C202" s="17">
        <v>2</v>
      </c>
      <c r="D202" s="17" t="s">
        <v>536</v>
      </c>
      <c r="E202" s="17" t="s">
        <v>399</v>
      </c>
      <c r="F202" s="17" t="str">
        <f>TEXT(data[[#This Row],[ShipDate]],"yyyy - mmmm")</f>
        <v>2016 - July</v>
      </c>
      <c r="G202" s="17" t="str">
        <f>data[[#This Row],[OriginCity]] &amp; " - "  &amp; data[[#This Row],[DestinationCity]]</f>
        <v>Bangor - Davenport</v>
      </c>
      <c r="H202" s="17" t="s">
        <v>104</v>
      </c>
      <c r="I202" s="17" t="s">
        <v>21</v>
      </c>
      <c r="J202" s="17">
        <v>9</v>
      </c>
      <c r="K202" s="17" t="s">
        <v>105</v>
      </c>
      <c r="L202" s="17" t="s">
        <v>106</v>
      </c>
      <c r="M202" s="17" t="s">
        <v>19</v>
      </c>
      <c r="N202" s="17">
        <v>362</v>
      </c>
      <c r="O202" s="17">
        <v>362</v>
      </c>
      <c r="P202" s="26">
        <f>(data[[#This Row],[LoadedMiles]]/data[[#This Row],[TotalMiles]])*100</f>
        <v>100</v>
      </c>
      <c r="Q202" s="25">
        <f>data[[#This Row],[ShippingCost]]/data[[#This Row],[TotalMiles]]</f>
        <v>6.6629834254143647</v>
      </c>
      <c r="R202" s="17">
        <v>2412</v>
      </c>
      <c r="S202" s="25">
        <f>data[[#This Row],[Revenue]]/data[[#This Row],[TotalMiles]]</f>
        <v>8.1160220994475143</v>
      </c>
      <c r="T202" s="26">
        <f>data[[#This Row],[Revenue]]-data[[#This Row],[ShippingCost]]</f>
        <v>526</v>
      </c>
      <c r="U202" s="17">
        <v>2938</v>
      </c>
      <c r="V202" s="17">
        <v>78</v>
      </c>
      <c r="W202" s="17" t="s">
        <v>68</v>
      </c>
      <c r="X202" s="17">
        <v>10</v>
      </c>
      <c r="Y202" s="17">
        <f>data[[#This Row],[DeliveryDate]]-data[[#This Row],[ShipDate]]</f>
        <v>7</v>
      </c>
      <c r="Z202" s="17" t="str">
        <f>IF(data[[#This Row],[Actual Delivery Days]]&gt;AD203,"Yes","No")</f>
        <v>Yes</v>
      </c>
    </row>
    <row r="203" spans="1:26">
      <c r="A203" s="17">
        <v>11437</v>
      </c>
      <c r="B203" s="17">
        <v>3</v>
      </c>
      <c r="C203" s="17">
        <v>3</v>
      </c>
      <c r="D203" s="17" t="s">
        <v>549</v>
      </c>
      <c r="E203" s="17" t="s">
        <v>147</v>
      </c>
      <c r="F203" s="17" t="str">
        <f>TEXT(data[[#This Row],[ShipDate]],"yyyy - mmmm")</f>
        <v>2016 - June</v>
      </c>
      <c r="G203" s="17" t="str">
        <f>data[[#This Row],[OriginCity]] &amp; " - "  &amp; data[[#This Row],[DestinationCity]]</f>
        <v>Northbrook - Naperville</v>
      </c>
      <c r="H203" s="17" t="s">
        <v>45</v>
      </c>
      <c r="I203" s="17" t="s">
        <v>31</v>
      </c>
      <c r="J203" s="17">
        <v>9</v>
      </c>
      <c r="K203" s="17" t="s">
        <v>48</v>
      </c>
      <c r="L203" s="17" t="s">
        <v>31</v>
      </c>
      <c r="M203" s="17" t="s">
        <v>278</v>
      </c>
      <c r="N203" s="17">
        <v>801</v>
      </c>
      <c r="O203" s="17">
        <v>273</v>
      </c>
      <c r="P203" s="26">
        <f>(data[[#This Row],[LoadedMiles]]/data[[#This Row],[TotalMiles]])*100</f>
        <v>34.082397003745321</v>
      </c>
      <c r="Q203" s="25">
        <f>data[[#This Row],[ShippingCost]]/data[[#This Row],[TotalMiles]]</f>
        <v>6.8339575530586769</v>
      </c>
      <c r="R203" s="17">
        <v>5474</v>
      </c>
      <c r="S203" s="25">
        <f>data[[#This Row],[Revenue]]/data[[#This Row],[TotalMiles]]</f>
        <v>7.0337078651685392</v>
      </c>
      <c r="T203" s="26">
        <f>data[[#This Row],[Revenue]]-data[[#This Row],[ShippingCost]]</f>
        <v>160</v>
      </c>
      <c r="U203" s="17">
        <v>5634</v>
      </c>
      <c r="V203" s="17">
        <v>65</v>
      </c>
      <c r="W203" s="17" t="s">
        <v>68</v>
      </c>
      <c r="X203" s="17">
        <v>2</v>
      </c>
      <c r="Y203" s="17">
        <f>data[[#This Row],[DeliveryDate]]-data[[#This Row],[ShipDate]]</f>
        <v>9</v>
      </c>
      <c r="Z203" s="17" t="str">
        <f>IF(data[[#This Row],[Actual Delivery Days]]&gt;AD204,"Yes","No")</f>
        <v>Yes</v>
      </c>
    </row>
    <row r="204" spans="1:26">
      <c r="A204" s="17">
        <v>11439</v>
      </c>
      <c r="B204" s="17">
        <v>2</v>
      </c>
      <c r="C204" s="17">
        <v>1</v>
      </c>
      <c r="D204" s="17" t="s">
        <v>552</v>
      </c>
      <c r="E204" s="17" t="s">
        <v>312</v>
      </c>
      <c r="F204" s="17" t="str">
        <f>TEXT(data[[#This Row],[ShipDate]],"yyyy - mmmm")</f>
        <v>2016 - May</v>
      </c>
      <c r="G204" s="17" t="str">
        <f>data[[#This Row],[OriginCity]] &amp; " - "  &amp; data[[#This Row],[DestinationCity]]</f>
        <v>Joliet - Madison</v>
      </c>
      <c r="H204" s="17" t="s">
        <v>61</v>
      </c>
      <c r="I204" s="17" t="s">
        <v>31</v>
      </c>
      <c r="J204" s="17">
        <v>9</v>
      </c>
      <c r="K204" s="17" t="s">
        <v>62</v>
      </c>
      <c r="L204" s="17" t="s">
        <v>29</v>
      </c>
      <c r="M204" s="17" t="s">
        <v>108</v>
      </c>
      <c r="N204" s="17">
        <v>932</v>
      </c>
      <c r="O204" s="17">
        <v>662</v>
      </c>
      <c r="P204" s="26">
        <f>(data[[#This Row],[LoadedMiles]]/data[[#This Row],[TotalMiles]])*100</f>
        <v>71.030042918454939</v>
      </c>
      <c r="Q204" s="25">
        <f>data[[#This Row],[ShippingCost]]/data[[#This Row],[TotalMiles]]</f>
        <v>1.4409871244635193</v>
      </c>
      <c r="R204" s="17">
        <v>1343</v>
      </c>
      <c r="S204" s="25">
        <f>data[[#This Row],[Revenue]]/data[[#This Row],[TotalMiles]]</f>
        <v>5.7006437768240339</v>
      </c>
      <c r="T204" s="26">
        <f>data[[#This Row],[Revenue]]-data[[#This Row],[ShippingCost]]</f>
        <v>3970</v>
      </c>
      <c r="U204" s="17">
        <v>5313</v>
      </c>
      <c r="V204" s="17">
        <v>71</v>
      </c>
      <c r="W204" s="17" t="s">
        <v>68</v>
      </c>
      <c r="X204" s="17">
        <v>10</v>
      </c>
      <c r="Y204" s="17">
        <f>data[[#This Row],[DeliveryDate]]-data[[#This Row],[ShipDate]]</f>
        <v>9</v>
      </c>
      <c r="Z204" s="17" t="str">
        <f>IF(data[[#This Row],[Actual Delivery Days]]&gt;AD205,"Yes","No")</f>
        <v>Yes</v>
      </c>
    </row>
    <row r="205" spans="1:26">
      <c r="A205" s="17">
        <v>11457</v>
      </c>
      <c r="B205" s="17">
        <v>3</v>
      </c>
      <c r="C205" s="17">
        <v>4</v>
      </c>
      <c r="D205" s="17" t="s">
        <v>572</v>
      </c>
      <c r="E205" s="17" t="s">
        <v>124</v>
      </c>
      <c r="F205" s="17" t="str">
        <f>TEXT(data[[#This Row],[ShipDate]],"yyyy - mmmm")</f>
        <v>2016 - March</v>
      </c>
      <c r="G205" s="17" t="str">
        <f>data[[#This Row],[OriginCity]] &amp; " - "  &amp; data[[#This Row],[DestinationCity]]</f>
        <v>Springfield - Skokie</v>
      </c>
      <c r="H205" s="17" t="s">
        <v>30</v>
      </c>
      <c r="I205" s="17" t="s">
        <v>31</v>
      </c>
      <c r="J205" s="17">
        <v>9</v>
      </c>
      <c r="K205" s="17" t="s">
        <v>35</v>
      </c>
      <c r="L205" s="17" t="s">
        <v>31</v>
      </c>
      <c r="M205" s="17" t="s">
        <v>82</v>
      </c>
      <c r="N205" s="17">
        <v>769</v>
      </c>
      <c r="O205" s="17">
        <v>448</v>
      </c>
      <c r="P205" s="26">
        <f>(data[[#This Row],[LoadedMiles]]/data[[#This Row],[TotalMiles]])*100</f>
        <v>58.25747724317295</v>
      </c>
      <c r="Q205" s="25">
        <f>data[[#This Row],[ShippingCost]]/data[[#This Row],[TotalMiles]]</f>
        <v>8.1482444733420021</v>
      </c>
      <c r="R205" s="17">
        <v>6266</v>
      </c>
      <c r="S205" s="25">
        <f>data[[#This Row],[Revenue]]/data[[#This Row],[TotalMiles]]</f>
        <v>6.4057217165149547</v>
      </c>
      <c r="T205" s="26">
        <f>data[[#This Row],[Revenue]]-data[[#This Row],[ShippingCost]]</f>
        <v>-1340</v>
      </c>
      <c r="U205" s="17">
        <v>4926</v>
      </c>
      <c r="V205" s="17">
        <v>99</v>
      </c>
      <c r="W205" s="17" t="s">
        <v>68</v>
      </c>
      <c r="X205" s="17">
        <v>10</v>
      </c>
      <c r="Y205" s="17">
        <f>data[[#This Row],[DeliveryDate]]-data[[#This Row],[ShipDate]]</f>
        <v>9</v>
      </c>
      <c r="Z205" s="17" t="str">
        <f>IF(data[[#This Row],[Actual Delivery Days]]&gt;AD206,"Yes","No")</f>
        <v>Yes</v>
      </c>
    </row>
    <row r="206" spans="1:26">
      <c r="A206" s="17">
        <v>11464</v>
      </c>
      <c r="B206" s="17">
        <v>3</v>
      </c>
      <c r="C206" s="17">
        <v>4</v>
      </c>
      <c r="D206" s="17" t="s">
        <v>581</v>
      </c>
      <c r="E206" s="17" t="s">
        <v>221</v>
      </c>
      <c r="F206" s="17" t="str">
        <f>TEXT(data[[#This Row],[ShipDate]],"yyyy - mmmm")</f>
        <v>2016 - April</v>
      </c>
      <c r="G206" s="17" t="str">
        <f>data[[#This Row],[OriginCity]] &amp; " - "  &amp; data[[#This Row],[DestinationCity]]</f>
        <v>Madison - Kalamazoo</v>
      </c>
      <c r="H206" s="17" t="s">
        <v>62</v>
      </c>
      <c r="I206" s="17" t="s">
        <v>29</v>
      </c>
      <c r="J206" s="17">
        <v>9</v>
      </c>
      <c r="K206" s="17" t="s">
        <v>71</v>
      </c>
      <c r="L206" s="17" t="s">
        <v>21</v>
      </c>
      <c r="M206" s="17" t="s">
        <v>67</v>
      </c>
      <c r="N206" s="17">
        <v>1040</v>
      </c>
      <c r="O206" s="17">
        <v>448</v>
      </c>
      <c r="P206" s="26">
        <f>(data[[#This Row],[LoadedMiles]]/data[[#This Row],[TotalMiles]])*100</f>
        <v>43.07692307692308</v>
      </c>
      <c r="Q206" s="25">
        <f>data[[#This Row],[ShippingCost]]/data[[#This Row],[TotalMiles]]</f>
        <v>5.8990384615384617</v>
      </c>
      <c r="R206" s="17">
        <v>6135</v>
      </c>
      <c r="S206" s="25">
        <f>data[[#This Row],[Revenue]]/data[[#This Row],[TotalMiles]]</f>
        <v>3.9423076923076925</v>
      </c>
      <c r="T206" s="26">
        <f>data[[#This Row],[Revenue]]-data[[#This Row],[ShippingCost]]</f>
        <v>-2035</v>
      </c>
      <c r="U206" s="17">
        <v>4100</v>
      </c>
      <c r="V206" s="17">
        <v>52</v>
      </c>
      <c r="W206" s="17" t="s">
        <v>68</v>
      </c>
      <c r="X206" s="17">
        <v>9</v>
      </c>
      <c r="Y206" s="17">
        <f>data[[#This Row],[DeliveryDate]]-data[[#This Row],[ShipDate]]</f>
        <v>7</v>
      </c>
      <c r="Z206" s="17" t="str">
        <f>IF(data[[#This Row],[Actual Delivery Days]]&gt;AD207,"Yes","No")</f>
        <v>Yes</v>
      </c>
    </row>
    <row r="207" spans="1:26">
      <c r="A207" s="17">
        <v>11476</v>
      </c>
      <c r="B207" s="17">
        <v>2</v>
      </c>
      <c r="C207" s="17">
        <v>2</v>
      </c>
      <c r="D207" s="17" t="s">
        <v>596</v>
      </c>
      <c r="E207" s="17" t="s">
        <v>319</v>
      </c>
      <c r="F207" s="17" t="str">
        <f>TEXT(data[[#This Row],[ShipDate]],"yyyy - mmmm")</f>
        <v>2016 - June</v>
      </c>
      <c r="G207" s="17" t="str">
        <f>data[[#This Row],[OriginCity]] &amp; " - "  &amp; data[[#This Row],[DestinationCity]]</f>
        <v>Davenport - Appleton</v>
      </c>
      <c r="H207" s="17" t="s">
        <v>105</v>
      </c>
      <c r="I207" s="17" t="s">
        <v>106</v>
      </c>
      <c r="J207" s="17">
        <v>9</v>
      </c>
      <c r="K207" s="17" t="s">
        <v>85</v>
      </c>
      <c r="L207" s="17" t="s">
        <v>29</v>
      </c>
      <c r="M207" s="17" t="s">
        <v>608</v>
      </c>
      <c r="N207" s="17">
        <v>382</v>
      </c>
      <c r="O207" s="17">
        <v>303</v>
      </c>
      <c r="P207" s="26">
        <f>(data[[#This Row],[LoadedMiles]]/data[[#This Row],[TotalMiles]])*100</f>
        <v>79.319371727748688</v>
      </c>
      <c r="Q207" s="25">
        <f>data[[#This Row],[ShippingCost]]/data[[#This Row],[TotalMiles]]</f>
        <v>20.808900523560208</v>
      </c>
      <c r="R207" s="17">
        <v>7949</v>
      </c>
      <c r="S207" s="25">
        <f>data[[#This Row],[Revenue]]/data[[#This Row],[TotalMiles]]</f>
        <v>21.465968586387433</v>
      </c>
      <c r="T207" s="26">
        <f>data[[#This Row],[Revenue]]-data[[#This Row],[ShippingCost]]</f>
        <v>251</v>
      </c>
      <c r="U207" s="17">
        <v>8200</v>
      </c>
      <c r="V207" s="17">
        <v>72</v>
      </c>
      <c r="W207" s="17" t="s">
        <v>68</v>
      </c>
      <c r="X207" s="17">
        <v>7</v>
      </c>
      <c r="Y207" s="17">
        <f>data[[#This Row],[DeliveryDate]]-data[[#This Row],[ShipDate]]</f>
        <v>12</v>
      </c>
      <c r="Z207" s="17" t="str">
        <f>IF(data[[#This Row],[Actual Delivery Days]]&gt;AD208,"Yes","No")</f>
        <v>Yes</v>
      </c>
    </row>
    <row r="208" spans="1:26">
      <c r="A208" s="17">
        <v>11478</v>
      </c>
      <c r="B208" s="17">
        <v>3</v>
      </c>
      <c r="C208" s="17">
        <v>5</v>
      </c>
      <c r="D208" s="17" t="s">
        <v>599</v>
      </c>
      <c r="E208" s="17" t="s">
        <v>124</v>
      </c>
      <c r="F208" s="17" t="str">
        <f>TEXT(data[[#This Row],[ShipDate]],"yyyy - mmmm")</f>
        <v>2016 - March</v>
      </c>
      <c r="G208" s="17" t="str">
        <f>data[[#This Row],[OriginCity]] &amp; " - "  &amp; data[[#This Row],[DestinationCity]]</f>
        <v>Milwaukee - Springfield</v>
      </c>
      <c r="H208" s="17" t="s">
        <v>28</v>
      </c>
      <c r="I208" s="17" t="s">
        <v>29</v>
      </c>
      <c r="J208" s="17">
        <v>9</v>
      </c>
      <c r="K208" s="17" t="s">
        <v>30</v>
      </c>
      <c r="L208" s="17" t="s">
        <v>31</v>
      </c>
      <c r="M208" s="17" t="s">
        <v>82</v>
      </c>
      <c r="N208" s="17">
        <v>481</v>
      </c>
      <c r="O208" s="17">
        <v>481</v>
      </c>
      <c r="P208" s="26">
        <f>(data[[#This Row],[LoadedMiles]]/data[[#This Row],[TotalMiles]])*100</f>
        <v>100</v>
      </c>
      <c r="Q208" s="25">
        <f>data[[#This Row],[ShippingCost]]/data[[#This Row],[TotalMiles]]</f>
        <v>3.5114345114345116</v>
      </c>
      <c r="R208" s="17">
        <v>1689</v>
      </c>
      <c r="S208" s="25">
        <f>data[[#This Row],[Revenue]]/data[[#This Row],[TotalMiles]]</f>
        <v>4.8814968814968811</v>
      </c>
      <c r="T208" s="26">
        <f>data[[#This Row],[Revenue]]-data[[#This Row],[ShippingCost]]</f>
        <v>659</v>
      </c>
      <c r="U208" s="17">
        <v>2348</v>
      </c>
      <c r="V208" s="17">
        <v>76</v>
      </c>
      <c r="W208" s="17" t="s">
        <v>68</v>
      </c>
      <c r="X208" s="17">
        <v>6</v>
      </c>
      <c r="Y208" s="17">
        <f>data[[#This Row],[DeliveryDate]]-data[[#This Row],[ShipDate]]</f>
        <v>9</v>
      </c>
      <c r="Z208" s="17" t="str">
        <f>IF(data[[#This Row],[Actual Delivery Days]]&gt;AD209,"Yes","No")</f>
        <v>Yes</v>
      </c>
    </row>
    <row r="209" spans="1:26">
      <c r="A209" s="17">
        <v>11501</v>
      </c>
      <c r="B209" s="17">
        <v>3</v>
      </c>
      <c r="C209" s="17">
        <v>2</v>
      </c>
      <c r="D209" s="17" t="s">
        <v>102</v>
      </c>
      <c r="E209" s="17" t="s">
        <v>36</v>
      </c>
      <c r="F209" s="17" t="str">
        <f>TEXT(data[[#This Row],[ShipDate]],"yyyy - mmmm")</f>
        <v>2016 - August</v>
      </c>
      <c r="G209" s="17" t="str">
        <f>data[[#This Row],[OriginCity]] &amp; " - "  &amp; data[[#This Row],[DestinationCity]]</f>
        <v>Chicago - Rockford</v>
      </c>
      <c r="H209" s="17" t="s">
        <v>39</v>
      </c>
      <c r="I209" s="17" t="s">
        <v>31</v>
      </c>
      <c r="J209" s="17">
        <v>9</v>
      </c>
      <c r="K209" s="17" t="s">
        <v>40</v>
      </c>
      <c r="L209" s="17" t="s">
        <v>31</v>
      </c>
      <c r="M209" s="17" t="s">
        <v>376</v>
      </c>
      <c r="N209" s="17">
        <v>641</v>
      </c>
      <c r="O209" s="17">
        <v>641</v>
      </c>
      <c r="P209" s="26">
        <f>(data[[#This Row],[LoadedMiles]]/data[[#This Row],[TotalMiles]])*100</f>
        <v>100</v>
      </c>
      <c r="Q209" s="25">
        <f>data[[#This Row],[ShippingCost]]/data[[#This Row],[TotalMiles]]</f>
        <v>2.0514820592823715</v>
      </c>
      <c r="R209" s="17">
        <v>1315</v>
      </c>
      <c r="S209" s="25">
        <f>data[[#This Row],[Revenue]]/data[[#This Row],[TotalMiles]]</f>
        <v>2.4336973478939159</v>
      </c>
      <c r="T209" s="26">
        <f>data[[#This Row],[Revenue]]-data[[#This Row],[ShippingCost]]</f>
        <v>245</v>
      </c>
      <c r="U209" s="17">
        <v>1560</v>
      </c>
      <c r="V209" s="17">
        <v>95</v>
      </c>
      <c r="W209" s="17" t="s">
        <v>68</v>
      </c>
      <c r="X209" s="17">
        <v>8</v>
      </c>
      <c r="Y209" s="17">
        <f>data[[#This Row],[DeliveryDate]]-data[[#This Row],[ShipDate]]</f>
        <v>8</v>
      </c>
      <c r="Z209" s="17" t="str">
        <f>IF(data[[#This Row],[Actual Delivery Days]]&gt;AD210,"Yes","No")</f>
        <v>Yes</v>
      </c>
    </row>
    <row r="210" spans="1:26">
      <c r="A210" s="17">
        <v>11514</v>
      </c>
      <c r="B210" s="17">
        <v>3</v>
      </c>
      <c r="C210" s="17">
        <v>5</v>
      </c>
      <c r="D210" s="17" t="s">
        <v>140</v>
      </c>
      <c r="E210" s="17" t="s">
        <v>310</v>
      </c>
      <c r="F210" s="17" t="str">
        <f>TEXT(data[[#This Row],[ShipDate]],"yyyy - mmmm")</f>
        <v>2016 - February</v>
      </c>
      <c r="G210" s="17" t="str">
        <f>data[[#This Row],[OriginCity]] &amp; " - "  &amp; data[[#This Row],[DestinationCity]]</f>
        <v>Dayton - Elgin</v>
      </c>
      <c r="H210" s="17" t="s">
        <v>93</v>
      </c>
      <c r="I210" s="17" t="s">
        <v>23</v>
      </c>
      <c r="J210" s="17">
        <v>9</v>
      </c>
      <c r="K210" s="17" t="s">
        <v>94</v>
      </c>
      <c r="L210" s="17" t="s">
        <v>31</v>
      </c>
      <c r="M210" s="17" t="s">
        <v>333</v>
      </c>
      <c r="N210" s="17">
        <v>1076</v>
      </c>
      <c r="O210" s="17">
        <v>759</v>
      </c>
      <c r="P210" s="26">
        <f>(data[[#This Row],[LoadedMiles]]/data[[#This Row],[TotalMiles]])*100</f>
        <v>70.539033457249062</v>
      </c>
      <c r="Q210" s="25">
        <f>data[[#This Row],[ShippingCost]]/data[[#This Row],[TotalMiles]]</f>
        <v>5.8039033457249074</v>
      </c>
      <c r="R210" s="17">
        <v>6245</v>
      </c>
      <c r="S210" s="25">
        <f>data[[#This Row],[Revenue]]/data[[#This Row],[TotalMiles]]</f>
        <v>5.9321561338289959</v>
      </c>
      <c r="T210" s="26">
        <f>data[[#This Row],[Revenue]]-data[[#This Row],[ShippingCost]]</f>
        <v>138</v>
      </c>
      <c r="U210" s="17">
        <v>6383</v>
      </c>
      <c r="V210" s="17">
        <v>84</v>
      </c>
      <c r="W210" s="17" t="s">
        <v>68</v>
      </c>
      <c r="X210" s="17">
        <v>5</v>
      </c>
      <c r="Y210" s="17">
        <f>data[[#This Row],[DeliveryDate]]-data[[#This Row],[ShipDate]]</f>
        <v>10</v>
      </c>
      <c r="Z210" s="17" t="str">
        <f>IF(data[[#This Row],[Actual Delivery Days]]&gt;AD211,"Yes","No")</f>
        <v>Yes</v>
      </c>
    </row>
    <row r="211" spans="1:26">
      <c r="A211" s="17">
        <v>11540</v>
      </c>
      <c r="B211" s="17">
        <v>3</v>
      </c>
      <c r="C211" s="17">
        <v>2</v>
      </c>
      <c r="D211" s="17" t="s">
        <v>203</v>
      </c>
      <c r="E211" s="17" t="s">
        <v>259</v>
      </c>
      <c r="F211" s="17" t="str">
        <f>TEXT(data[[#This Row],[ShipDate]],"yyyy - mmmm")</f>
        <v>2016 - February</v>
      </c>
      <c r="G211" s="17" t="str">
        <f>data[[#This Row],[OriginCity]] &amp; " - "  &amp; data[[#This Row],[DestinationCity]]</f>
        <v>Lansing - Dayton</v>
      </c>
      <c r="H211" s="17" t="s">
        <v>66</v>
      </c>
      <c r="I211" s="17" t="s">
        <v>21</v>
      </c>
      <c r="J211" s="17">
        <v>9</v>
      </c>
      <c r="K211" s="17" t="s">
        <v>93</v>
      </c>
      <c r="L211" s="17" t="s">
        <v>23</v>
      </c>
      <c r="M211" s="17" t="s">
        <v>268</v>
      </c>
      <c r="N211" s="17">
        <v>755</v>
      </c>
      <c r="O211" s="17">
        <v>407</v>
      </c>
      <c r="P211" s="26">
        <f>(data[[#This Row],[LoadedMiles]]/data[[#This Row],[TotalMiles]])*100</f>
        <v>53.907284768211916</v>
      </c>
      <c r="Q211" s="25">
        <f>data[[#This Row],[ShippingCost]]/data[[#This Row],[TotalMiles]]</f>
        <v>2.5205298013245034</v>
      </c>
      <c r="R211" s="17">
        <v>1903</v>
      </c>
      <c r="S211" s="25">
        <f>data[[#This Row],[Revenue]]/data[[#This Row],[TotalMiles]]</f>
        <v>3.4397350993377485</v>
      </c>
      <c r="T211" s="26">
        <f>data[[#This Row],[Revenue]]-data[[#This Row],[ShippingCost]]</f>
        <v>694</v>
      </c>
      <c r="U211" s="17">
        <v>2597</v>
      </c>
      <c r="V211" s="17">
        <v>54</v>
      </c>
      <c r="W211" s="17" t="s">
        <v>68</v>
      </c>
      <c r="X211" s="17">
        <v>10</v>
      </c>
      <c r="Y211" s="17">
        <f>data[[#This Row],[DeliveryDate]]-data[[#This Row],[ShipDate]]</f>
        <v>8</v>
      </c>
      <c r="Z211" s="17" t="str">
        <f>IF(data[[#This Row],[Actual Delivery Days]]&gt;AD212,"Yes","No")</f>
        <v>Yes</v>
      </c>
    </row>
    <row r="212" spans="1:26">
      <c r="A212" s="17">
        <v>11558</v>
      </c>
      <c r="B212" s="17">
        <v>3</v>
      </c>
      <c r="C212" s="17">
        <v>1</v>
      </c>
      <c r="D212" s="17" t="s">
        <v>247</v>
      </c>
      <c r="E212" s="17" t="s">
        <v>381</v>
      </c>
      <c r="F212" s="17" t="str">
        <f>TEXT(data[[#This Row],[ShipDate]],"yyyy - mmmm")</f>
        <v>2016 - March</v>
      </c>
      <c r="G212" s="17" t="str">
        <f>data[[#This Row],[OriginCity]] &amp; " - "  &amp; data[[#This Row],[DestinationCity]]</f>
        <v>Appleton - Grand Rapids</v>
      </c>
      <c r="H212" s="17" t="s">
        <v>85</v>
      </c>
      <c r="I212" s="17" t="s">
        <v>29</v>
      </c>
      <c r="J212" s="17">
        <v>9</v>
      </c>
      <c r="K212" s="17" t="s">
        <v>20</v>
      </c>
      <c r="L212" s="17" t="s">
        <v>21</v>
      </c>
      <c r="M212" s="17" t="s">
        <v>122</v>
      </c>
      <c r="N212" s="17">
        <v>749</v>
      </c>
      <c r="O212" s="17">
        <v>432</v>
      </c>
      <c r="P212" s="26">
        <f>(data[[#This Row],[LoadedMiles]]/data[[#This Row],[TotalMiles]])*100</f>
        <v>57.676902536715623</v>
      </c>
      <c r="Q212" s="25">
        <f>data[[#This Row],[ShippingCost]]/data[[#This Row],[TotalMiles]]</f>
        <v>1.9546061415220293</v>
      </c>
      <c r="R212" s="17">
        <v>1464</v>
      </c>
      <c r="S212" s="25">
        <f>data[[#This Row],[Revenue]]/data[[#This Row],[TotalMiles]]</f>
        <v>8.9706275033377842</v>
      </c>
      <c r="T212" s="26">
        <f>data[[#This Row],[Revenue]]-data[[#This Row],[ShippingCost]]</f>
        <v>5255</v>
      </c>
      <c r="U212" s="17">
        <v>6719</v>
      </c>
      <c r="V212" s="17">
        <v>57</v>
      </c>
      <c r="W212" s="17" t="s">
        <v>68</v>
      </c>
      <c r="X212" s="17">
        <v>7</v>
      </c>
      <c r="Y212" s="17">
        <f>data[[#This Row],[DeliveryDate]]-data[[#This Row],[ShipDate]]</f>
        <v>8</v>
      </c>
      <c r="Z212" s="17" t="str">
        <f>IF(data[[#This Row],[Actual Delivery Days]]&gt;AD213,"Yes","No")</f>
        <v>Yes</v>
      </c>
    </row>
    <row r="213" spans="1:26">
      <c r="A213" s="17">
        <v>11571</v>
      </c>
      <c r="B213" s="17">
        <v>3</v>
      </c>
      <c r="C213" s="17">
        <v>2</v>
      </c>
      <c r="D213" s="17" t="s">
        <v>271</v>
      </c>
      <c r="E213" s="17" t="s">
        <v>333</v>
      </c>
      <c r="F213" s="17" t="str">
        <f>TEXT(data[[#This Row],[ShipDate]],"yyyy - mmmm")</f>
        <v>2016 - February</v>
      </c>
      <c r="G213" s="17" t="str">
        <f>data[[#This Row],[OriginCity]] &amp; " - "  &amp; data[[#This Row],[DestinationCity]]</f>
        <v>Chicago - Rockford</v>
      </c>
      <c r="H213" s="17" t="s">
        <v>39</v>
      </c>
      <c r="I213" s="17" t="s">
        <v>31</v>
      </c>
      <c r="J213" s="17">
        <v>9</v>
      </c>
      <c r="K213" s="17" t="s">
        <v>40</v>
      </c>
      <c r="L213" s="17" t="s">
        <v>31</v>
      </c>
      <c r="M213" s="17" t="s">
        <v>206</v>
      </c>
      <c r="N213" s="17">
        <v>460</v>
      </c>
      <c r="O213" s="17">
        <v>206</v>
      </c>
      <c r="P213" s="26">
        <f>(data[[#This Row],[LoadedMiles]]/data[[#This Row],[TotalMiles]])*100</f>
        <v>44.782608695652179</v>
      </c>
      <c r="Q213" s="25">
        <f>data[[#This Row],[ShippingCost]]/data[[#This Row],[TotalMiles]]</f>
        <v>14.504347826086956</v>
      </c>
      <c r="R213" s="17">
        <v>6672</v>
      </c>
      <c r="S213" s="25">
        <f>data[[#This Row],[Revenue]]/data[[#This Row],[TotalMiles]]</f>
        <v>15.402173913043478</v>
      </c>
      <c r="T213" s="26">
        <f>data[[#This Row],[Revenue]]-data[[#This Row],[ShippingCost]]</f>
        <v>413</v>
      </c>
      <c r="U213" s="17">
        <v>7085</v>
      </c>
      <c r="V213" s="17">
        <v>74</v>
      </c>
      <c r="W213" s="17" t="s">
        <v>68</v>
      </c>
      <c r="X213" s="17">
        <v>8</v>
      </c>
      <c r="Y213" s="17">
        <f>data[[#This Row],[DeliveryDate]]-data[[#This Row],[ShipDate]]</f>
        <v>10</v>
      </c>
      <c r="Z213" s="17" t="str">
        <f>IF(data[[#This Row],[Actual Delivery Days]]&gt;AD214,"Yes","No")</f>
        <v>Yes</v>
      </c>
    </row>
    <row r="214" spans="1:26">
      <c r="A214" s="17">
        <v>11573</v>
      </c>
      <c r="B214" s="17">
        <v>2</v>
      </c>
      <c r="C214" s="17">
        <v>3</v>
      </c>
      <c r="D214" s="17" t="s">
        <v>275</v>
      </c>
      <c r="E214" s="17" t="s">
        <v>304</v>
      </c>
      <c r="F214" s="17" t="str">
        <f>TEXT(data[[#This Row],[ShipDate]],"yyyy - mmmm")</f>
        <v>2016 - January</v>
      </c>
      <c r="G214" s="17" t="str">
        <f>data[[#This Row],[OriginCity]] &amp; " - "  &amp; data[[#This Row],[DestinationCity]]</f>
        <v>Northbrook - Naperville</v>
      </c>
      <c r="H214" s="17" t="s">
        <v>45</v>
      </c>
      <c r="I214" s="17" t="s">
        <v>31</v>
      </c>
      <c r="J214" s="17">
        <v>9</v>
      </c>
      <c r="K214" s="17" t="s">
        <v>48</v>
      </c>
      <c r="L214" s="17" t="s">
        <v>31</v>
      </c>
      <c r="M214" s="17" t="s">
        <v>82</v>
      </c>
      <c r="N214" s="17">
        <v>1167</v>
      </c>
      <c r="O214" s="17">
        <v>294</v>
      </c>
      <c r="P214" s="26">
        <f>(data[[#This Row],[LoadedMiles]]/data[[#This Row],[TotalMiles]])*100</f>
        <v>25.192802056555269</v>
      </c>
      <c r="Q214" s="25">
        <f>data[[#This Row],[ShippingCost]]/data[[#This Row],[TotalMiles]]</f>
        <v>6.9323050556983716</v>
      </c>
      <c r="R214" s="17">
        <v>8090</v>
      </c>
      <c r="S214" s="25">
        <f>data[[#This Row],[Revenue]]/data[[#This Row],[TotalMiles]]</f>
        <v>7.5904027420736933</v>
      </c>
      <c r="T214" s="26">
        <f>data[[#This Row],[Revenue]]-data[[#This Row],[ShippingCost]]</f>
        <v>768</v>
      </c>
      <c r="U214" s="17">
        <v>8858</v>
      </c>
      <c r="V214" s="17">
        <v>76</v>
      </c>
      <c r="W214" s="17" t="s">
        <v>68</v>
      </c>
      <c r="X214" s="17">
        <v>4</v>
      </c>
      <c r="Y214" s="17">
        <f>data[[#This Row],[DeliveryDate]]-data[[#This Row],[ShipDate]]</f>
        <v>79</v>
      </c>
      <c r="Z214" s="17" t="str">
        <f>IF(data[[#This Row],[Actual Delivery Days]]&gt;AD215,"Yes","No")</f>
        <v>Yes</v>
      </c>
    </row>
    <row r="215" spans="1:26">
      <c r="A215" s="17">
        <v>11605</v>
      </c>
      <c r="B215" s="17">
        <v>3</v>
      </c>
      <c r="C215" s="17">
        <v>1</v>
      </c>
      <c r="D215" s="17" t="s">
        <v>345</v>
      </c>
      <c r="E215" s="17" t="s">
        <v>200</v>
      </c>
      <c r="F215" s="17" t="str">
        <f>TEXT(data[[#This Row],[ShipDate]],"yyyy - mmmm")</f>
        <v>2016 - March</v>
      </c>
      <c r="G215" s="17" t="str">
        <f>data[[#This Row],[OriginCity]] &amp; " - "  &amp; data[[#This Row],[DestinationCity]]</f>
        <v>Skokie - Chicago</v>
      </c>
      <c r="H215" s="17" t="s">
        <v>35</v>
      </c>
      <c r="I215" s="17" t="s">
        <v>31</v>
      </c>
      <c r="J215" s="17">
        <v>9</v>
      </c>
      <c r="K215" s="17" t="s">
        <v>39</v>
      </c>
      <c r="L215" s="17" t="s">
        <v>31</v>
      </c>
      <c r="M215" s="17" t="s">
        <v>82</v>
      </c>
      <c r="N215" s="17">
        <v>969</v>
      </c>
      <c r="O215" s="17">
        <v>216</v>
      </c>
      <c r="P215" s="26">
        <f>(data[[#This Row],[LoadedMiles]]/data[[#This Row],[TotalMiles]])*100</f>
        <v>22.291021671826623</v>
      </c>
      <c r="Q215" s="25">
        <f>data[[#This Row],[ShippingCost]]/data[[#This Row],[TotalMiles]]</f>
        <v>1.2033023735810113</v>
      </c>
      <c r="R215" s="17">
        <v>1166</v>
      </c>
      <c r="S215" s="25">
        <f>data[[#This Row],[Revenue]]/data[[#This Row],[TotalMiles]]</f>
        <v>5.6904024767801857</v>
      </c>
      <c r="T215" s="26">
        <f>data[[#This Row],[Revenue]]-data[[#This Row],[ShippingCost]]</f>
        <v>4348</v>
      </c>
      <c r="U215" s="17">
        <v>5514</v>
      </c>
      <c r="V215" s="17">
        <v>83</v>
      </c>
      <c r="W215" s="17" t="s">
        <v>68</v>
      </c>
      <c r="X215" s="17">
        <v>3</v>
      </c>
      <c r="Y215" s="17">
        <f>data[[#This Row],[DeliveryDate]]-data[[#This Row],[ShipDate]]</f>
        <v>-7</v>
      </c>
      <c r="Z215" s="17" t="str">
        <f>IF(data[[#This Row],[Actual Delivery Days]]&gt;AD216,"Yes","No")</f>
        <v>No</v>
      </c>
    </row>
    <row r="216" spans="1:26">
      <c r="A216" s="17">
        <v>11628</v>
      </c>
      <c r="B216" s="17">
        <v>2</v>
      </c>
      <c r="C216" s="17">
        <v>2</v>
      </c>
      <c r="D216" s="17" t="s">
        <v>385</v>
      </c>
      <c r="E216" s="17" t="s">
        <v>368</v>
      </c>
      <c r="F216" s="17" t="str">
        <f>TEXT(data[[#This Row],[ShipDate]],"yyyy - mmmm")</f>
        <v>2016 - May</v>
      </c>
      <c r="G216" s="17" t="str">
        <f>data[[#This Row],[OriginCity]] &amp; " - "  &amp; data[[#This Row],[DestinationCity]]</f>
        <v>Davenport - Appleton</v>
      </c>
      <c r="H216" s="17" t="s">
        <v>105</v>
      </c>
      <c r="I216" s="17" t="s">
        <v>106</v>
      </c>
      <c r="J216" s="17">
        <v>9</v>
      </c>
      <c r="K216" s="17" t="s">
        <v>85</v>
      </c>
      <c r="L216" s="17" t="s">
        <v>29</v>
      </c>
      <c r="M216" s="17" t="s">
        <v>365</v>
      </c>
      <c r="N216" s="17">
        <v>779</v>
      </c>
      <c r="O216" s="17">
        <v>764</v>
      </c>
      <c r="P216" s="26">
        <f>(data[[#This Row],[LoadedMiles]]/data[[#This Row],[TotalMiles]])*100</f>
        <v>98.074454428754805</v>
      </c>
      <c r="Q216" s="25">
        <f>data[[#This Row],[ShippingCost]]/data[[#This Row],[TotalMiles]]</f>
        <v>4.985879332477535</v>
      </c>
      <c r="R216" s="17">
        <v>3884</v>
      </c>
      <c r="S216" s="25">
        <f>data[[#This Row],[Revenue]]/data[[#This Row],[TotalMiles]]</f>
        <v>5.3222079589216946</v>
      </c>
      <c r="T216" s="26">
        <f>data[[#This Row],[Revenue]]-data[[#This Row],[ShippingCost]]</f>
        <v>262</v>
      </c>
      <c r="U216" s="17">
        <v>4146</v>
      </c>
      <c r="V216" s="17">
        <v>69</v>
      </c>
      <c r="W216" s="17" t="s">
        <v>68</v>
      </c>
      <c r="X216" s="17">
        <v>6</v>
      </c>
      <c r="Y216" s="17">
        <f>data[[#This Row],[DeliveryDate]]-data[[#This Row],[ShipDate]]</f>
        <v>8</v>
      </c>
      <c r="Z216" s="17" t="str">
        <f>IF(data[[#This Row],[Actual Delivery Days]]&gt;AD217,"Yes","No")</f>
        <v>Yes</v>
      </c>
    </row>
    <row r="217" spans="1:26">
      <c r="A217" s="17">
        <v>11663</v>
      </c>
      <c r="B217" s="17">
        <v>2</v>
      </c>
      <c r="C217" s="17">
        <v>1</v>
      </c>
      <c r="D217" s="17" t="s">
        <v>448</v>
      </c>
      <c r="E217" s="17" t="s">
        <v>307</v>
      </c>
      <c r="F217" s="17" t="str">
        <f>TEXT(data[[#This Row],[ShipDate]],"yyyy - mmmm")</f>
        <v>2016 - August</v>
      </c>
      <c r="G217" s="17" t="str">
        <f>data[[#This Row],[OriginCity]] &amp; " - "  &amp; data[[#This Row],[DestinationCity]]</f>
        <v>Cincinnati - Gary</v>
      </c>
      <c r="H217" s="17" t="s">
        <v>89</v>
      </c>
      <c r="I217" s="17" t="s">
        <v>23</v>
      </c>
      <c r="J217" s="17">
        <v>9</v>
      </c>
      <c r="K217" s="17" t="s">
        <v>57</v>
      </c>
      <c r="L217" s="17" t="s">
        <v>44</v>
      </c>
      <c r="M217" s="17" t="s">
        <v>138</v>
      </c>
      <c r="N217" s="17">
        <v>825</v>
      </c>
      <c r="O217" s="17">
        <v>268</v>
      </c>
      <c r="P217" s="26">
        <f>(data[[#This Row],[LoadedMiles]]/data[[#This Row],[TotalMiles]])*100</f>
        <v>32.484848484848484</v>
      </c>
      <c r="Q217" s="25">
        <f>data[[#This Row],[ShippingCost]]/data[[#This Row],[TotalMiles]]</f>
        <v>3.7393939393939393</v>
      </c>
      <c r="R217" s="17">
        <v>3085</v>
      </c>
      <c r="S217" s="25">
        <f>data[[#This Row],[Revenue]]/data[[#This Row],[TotalMiles]]</f>
        <v>8.7842424242424251</v>
      </c>
      <c r="T217" s="26">
        <f>data[[#This Row],[Revenue]]-data[[#This Row],[ShippingCost]]</f>
        <v>4162</v>
      </c>
      <c r="U217" s="17">
        <v>7247</v>
      </c>
      <c r="V217" s="17">
        <v>77</v>
      </c>
      <c r="W217" s="17" t="s">
        <v>68</v>
      </c>
      <c r="X217" s="17">
        <v>5</v>
      </c>
      <c r="Y217" s="17">
        <f>data[[#This Row],[DeliveryDate]]-data[[#This Row],[ShipDate]]</f>
        <v>6</v>
      </c>
      <c r="Z217" s="17" t="str">
        <f>IF(data[[#This Row],[Actual Delivery Days]]&gt;AD218,"Yes","No")</f>
        <v>Yes</v>
      </c>
    </row>
    <row r="218" spans="1:26">
      <c r="A218" s="17">
        <v>11673</v>
      </c>
      <c r="B218" s="17">
        <v>2</v>
      </c>
      <c r="C218" s="17">
        <v>5</v>
      </c>
      <c r="D218" s="17" t="s">
        <v>464</v>
      </c>
      <c r="E218" s="17" t="s">
        <v>193</v>
      </c>
      <c r="F218" s="17" t="str">
        <f>TEXT(data[[#This Row],[ShipDate]],"yyyy - mmmm")</f>
        <v>2016 - January</v>
      </c>
      <c r="G218" s="17" t="str">
        <f>data[[#This Row],[OriginCity]] &amp; " - "  &amp; data[[#This Row],[DestinationCity]]</f>
        <v>Springfield - Skokie</v>
      </c>
      <c r="H218" s="17" t="s">
        <v>30</v>
      </c>
      <c r="I218" s="17" t="s">
        <v>31</v>
      </c>
      <c r="J218" s="17">
        <v>9</v>
      </c>
      <c r="K218" s="17" t="s">
        <v>35</v>
      </c>
      <c r="L218" s="17" t="s">
        <v>31</v>
      </c>
      <c r="M218" s="17" t="s">
        <v>396</v>
      </c>
      <c r="N218" s="17">
        <v>721</v>
      </c>
      <c r="O218" s="17">
        <v>457</v>
      </c>
      <c r="P218" s="26">
        <f>(data[[#This Row],[LoadedMiles]]/data[[#This Row],[TotalMiles]])*100</f>
        <v>63.384188626907076</v>
      </c>
      <c r="Q218" s="25">
        <f>data[[#This Row],[ShippingCost]]/data[[#This Row],[TotalMiles]]</f>
        <v>10.776699029126213</v>
      </c>
      <c r="R218" s="17">
        <v>7770</v>
      </c>
      <c r="S218" s="25">
        <f>data[[#This Row],[Revenue]]/data[[#This Row],[TotalMiles]]</f>
        <v>11.83495145631068</v>
      </c>
      <c r="T218" s="26">
        <f>data[[#This Row],[Revenue]]-data[[#This Row],[ShippingCost]]</f>
        <v>763</v>
      </c>
      <c r="U218" s="17">
        <v>8533</v>
      </c>
      <c r="V218" s="17">
        <v>95</v>
      </c>
      <c r="W218" s="17" t="s">
        <v>68</v>
      </c>
      <c r="X218" s="17">
        <v>7</v>
      </c>
      <c r="Y218" s="17">
        <f>data[[#This Row],[DeliveryDate]]-data[[#This Row],[ShipDate]]</f>
        <v>9</v>
      </c>
      <c r="Z218" s="17" t="str">
        <f>IF(data[[#This Row],[Actual Delivery Days]]&gt;AD219,"Yes","No")</f>
        <v>Yes</v>
      </c>
    </row>
    <row r="219" spans="1:26">
      <c r="A219" s="17">
        <v>11678</v>
      </c>
      <c r="B219" s="17">
        <v>3</v>
      </c>
      <c r="C219" s="17">
        <v>1</v>
      </c>
      <c r="D219" s="17" t="s">
        <v>476</v>
      </c>
      <c r="E219" s="17" t="s">
        <v>152</v>
      </c>
      <c r="F219" s="17" t="str">
        <f>TEXT(data[[#This Row],[ShipDate]],"yyyy - mmmm")</f>
        <v>2016 - January</v>
      </c>
      <c r="G219" s="17" t="str">
        <f>data[[#This Row],[OriginCity]] &amp; " - "  &amp; data[[#This Row],[DestinationCity]]</f>
        <v>Madison - Kalamazoo</v>
      </c>
      <c r="H219" s="17" t="s">
        <v>62</v>
      </c>
      <c r="I219" s="17" t="s">
        <v>29</v>
      </c>
      <c r="J219" s="17">
        <v>9</v>
      </c>
      <c r="K219" s="17" t="s">
        <v>71</v>
      </c>
      <c r="L219" s="17" t="s">
        <v>21</v>
      </c>
      <c r="M219" s="17" t="s">
        <v>164</v>
      </c>
      <c r="N219" s="17">
        <v>378</v>
      </c>
      <c r="O219" s="17">
        <v>378</v>
      </c>
      <c r="P219" s="26">
        <f>(data[[#This Row],[LoadedMiles]]/data[[#This Row],[TotalMiles]])*100</f>
        <v>100</v>
      </c>
      <c r="Q219" s="25">
        <f>data[[#This Row],[ShippingCost]]/data[[#This Row],[TotalMiles]]</f>
        <v>10.93915343915344</v>
      </c>
      <c r="R219" s="17">
        <v>4135</v>
      </c>
      <c r="S219" s="25">
        <f>data[[#This Row],[Revenue]]/data[[#This Row],[TotalMiles]]</f>
        <v>21.222222222222221</v>
      </c>
      <c r="T219" s="26">
        <f>data[[#This Row],[Revenue]]-data[[#This Row],[ShippingCost]]</f>
        <v>3887</v>
      </c>
      <c r="U219" s="17">
        <v>8022</v>
      </c>
      <c r="V219" s="17">
        <v>77</v>
      </c>
      <c r="W219" s="17" t="s">
        <v>68</v>
      </c>
      <c r="X219" s="17">
        <v>7</v>
      </c>
      <c r="Y219" s="17">
        <f>data[[#This Row],[DeliveryDate]]-data[[#This Row],[ShipDate]]</f>
        <v>7</v>
      </c>
      <c r="Z219" s="17" t="str">
        <f>IF(data[[#This Row],[Actual Delivery Days]]&gt;AD220,"Yes","No")</f>
        <v>Yes</v>
      </c>
    </row>
    <row r="220" spans="1:26">
      <c r="A220" s="17">
        <v>11695</v>
      </c>
      <c r="B220" s="17">
        <v>3</v>
      </c>
      <c r="C220" s="17">
        <v>3</v>
      </c>
      <c r="D220" s="17" t="s">
        <v>500</v>
      </c>
      <c r="E220" s="17" t="s">
        <v>202</v>
      </c>
      <c r="F220" s="17" t="str">
        <f>TEXT(data[[#This Row],[ShipDate]],"yyyy - mmmm")</f>
        <v>2016 - February</v>
      </c>
      <c r="G220" s="17" t="str">
        <f>data[[#This Row],[OriginCity]] &amp; " - "  &amp; data[[#This Row],[DestinationCity]]</f>
        <v>Detriot - Monon</v>
      </c>
      <c r="H220" s="17" t="s">
        <v>52</v>
      </c>
      <c r="I220" s="17" t="s">
        <v>21</v>
      </c>
      <c r="J220" s="17">
        <v>9</v>
      </c>
      <c r="K220" s="17" t="s">
        <v>53</v>
      </c>
      <c r="L220" s="17" t="s">
        <v>44</v>
      </c>
      <c r="M220" s="17" t="s">
        <v>209</v>
      </c>
      <c r="N220" s="17">
        <v>806</v>
      </c>
      <c r="O220" s="17">
        <v>458</v>
      </c>
      <c r="P220" s="26">
        <f>(data[[#This Row],[LoadedMiles]]/data[[#This Row],[TotalMiles]])*100</f>
        <v>56.823821339950378</v>
      </c>
      <c r="Q220" s="25">
        <f>data[[#This Row],[ShippingCost]]/data[[#This Row],[TotalMiles]]</f>
        <v>5.806451612903226</v>
      </c>
      <c r="R220" s="17">
        <v>4680</v>
      </c>
      <c r="S220" s="25">
        <f>data[[#This Row],[Revenue]]/data[[#This Row],[TotalMiles]]</f>
        <v>6.5980148883374694</v>
      </c>
      <c r="T220" s="26">
        <f>data[[#This Row],[Revenue]]-data[[#This Row],[ShippingCost]]</f>
        <v>638</v>
      </c>
      <c r="U220" s="17">
        <v>5318</v>
      </c>
      <c r="V220" s="17">
        <v>81</v>
      </c>
      <c r="W220" s="17" t="s">
        <v>68</v>
      </c>
      <c r="X220" s="17">
        <v>8</v>
      </c>
      <c r="Y220" s="17">
        <f>data[[#This Row],[DeliveryDate]]-data[[#This Row],[ShipDate]]</f>
        <v>8</v>
      </c>
      <c r="Z220" s="17" t="str">
        <f>IF(data[[#This Row],[Actual Delivery Days]]&gt;AD221,"Yes","No")</f>
        <v>Yes</v>
      </c>
    </row>
    <row r="221" spans="1:26">
      <c r="A221" s="17">
        <v>11696</v>
      </c>
      <c r="B221" s="17">
        <v>2</v>
      </c>
      <c r="C221" s="17">
        <v>3</v>
      </c>
      <c r="D221" s="17" t="s">
        <v>501</v>
      </c>
      <c r="E221" s="17" t="s">
        <v>474</v>
      </c>
      <c r="F221" s="17" t="str">
        <f>TEXT(data[[#This Row],[ShipDate]],"yyyy - mmmm")</f>
        <v>2016 - June</v>
      </c>
      <c r="G221" s="17" t="str">
        <f>data[[#This Row],[OriginCity]] &amp; " - "  &amp; data[[#This Row],[DestinationCity]]</f>
        <v>Gary - Milwaukee</v>
      </c>
      <c r="H221" s="17" t="s">
        <v>57</v>
      </c>
      <c r="I221" s="17" t="s">
        <v>44</v>
      </c>
      <c r="J221" s="17">
        <v>9</v>
      </c>
      <c r="K221" s="17" t="s">
        <v>28</v>
      </c>
      <c r="L221" s="17" t="s">
        <v>29</v>
      </c>
      <c r="M221" s="17" t="s">
        <v>176</v>
      </c>
      <c r="N221" s="17">
        <v>312</v>
      </c>
      <c r="O221" s="17">
        <v>297</v>
      </c>
      <c r="P221" s="26">
        <f>(data[[#This Row],[LoadedMiles]]/data[[#This Row],[TotalMiles]])*100</f>
        <v>95.192307692307693</v>
      </c>
      <c r="Q221" s="25">
        <f>data[[#This Row],[ShippingCost]]/data[[#This Row],[TotalMiles]]</f>
        <v>5.8205128205128203</v>
      </c>
      <c r="R221" s="17">
        <v>1816</v>
      </c>
      <c r="S221" s="25">
        <f>data[[#This Row],[Revenue]]/data[[#This Row],[TotalMiles]]</f>
        <v>7.3237179487179489</v>
      </c>
      <c r="T221" s="26">
        <f>data[[#This Row],[Revenue]]-data[[#This Row],[ShippingCost]]</f>
        <v>469</v>
      </c>
      <c r="U221" s="17">
        <v>2285</v>
      </c>
      <c r="V221" s="17">
        <v>73</v>
      </c>
      <c r="W221" s="17" t="s">
        <v>68</v>
      </c>
      <c r="X221" s="17">
        <v>4</v>
      </c>
      <c r="Y221" s="17">
        <f>data[[#This Row],[DeliveryDate]]-data[[#This Row],[ShipDate]]</f>
        <v>7</v>
      </c>
      <c r="Z221" s="17" t="str">
        <f>IF(data[[#This Row],[Actual Delivery Days]]&gt;AD222,"Yes","No")</f>
        <v>Yes</v>
      </c>
    </row>
    <row r="222" spans="1:26">
      <c r="A222" s="17">
        <v>11715</v>
      </c>
      <c r="B222" s="17">
        <v>3</v>
      </c>
      <c r="C222" s="17">
        <v>6</v>
      </c>
      <c r="D222" s="17" t="s">
        <v>524</v>
      </c>
      <c r="E222" s="17" t="s">
        <v>90</v>
      </c>
      <c r="F222" s="17" t="str">
        <f>TEXT(data[[#This Row],[ShipDate]],"yyyy - mmmm")</f>
        <v>2016 - February</v>
      </c>
      <c r="G222" s="17" t="str">
        <f>data[[#This Row],[OriginCity]] &amp; " - "  &amp; data[[#This Row],[DestinationCity]]</f>
        <v>Springfield - Skokie</v>
      </c>
      <c r="H222" s="17" t="s">
        <v>30</v>
      </c>
      <c r="I222" s="17" t="s">
        <v>31</v>
      </c>
      <c r="J222" s="17">
        <v>9</v>
      </c>
      <c r="K222" s="17" t="s">
        <v>35</v>
      </c>
      <c r="L222" s="17" t="s">
        <v>31</v>
      </c>
      <c r="M222" s="17" t="s">
        <v>74</v>
      </c>
      <c r="N222" s="17">
        <v>571</v>
      </c>
      <c r="O222" s="17">
        <v>555</v>
      </c>
      <c r="P222" s="26">
        <f>(data[[#This Row],[LoadedMiles]]/data[[#This Row],[TotalMiles]])*100</f>
        <v>97.197898423817861</v>
      </c>
      <c r="Q222" s="25">
        <f>data[[#This Row],[ShippingCost]]/data[[#This Row],[TotalMiles]]</f>
        <v>6.4308231173380035</v>
      </c>
      <c r="R222" s="17">
        <v>3672</v>
      </c>
      <c r="S222" s="25">
        <f>data[[#This Row],[Revenue]]/data[[#This Row],[TotalMiles]]</f>
        <v>7.0332749562171628</v>
      </c>
      <c r="T222" s="26">
        <f>data[[#This Row],[Revenue]]-data[[#This Row],[ShippingCost]]</f>
        <v>344</v>
      </c>
      <c r="U222" s="17">
        <v>4016</v>
      </c>
      <c r="V222" s="17">
        <v>55</v>
      </c>
      <c r="W222" s="17" t="s">
        <v>68</v>
      </c>
      <c r="X222" s="17">
        <v>9</v>
      </c>
      <c r="Y222" s="17">
        <f>data[[#This Row],[DeliveryDate]]-data[[#This Row],[ShipDate]]</f>
        <v>8</v>
      </c>
      <c r="Z222" s="17" t="str">
        <f>IF(data[[#This Row],[Actual Delivery Days]]&gt;AD223,"Yes","No")</f>
        <v>Yes</v>
      </c>
    </row>
    <row r="223" spans="1:26">
      <c r="A223" s="17">
        <v>11724</v>
      </c>
      <c r="B223" s="17">
        <v>3</v>
      </c>
      <c r="C223" s="17">
        <v>2</v>
      </c>
      <c r="D223" s="17" t="s">
        <v>539</v>
      </c>
      <c r="E223" s="17" t="s">
        <v>268</v>
      </c>
      <c r="F223" s="17" t="str">
        <f>TEXT(data[[#This Row],[ShipDate]],"yyyy - mmmm")</f>
        <v>2016 - February</v>
      </c>
      <c r="G223" s="17" t="str">
        <f>data[[#This Row],[OriginCity]] &amp; " - "  &amp; data[[#This Row],[DestinationCity]]</f>
        <v>Rockford - Green Bay</v>
      </c>
      <c r="H223" s="17" t="s">
        <v>40</v>
      </c>
      <c r="I223" s="17" t="s">
        <v>31</v>
      </c>
      <c r="J223" s="17">
        <v>9</v>
      </c>
      <c r="K223" s="17" t="s">
        <v>75</v>
      </c>
      <c r="L223" s="17" t="s">
        <v>29</v>
      </c>
      <c r="M223" s="17" t="s">
        <v>379</v>
      </c>
      <c r="N223" s="17">
        <v>434</v>
      </c>
      <c r="O223" s="17">
        <v>310</v>
      </c>
      <c r="P223" s="26">
        <f>(data[[#This Row],[LoadedMiles]]/data[[#This Row],[TotalMiles]])*100</f>
        <v>71.428571428571431</v>
      </c>
      <c r="Q223" s="25">
        <f>data[[#This Row],[ShippingCost]]/data[[#This Row],[TotalMiles]]</f>
        <v>6.112903225806452</v>
      </c>
      <c r="R223" s="17">
        <v>2653</v>
      </c>
      <c r="S223" s="25">
        <f>data[[#This Row],[Revenue]]/data[[#This Row],[TotalMiles]]</f>
        <v>7.2142857142857144</v>
      </c>
      <c r="T223" s="26">
        <f>data[[#This Row],[Revenue]]-data[[#This Row],[ShippingCost]]</f>
        <v>478</v>
      </c>
      <c r="U223" s="17">
        <v>3131</v>
      </c>
      <c r="V223" s="17">
        <v>97</v>
      </c>
      <c r="W223" s="17" t="s">
        <v>68</v>
      </c>
      <c r="X223" s="17">
        <v>2</v>
      </c>
      <c r="Y223" s="17">
        <f>data[[#This Row],[DeliveryDate]]-data[[#This Row],[ShipDate]]</f>
        <v>9</v>
      </c>
      <c r="Z223" s="17" t="str">
        <f>IF(data[[#This Row],[Actual Delivery Days]]&gt;AD224,"Yes","No")</f>
        <v>Yes</v>
      </c>
    </row>
    <row r="224" spans="1:26">
      <c r="A224" s="17">
        <v>11744</v>
      </c>
      <c r="B224" s="17">
        <v>2</v>
      </c>
      <c r="C224" s="17">
        <v>4</v>
      </c>
      <c r="D224" s="17" t="s">
        <v>563</v>
      </c>
      <c r="E224" s="17" t="s">
        <v>135</v>
      </c>
      <c r="F224" s="17" t="str">
        <f>TEXT(data[[#This Row],[ShipDate]],"yyyy - mmmm")</f>
        <v>2016 - June</v>
      </c>
      <c r="G224" s="17" t="str">
        <f>data[[#This Row],[OriginCity]] &amp; " - "  &amp; data[[#This Row],[DestinationCity]]</f>
        <v>Madison - Kalamazoo</v>
      </c>
      <c r="H224" s="17" t="s">
        <v>62</v>
      </c>
      <c r="I224" s="17" t="s">
        <v>29</v>
      </c>
      <c r="J224" s="17">
        <v>9</v>
      </c>
      <c r="K224" s="17" t="s">
        <v>71</v>
      </c>
      <c r="L224" s="17" t="s">
        <v>21</v>
      </c>
      <c r="M224" s="17" t="s">
        <v>473</v>
      </c>
      <c r="N224" s="17">
        <v>638</v>
      </c>
      <c r="O224" s="17">
        <v>416</v>
      </c>
      <c r="P224" s="26">
        <f>(data[[#This Row],[LoadedMiles]]/data[[#This Row],[TotalMiles]])*100</f>
        <v>65.203761755485885</v>
      </c>
      <c r="Q224" s="25">
        <f>data[[#This Row],[ShippingCost]]/data[[#This Row],[TotalMiles]]</f>
        <v>8.8871473354231973</v>
      </c>
      <c r="R224" s="17">
        <v>5670</v>
      </c>
      <c r="S224" s="25">
        <f>data[[#This Row],[Revenue]]/data[[#This Row],[TotalMiles]]</f>
        <v>5.3213166144200628</v>
      </c>
      <c r="T224" s="26">
        <f>data[[#This Row],[Revenue]]-data[[#This Row],[ShippingCost]]</f>
        <v>-2275</v>
      </c>
      <c r="U224" s="17">
        <v>3395</v>
      </c>
      <c r="V224" s="17">
        <v>70</v>
      </c>
      <c r="W224" s="17" t="s">
        <v>68</v>
      </c>
      <c r="X224" s="17">
        <v>4</v>
      </c>
      <c r="Y224" s="17">
        <f>data[[#This Row],[DeliveryDate]]-data[[#This Row],[ShipDate]]</f>
        <v>9</v>
      </c>
      <c r="Z224" s="17" t="str">
        <f>IF(data[[#This Row],[Actual Delivery Days]]&gt;AD225,"Yes","No")</f>
        <v>Yes</v>
      </c>
    </row>
    <row r="225" spans="1:26">
      <c r="A225" s="17">
        <v>11746</v>
      </c>
      <c r="B225" s="17">
        <v>3</v>
      </c>
      <c r="C225" s="17">
        <v>6</v>
      </c>
      <c r="D225" s="17" t="s">
        <v>565</v>
      </c>
      <c r="E225" s="17" t="s">
        <v>386</v>
      </c>
      <c r="F225" s="17" t="str">
        <f>TEXT(data[[#This Row],[ShipDate]],"yyyy - mmmm")</f>
        <v>2016 - July</v>
      </c>
      <c r="G225" s="17" t="str">
        <f>data[[#This Row],[OriginCity]] &amp; " - "  &amp; data[[#This Row],[DestinationCity]]</f>
        <v>Naperville - Indianapolis</v>
      </c>
      <c r="H225" s="17" t="s">
        <v>48</v>
      </c>
      <c r="I225" s="17" t="s">
        <v>31</v>
      </c>
      <c r="J225" s="17">
        <v>9</v>
      </c>
      <c r="K225" s="17" t="s">
        <v>43</v>
      </c>
      <c r="L225" s="17" t="s">
        <v>44</v>
      </c>
      <c r="M225" s="17" t="s">
        <v>387</v>
      </c>
      <c r="N225" s="17">
        <v>736</v>
      </c>
      <c r="O225" s="17">
        <v>515</v>
      </c>
      <c r="P225" s="26">
        <f>(data[[#This Row],[LoadedMiles]]/data[[#This Row],[TotalMiles]])*100</f>
        <v>69.972826086956516</v>
      </c>
      <c r="Q225" s="25">
        <f>data[[#This Row],[ShippingCost]]/data[[#This Row],[TotalMiles]]</f>
        <v>5.5815217391304346</v>
      </c>
      <c r="R225" s="17">
        <v>4108</v>
      </c>
      <c r="S225" s="25">
        <f>data[[#This Row],[Revenue]]/data[[#This Row],[TotalMiles]]</f>
        <v>6.1073369565217392</v>
      </c>
      <c r="T225" s="26">
        <f>data[[#This Row],[Revenue]]-data[[#This Row],[ShippingCost]]</f>
        <v>387</v>
      </c>
      <c r="U225" s="17">
        <v>4495</v>
      </c>
      <c r="V225" s="17">
        <v>78</v>
      </c>
      <c r="W225" s="17" t="s">
        <v>68</v>
      </c>
      <c r="X225" s="17">
        <v>7</v>
      </c>
      <c r="Y225" s="17">
        <f>data[[#This Row],[DeliveryDate]]-data[[#This Row],[ShipDate]]</f>
        <v>9</v>
      </c>
      <c r="Z225" s="17" t="str">
        <f>IF(data[[#This Row],[Actual Delivery Days]]&gt;AD226,"Yes","No")</f>
        <v>Yes</v>
      </c>
    </row>
    <row r="226" spans="1:26">
      <c r="A226" s="17">
        <v>11764</v>
      </c>
      <c r="B226" s="17">
        <v>3</v>
      </c>
      <c r="C226" s="17">
        <v>2</v>
      </c>
      <c r="D226" s="17" t="s">
        <v>586</v>
      </c>
      <c r="E226" s="17" t="s">
        <v>72</v>
      </c>
      <c r="F226" s="17" t="str">
        <f>TEXT(data[[#This Row],[ShipDate]],"yyyy - mmmm")</f>
        <v>2016 - January</v>
      </c>
      <c r="G226" s="17" t="str">
        <f>data[[#This Row],[OriginCity]] &amp; " - "  &amp; data[[#This Row],[DestinationCity]]</f>
        <v>Detriot - Monon</v>
      </c>
      <c r="H226" s="17" t="s">
        <v>52</v>
      </c>
      <c r="I226" s="17" t="s">
        <v>21</v>
      </c>
      <c r="J226" s="17">
        <v>9</v>
      </c>
      <c r="K226" s="17" t="s">
        <v>53</v>
      </c>
      <c r="L226" s="17" t="s">
        <v>44</v>
      </c>
      <c r="M226" s="17" t="s">
        <v>447</v>
      </c>
      <c r="N226" s="17">
        <v>376</v>
      </c>
      <c r="O226" s="17">
        <v>376</v>
      </c>
      <c r="P226" s="26">
        <f>(data[[#This Row],[LoadedMiles]]/data[[#This Row],[TotalMiles]])*100</f>
        <v>100</v>
      </c>
      <c r="Q226" s="25">
        <f>data[[#This Row],[ShippingCost]]/data[[#This Row],[TotalMiles]]</f>
        <v>20.74468085106383</v>
      </c>
      <c r="R226" s="17">
        <v>7800</v>
      </c>
      <c r="S226" s="25">
        <f>data[[#This Row],[Revenue]]/data[[#This Row],[TotalMiles]]</f>
        <v>22.292553191489361</v>
      </c>
      <c r="T226" s="26">
        <f>data[[#This Row],[Revenue]]-data[[#This Row],[ShippingCost]]</f>
        <v>582</v>
      </c>
      <c r="U226" s="17">
        <v>8382</v>
      </c>
      <c r="V226" s="17">
        <v>66</v>
      </c>
      <c r="W226" s="17" t="s">
        <v>68</v>
      </c>
      <c r="X226" s="17">
        <v>8</v>
      </c>
      <c r="Y226" s="17">
        <f>data[[#This Row],[DeliveryDate]]-data[[#This Row],[ShipDate]]</f>
        <v>9</v>
      </c>
      <c r="Z226" s="17" t="str">
        <f>IF(data[[#This Row],[Actual Delivery Days]]&gt;AD227,"Yes","No")</f>
        <v>Yes</v>
      </c>
    </row>
    <row r="227" spans="1:26">
      <c r="A227" s="17">
        <v>11782</v>
      </c>
      <c r="B227" s="17">
        <v>3</v>
      </c>
      <c r="C227" s="17">
        <v>6</v>
      </c>
      <c r="D227" s="17" t="s">
        <v>26</v>
      </c>
      <c r="E227" s="17" t="s">
        <v>164</v>
      </c>
      <c r="F227" s="17" t="str">
        <f>TEXT(data[[#This Row],[ShipDate]],"yyyy - mmmm")</f>
        <v>2016 - February</v>
      </c>
      <c r="G227" s="17" t="str">
        <f>data[[#This Row],[OriginCity]] &amp; " - "  &amp; data[[#This Row],[DestinationCity]]</f>
        <v>Milwaukee - Springfield</v>
      </c>
      <c r="H227" s="17" t="s">
        <v>28</v>
      </c>
      <c r="I227" s="17" t="s">
        <v>29</v>
      </c>
      <c r="J227" s="17">
        <v>9</v>
      </c>
      <c r="K227" s="17" t="s">
        <v>30</v>
      </c>
      <c r="L227" s="17" t="s">
        <v>31</v>
      </c>
      <c r="M227" s="17" t="s">
        <v>435</v>
      </c>
      <c r="N227" s="17">
        <v>1200</v>
      </c>
      <c r="O227" s="17">
        <v>485</v>
      </c>
      <c r="P227" s="26">
        <f>(data[[#This Row],[LoadedMiles]]/data[[#This Row],[TotalMiles]])*100</f>
        <v>40.416666666666664</v>
      </c>
      <c r="Q227" s="25">
        <f>data[[#This Row],[ShippingCost]]/data[[#This Row],[TotalMiles]]</f>
        <v>2.1524999999999999</v>
      </c>
      <c r="R227" s="17">
        <v>2583</v>
      </c>
      <c r="S227" s="25">
        <f>data[[#This Row],[Revenue]]/data[[#This Row],[TotalMiles]]</f>
        <v>2.4874999999999998</v>
      </c>
      <c r="T227" s="26">
        <f>data[[#This Row],[Revenue]]-data[[#This Row],[ShippingCost]]</f>
        <v>402</v>
      </c>
      <c r="U227" s="17">
        <v>2985</v>
      </c>
      <c r="V227" s="17">
        <v>76</v>
      </c>
      <c r="W227" s="17" t="s">
        <v>68</v>
      </c>
      <c r="X227" s="17">
        <v>7</v>
      </c>
      <c r="Y227" s="17">
        <f>data[[#This Row],[DeliveryDate]]-data[[#This Row],[ShipDate]]</f>
        <v>9</v>
      </c>
      <c r="Z227" s="17" t="str">
        <f>IF(data[[#This Row],[Actual Delivery Days]]&gt;AD228,"Yes","No")</f>
        <v>Yes</v>
      </c>
    </row>
    <row r="228" spans="1:26">
      <c r="A228" s="17">
        <v>10045</v>
      </c>
      <c r="B228" s="17">
        <v>2</v>
      </c>
      <c r="C228" s="17">
        <v>6</v>
      </c>
      <c r="D228" s="17" t="s">
        <v>189</v>
      </c>
      <c r="E228" s="17" t="s">
        <v>190</v>
      </c>
      <c r="F228" s="17" t="str">
        <f>TEXT(data[[#This Row],[ShipDate]],"yyyy - mmmm")</f>
        <v>2016 - July</v>
      </c>
      <c r="G228" s="17" t="str">
        <f>data[[#This Row],[OriginCity]] &amp; " - "  &amp; data[[#This Row],[DestinationCity]]</f>
        <v>Indianapolis - Northbrook</v>
      </c>
      <c r="H228" s="17" t="s">
        <v>43</v>
      </c>
      <c r="I228" s="17" t="s">
        <v>44</v>
      </c>
      <c r="J228" s="17">
        <v>8</v>
      </c>
      <c r="K228" s="17" t="s">
        <v>45</v>
      </c>
      <c r="L228" s="17" t="s">
        <v>31</v>
      </c>
      <c r="M228" s="17" t="s">
        <v>191</v>
      </c>
      <c r="N228" s="17">
        <v>1170</v>
      </c>
      <c r="O228" s="17">
        <v>729</v>
      </c>
      <c r="P228" s="26">
        <f>(data[[#This Row],[LoadedMiles]]/data[[#This Row],[TotalMiles]])*100</f>
        <v>62.307692307692307</v>
      </c>
      <c r="Q228" s="25">
        <f>data[[#This Row],[ShippingCost]]/data[[#This Row],[TotalMiles]]</f>
        <v>6.1393162393162397</v>
      </c>
      <c r="R228" s="17">
        <v>7183</v>
      </c>
      <c r="S228" s="25">
        <f>data[[#This Row],[Revenue]]/data[[#This Row],[TotalMiles]]</f>
        <v>6.4247863247863251</v>
      </c>
      <c r="T228" s="26">
        <f>data[[#This Row],[Revenue]]-data[[#This Row],[ShippingCost]]</f>
        <v>334</v>
      </c>
      <c r="U228" s="17">
        <v>7517</v>
      </c>
      <c r="V228" s="17">
        <v>78</v>
      </c>
      <c r="W228" s="17" t="s">
        <v>68</v>
      </c>
      <c r="X228" s="17">
        <v>2</v>
      </c>
      <c r="Y228" s="17">
        <f>data[[#This Row],[DeliveryDate]]-data[[#This Row],[ShipDate]]</f>
        <v>8</v>
      </c>
      <c r="Z228" s="17" t="str">
        <f>IF(data[[#This Row],[Actual Delivery Days]]&gt;AD229,"Yes","No")</f>
        <v>Yes</v>
      </c>
    </row>
    <row r="229" spans="1:26">
      <c r="A229" s="17">
        <v>10060</v>
      </c>
      <c r="B229" s="17">
        <v>2</v>
      </c>
      <c r="C229" s="17">
        <v>5</v>
      </c>
      <c r="D229" s="17" t="s">
        <v>230</v>
      </c>
      <c r="E229" s="17" t="s">
        <v>231</v>
      </c>
      <c r="F229" s="17" t="str">
        <f>TEXT(data[[#This Row],[ShipDate]],"yyyy - mmmm")</f>
        <v>2016 - May</v>
      </c>
      <c r="G229" s="17" t="str">
        <f>data[[#This Row],[OriginCity]] &amp; " - "  &amp; data[[#This Row],[DestinationCity]]</f>
        <v>Kalamazoo - Bangor</v>
      </c>
      <c r="H229" s="17" t="s">
        <v>71</v>
      </c>
      <c r="I229" s="17" t="s">
        <v>21</v>
      </c>
      <c r="J229" s="17">
        <v>8</v>
      </c>
      <c r="K229" s="17" t="s">
        <v>104</v>
      </c>
      <c r="L229" s="17" t="s">
        <v>21</v>
      </c>
      <c r="M229" s="17" t="s">
        <v>108</v>
      </c>
      <c r="N229" s="17">
        <v>1044</v>
      </c>
      <c r="O229" s="17">
        <v>564</v>
      </c>
      <c r="P229" s="26">
        <f>(data[[#This Row],[LoadedMiles]]/data[[#This Row],[TotalMiles]])*100</f>
        <v>54.022988505747129</v>
      </c>
      <c r="Q229" s="25">
        <f>data[[#This Row],[ShippingCost]]/data[[#This Row],[TotalMiles]]</f>
        <v>0.4061302681992337</v>
      </c>
      <c r="R229" s="17">
        <v>424</v>
      </c>
      <c r="S229" s="25">
        <f>data[[#This Row],[Revenue]]/data[[#This Row],[TotalMiles]]</f>
        <v>0.91762452107279691</v>
      </c>
      <c r="T229" s="26">
        <f>data[[#This Row],[Revenue]]-data[[#This Row],[ShippingCost]]</f>
        <v>534</v>
      </c>
      <c r="U229" s="17">
        <v>958</v>
      </c>
      <c r="V229" s="17">
        <v>50</v>
      </c>
      <c r="W229" s="17" t="s">
        <v>68</v>
      </c>
      <c r="X229" s="17">
        <v>6</v>
      </c>
      <c r="Y229" s="17">
        <f>data[[#This Row],[DeliveryDate]]-data[[#This Row],[ShipDate]]</f>
        <v>8</v>
      </c>
      <c r="Z229" s="17" t="str">
        <f>IF(data[[#This Row],[Actual Delivery Days]]&gt;AD230,"Yes","No")</f>
        <v>Yes</v>
      </c>
    </row>
    <row r="230" spans="1:26">
      <c r="A230" s="17">
        <v>10094</v>
      </c>
      <c r="B230" s="17">
        <v>1</v>
      </c>
      <c r="C230" s="17">
        <v>5</v>
      </c>
      <c r="D230" s="17" t="s">
        <v>311</v>
      </c>
      <c r="E230" s="17" t="s">
        <v>312</v>
      </c>
      <c r="F230" s="17" t="str">
        <f>TEXT(data[[#This Row],[ShipDate]],"yyyy - mmmm")</f>
        <v>2016 - May</v>
      </c>
      <c r="G230" s="17" t="str">
        <f>data[[#This Row],[OriginCity]] &amp; " - "  &amp; data[[#This Row],[DestinationCity]]</f>
        <v>Cincinnati - Gary</v>
      </c>
      <c r="H230" s="17" t="s">
        <v>89</v>
      </c>
      <c r="I230" s="17" t="s">
        <v>23</v>
      </c>
      <c r="J230" s="17">
        <v>8</v>
      </c>
      <c r="K230" s="17" t="s">
        <v>57</v>
      </c>
      <c r="L230" s="17" t="s">
        <v>44</v>
      </c>
      <c r="M230" s="17" t="s">
        <v>32</v>
      </c>
      <c r="N230" s="17">
        <v>610</v>
      </c>
      <c r="O230" s="17">
        <v>600</v>
      </c>
      <c r="P230" s="26">
        <f>(data[[#This Row],[LoadedMiles]]/data[[#This Row],[TotalMiles]])*100</f>
        <v>98.360655737704917</v>
      </c>
      <c r="Q230" s="25">
        <f>data[[#This Row],[ShippingCost]]/data[[#This Row],[TotalMiles]]</f>
        <v>2.057377049180328</v>
      </c>
      <c r="R230" s="17">
        <v>1255</v>
      </c>
      <c r="S230" s="25">
        <f>data[[#This Row],[Revenue]]/data[[#This Row],[TotalMiles]]</f>
        <v>2.7</v>
      </c>
      <c r="T230" s="26">
        <f>data[[#This Row],[Revenue]]-data[[#This Row],[ShippingCost]]</f>
        <v>392</v>
      </c>
      <c r="U230" s="17">
        <v>1647</v>
      </c>
      <c r="V230" s="17">
        <v>50</v>
      </c>
      <c r="W230" s="17" t="s">
        <v>68</v>
      </c>
      <c r="X230" s="17">
        <v>5</v>
      </c>
      <c r="Y230" s="17">
        <f>data[[#This Row],[DeliveryDate]]-data[[#This Row],[ShipDate]]</f>
        <v>8</v>
      </c>
      <c r="Z230" s="17" t="str">
        <f>IF(data[[#This Row],[Actual Delivery Days]]&gt;AD231,"Yes","No")</f>
        <v>Yes</v>
      </c>
    </row>
    <row r="231" spans="1:26">
      <c r="A231" s="17">
        <v>10096</v>
      </c>
      <c r="B231" s="17">
        <v>1</v>
      </c>
      <c r="C231" s="17">
        <v>7</v>
      </c>
      <c r="D231" s="17" t="s">
        <v>313</v>
      </c>
      <c r="E231" s="17" t="s">
        <v>38</v>
      </c>
      <c r="F231" s="17" t="str">
        <f>TEXT(data[[#This Row],[ShipDate]],"yyyy - mmmm")</f>
        <v>2016 - August</v>
      </c>
      <c r="G231" s="17" t="str">
        <f>data[[#This Row],[OriginCity]] &amp; " - "  &amp; data[[#This Row],[DestinationCity]]</f>
        <v>Toledo - Detriot</v>
      </c>
      <c r="H231" s="17" t="s">
        <v>22</v>
      </c>
      <c r="I231" s="17" t="s">
        <v>23</v>
      </c>
      <c r="J231" s="17">
        <v>8</v>
      </c>
      <c r="K231" s="17" t="s">
        <v>52</v>
      </c>
      <c r="L231" s="17" t="s">
        <v>21</v>
      </c>
      <c r="M231" s="17" t="s">
        <v>82</v>
      </c>
      <c r="N231" s="17">
        <v>782</v>
      </c>
      <c r="O231" s="17">
        <v>563</v>
      </c>
      <c r="P231" s="26">
        <f>(data[[#This Row],[LoadedMiles]]/data[[#This Row],[TotalMiles]])*100</f>
        <v>71.994884910485936</v>
      </c>
      <c r="Q231" s="25">
        <f>data[[#This Row],[ShippingCost]]/data[[#This Row],[TotalMiles]]</f>
        <v>4.7851662404092075</v>
      </c>
      <c r="R231" s="17">
        <v>3742</v>
      </c>
      <c r="S231" s="25">
        <f>data[[#This Row],[Revenue]]/data[[#This Row],[TotalMiles]]</f>
        <v>5.8465473145780047</v>
      </c>
      <c r="T231" s="26">
        <f>data[[#This Row],[Revenue]]-data[[#This Row],[ShippingCost]]</f>
        <v>830</v>
      </c>
      <c r="U231" s="17">
        <v>4572</v>
      </c>
      <c r="V231" s="17">
        <v>66</v>
      </c>
      <c r="W231" s="17" t="s">
        <v>68</v>
      </c>
      <c r="X231" s="17">
        <v>5</v>
      </c>
      <c r="Y231" s="17">
        <f>data[[#This Row],[DeliveryDate]]-data[[#This Row],[ShipDate]]</f>
        <v>-157</v>
      </c>
      <c r="Z231" s="17" t="str">
        <f>IF(data[[#This Row],[Actual Delivery Days]]&gt;AD232,"Yes","No")</f>
        <v>No</v>
      </c>
    </row>
    <row r="232" spans="1:26">
      <c r="A232" s="17">
        <v>10118</v>
      </c>
      <c r="B232" s="17">
        <v>2</v>
      </c>
      <c r="C232" s="17">
        <v>6</v>
      </c>
      <c r="D232" s="17" t="s">
        <v>354</v>
      </c>
      <c r="E232" s="17" t="s">
        <v>129</v>
      </c>
      <c r="F232" s="17" t="str">
        <f>TEXT(data[[#This Row],[ShipDate]],"yyyy - mmmm")</f>
        <v>2016 - March</v>
      </c>
      <c r="G232" s="17" t="str">
        <f>data[[#This Row],[OriginCity]] &amp; " - "  &amp; data[[#This Row],[DestinationCity]]</f>
        <v>Lansing - Dayton</v>
      </c>
      <c r="H232" s="17" t="s">
        <v>66</v>
      </c>
      <c r="I232" s="17" t="s">
        <v>21</v>
      </c>
      <c r="J232" s="17">
        <v>8</v>
      </c>
      <c r="K232" s="17" t="s">
        <v>93</v>
      </c>
      <c r="L232" s="17" t="s">
        <v>23</v>
      </c>
      <c r="M232" s="17" t="s">
        <v>355</v>
      </c>
      <c r="N232" s="17">
        <v>284</v>
      </c>
      <c r="O232" s="17">
        <v>284</v>
      </c>
      <c r="P232" s="26">
        <f>(data[[#This Row],[LoadedMiles]]/data[[#This Row],[TotalMiles]])*100</f>
        <v>100</v>
      </c>
      <c r="Q232" s="25">
        <f>data[[#This Row],[ShippingCost]]/data[[#This Row],[TotalMiles]]</f>
        <v>7.774647887323944</v>
      </c>
      <c r="R232" s="17">
        <v>2208</v>
      </c>
      <c r="S232" s="25">
        <f>data[[#This Row],[Revenue]]/data[[#This Row],[TotalMiles]]</f>
        <v>10.598591549295774</v>
      </c>
      <c r="T232" s="26">
        <f>data[[#This Row],[Revenue]]-data[[#This Row],[ShippingCost]]</f>
        <v>802</v>
      </c>
      <c r="U232" s="17">
        <v>3010</v>
      </c>
      <c r="V232" s="17">
        <v>60</v>
      </c>
      <c r="W232" s="17" t="s">
        <v>68</v>
      </c>
      <c r="X232" s="17">
        <v>5</v>
      </c>
      <c r="Y232" s="17">
        <f>data[[#This Row],[DeliveryDate]]-data[[#This Row],[ShipDate]]</f>
        <v>7</v>
      </c>
      <c r="Z232" s="17" t="str">
        <f>IF(data[[#This Row],[Actual Delivery Days]]&gt;AD233,"Yes","No")</f>
        <v>Yes</v>
      </c>
    </row>
    <row r="233" spans="1:26">
      <c r="A233" s="17">
        <v>10136</v>
      </c>
      <c r="B233" s="17">
        <v>2</v>
      </c>
      <c r="C233" s="17">
        <v>5</v>
      </c>
      <c r="D233" s="17" t="s">
        <v>384</v>
      </c>
      <c r="E233" s="17" t="s">
        <v>212</v>
      </c>
      <c r="F233" s="17" t="str">
        <f>TEXT(data[[#This Row],[ShipDate]],"yyyy - mmmm")</f>
        <v>2016 - August</v>
      </c>
      <c r="G233" s="17" t="str">
        <f>data[[#This Row],[OriginCity]] &amp; " - "  &amp; data[[#This Row],[DestinationCity]]</f>
        <v>Appleton - Grand Rapids</v>
      </c>
      <c r="H233" s="17" t="s">
        <v>85</v>
      </c>
      <c r="I233" s="17" t="s">
        <v>29</v>
      </c>
      <c r="J233" s="17">
        <v>8</v>
      </c>
      <c r="K233" s="17" t="s">
        <v>20</v>
      </c>
      <c r="L233" s="17" t="s">
        <v>21</v>
      </c>
      <c r="M233" s="17" t="s">
        <v>138</v>
      </c>
      <c r="N233" s="17">
        <v>986</v>
      </c>
      <c r="O233" s="17">
        <v>654</v>
      </c>
      <c r="P233" s="26">
        <f>(data[[#This Row],[LoadedMiles]]/data[[#This Row],[TotalMiles]])*100</f>
        <v>66.328600405679509</v>
      </c>
      <c r="Q233" s="25">
        <f>data[[#This Row],[ShippingCost]]/data[[#This Row],[TotalMiles]]</f>
        <v>0.39452332657200812</v>
      </c>
      <c r="R233" s="17">
        <v>389</v>
      </c>
      <c r="S233" s="25">
        <f>data[[#This Row],[Revenue]]/data[[#This Row],[TotalMiles]]</f>
        <v>1.0121703853955375</v>
      </c>
      <c r="T233" s="26">
        <f>data[[#This Row],[Revenue]]-data[[#This Row],[ShippingCost]]</f>
        <v>609</v>
      </c>
      <c r="U233" s="17">
        <v>998</v>
      </c>
      <c r="V233" s="17">
        <v>57</v>
      </c>
      <c r="W233" s="17" t="s">
        <v>68</v>
      </c>
      <c r="X233" s="17">
        <v>5</v>
      </c>
      <c r="Y233" s="17">
        <f>data[[#This Row],[DeliveryDate]]-data[[#This Row],[ShipDate]]</f>
        <v>7</v>
      </c>
      <c r="Z233" s="17" t="str">
        <f>IF(data[[#This Row],[Actual Delivery Days]]&gt;AD234,"Yes","No")</f>
        <v>Yes</v>
      </c>
    </row>
    <row r="234" spans="1:26">
      <c r="A234" s="17">
        <v>10148</v>
      </c>
      <c r="B234" s="17">
        <v>1</v>
      </c>
      <c r="C234" s="17">
        <v>7</v>
      </c>
      <c r="D234" s="17" t="s">
        <v>403</v>
      </c>
      <c r="E234" s="17" t="s">
        <v>404</v>
      </c>
      <c r="F234" s="17" t="str">
        <f>TEXT(data[[#This Row],[ShipDate]],"yyyy - mmmm")</f>
        <v>2016 - July</v>
      </c>
      <c r="G234" s="17" t="str">
        <f>data[[#This Row],[OriginCity]] &amp; " - "  &amp; data[[#This Row],[DestinationCity]]</f>
        <v>Chicago - Rockford</v>
      </c>
      <c r="H234" s="17" t="s">
        <v>39</v>
      </c>
      <c r="I234" s="17" t="s">
        <v>31</v>
      </c>
      <c r="J234" s="17">
        <v>8</v>
      </c>
      <c r="K234" s="17" t="s">
        <v>40</v>
      </c>
      <c r="L234" s="17" t="s">
        <v>31</v>
      </c>
      <c r="M234" s="17" t="s">
        <v>405</v>
      </c>
      <c r="N234" s="17">
        <v>1160</v>
      </c>
      <c r="O234" s="17">
        <v>564</v>
      </c>
      <c r="P234" s="26">
        <f>(data[[#This Row],[LoadedMiles]]/data[[#This Row],[TotalMiles]])*100</f>
        <v>48.620689655172413</v>
      </c>
      <c r="Q234" s="25">
        <f>data[[#This Row],[ShippingCost]]/data[[#This Row],[TotalMiles]]</f>
        <v>6.2629310344827589</v>
      </c>
      <c r="R234" s="17">
        <v>7265</v>
      </c>
      <c r="S234" s="25">
        <f>data[[#This Row],[Revenue]]/data[[#This Row],[TotalMiles]]</f>
        <v>6.7706896551724141</v>
      </c>
      <c r="T234" s="26">
        <f>data[[#This Row],[Revenue]]-data[[#This Row],[ShippingCost]]</f>
        <v>589</v>
      </c>
      <c r="U234" s="17">
        <v>7854</v>
      </c>
      <c r="V234" s="17">
        <v>85</v>
      </c>
      <c r="W234" s="17" t="s">
        <v>68</v>
      </c>
      <c r="X234" s="17">
        <v>9</v>
      </c>
      <c r="Y234" s="17">
        <f>data[[#This Row],[DeliveryDate]]-data[[#This Row],[ShipDate]]</f>
        <v>8</v>
      </c>
      <c r="Z234" s="17" t="str">
        <f>IF(data[[#This Row],[Actual Delivery Days]]&gt;AD235,"Yes","No")</f>
        <v>Yes</v>
      </c>
    </row>
    <row r="235" spans="1:26">
      <c r="A235" s="17">
        <v>10165</v>
      </c>
      <c r="B235" s="17">
        <v>1</v>
      </c>
      <c r="C235" s="17">
        <v>6</v>
      </c>
      <c r="D235" s="17" t="s">
        <v>436</v>
      </c>
      <c r="E235" s="17" t="s">
        <v>437</v>
      </c>
      <c r="F235" s="17" t="str">
        <f>TEXT(data[[#This Row],[ShipDate]],"yyyy - mmmm")</f>
        <v>2016 - May</v>
      </c>
      <c r="G235" s="17" t="str">
        <f>data[[#This Row],[OriginCity]] &amp; " - "  &amp; data[[#This Row],[DestinationCity]]</f>
        <v>Davenport - Appleton</v>
      </c>
      <c r="H235" s="17" t="s">
        <v>105</v>
      </c>
      <c r="I235" s="17" t="s">
        <v>106</v>
      </c>
      <c r="J235" s="17">
        <v>8</v>
      </c>
      <c r="K235" s="17" t="s">
        <v>85</v>
      </c>
      <c r="L235" s="17" t="s">
        <v>29</v>
      </c>
      <c r="M235" s="17" t="s">
        <v>146</v>
      </c>
      <c r="N235" s="17">
        <v>725</v>
      </c>
      <c r="O235" s="17">
        <v>641</v>
      </c>
      <c r="P235" s="26">
        <f>(data[[#This Row],[LoadedMiles]]/data[[#This Row],[TotalMiles]])*100</f>
        <v>88.413793103448285</v>
      </c>
      <c r="Q235" s="25">
        <f>data[[#This Row],[ShippingCost]]/data[[#This Row],[TotalMiles]]</f>
        <v>5.0110344827586211</v>
      </c>
      <c r="R235" s="17">
        <v>3633</v>
      </c>
      <c r="S235" s="25">
        <f>data[[#This Row],[Revenue]]/data[[#This Row],[TotalMiles]]</f>
        <v>5.1558620689655168</v>
      </c>
      <c r="T235" s="26">
        <f>data[[#This Row],[Revenue]]-data[[#This Row],[ShippingCost]]</f>
        <v>105</v>
      </c>
      <c r="U235" s="17">
        <v>3738</v>
      </c>
      <c r="V235" s="17">
        <v>89</v>
      </c>
      <c r="W235" s="17" t="s">
        <v>68</v>
      </c>
      <c r="X235" s="17">
        <v>6</v>
      </c>
      <c r="Y235" s="17">
        <f>data[[#This Row],[DeliveryDate]]-data[[#This Row],[ShipDate]]</f>
        <v>8</v>
      </c>
      <c r="Z235" s="17" t="str">
        <f>IF(data[[#This Row],[Actual Delivery Days]]&gt;AD236,"Yes","No")</f>
        <v>Yes</v>
      </c>
    </row>
    <row r="236" spans="1:26">
      <c r="A236" s="17">
        <v>10183</v>
      </c>
      <c r="B236" s="17">
        <v>2</v>
      </c>
      <c r="C236" s="17">
        <v>6</v>
      </c>
      <c r="D236" s="17" t="s">
        <v>468</v>
      </c>
      <c r="E236" s="17" t="s">
        <v>231</v>
      </c>
      <c r="F236" s="17" t="str">
        <f>TEXT(data[[#This Row],[ShipDate]],"yyyy - mmmm")</f>
        <v>2016 - May</v>
      </c>
      <c r="G236" s="17" t="str">
        <f>data[[#This Row],[OriginCity]] &amp; " - "  &amp; data[[#This Row],[DestinationCity]]</f>
        <v>Skokie - Chicago</v>
      </c>
      <c r="H236" s="17" t="s">
        <v>35</v>
      </c>
      <c r="I236" s="17" t="s">
        <v>31</v>
      </c>
      <c r="J236" s="17">
        <v>8</v>
      </c>
      <c r="K236" s="17" t="s">
        <v>39</v>
      </c>
      <c r="L236" s="17" t="s">
        <v>31</v>
      </c>
      <c r="M236" s="17" t="s">
        <v>82</v>
      </c>
      <c r="N236" s="17">
        <v>413</v>
      </c>
      <c r="O236" s="17">
        <v>291</v>
      </c>
      <c r="P236" s="26">
        <f>(data[[#This Row],[LoadedMiles]]/data[[#This Row],[TotalMiles]])*100</f>
        <v>70.460048426150124</v>
      </c>
      <c r="Q236" s="25">
        <f>data[[#This Row],[ShippingCost]]/data[[#This Row],[TotalMiles]]</f>
        <v>5.4963680387409202</v>
      </c>
      <c r="R236" s="17">
        <v>2270</v>
      </c>
      <c r="S236" s="25">
        <f>data[[#This Row],[Revenue]]/data[[#This Row],[TotalMiles]]</f>
        <v>6.101694915254237</v>
      </c>
      <c r="T236" s="26">
        <f>data[[#This Row],[Revenue]]-data[[#This Row],[ShippingCost]]</f>
        <v>250</v>
      </c>
      <c r="U236" s="17">
        <v>2520</v>
      </c>
      <c r="V236" s="17">
        <v>57</v>
      </c>
      <c r="W236" s="17" t="s">
        <v>68</v>
      </c>
      <c r="X236" s="17">
        <v>9</v>
      </c>
      <c r="Y236" s="17">
        <f>data[[#This Row],[DeliveryDate]]-data[[#This Row],[ShipDate]]</f>
        <v>-56</v>
      </c>
      <c r="Z236" s="17" t="str">
        <f>IF(data[[#This Row],[Actual Delivery Days]]&gt;AD237,"Yes","No")</f>
        <v>No</v>
      </c>
    </row>
    <row r="237" spans="1:26">
      <c r="A237" s="17">
        <v>10234</v>
      </c>
      <c r="B237" s="17">
        <v>2</v>
      </c>
      <c r="C237" s="17">
        <v>5</v>
      </c>
      <c r="D237" s="17" t="s">
        <v>544</v>
      </c>
      <c r="E237" s="17" t="s">
        <v>261</v>
      </c>
      <c r="F237" s="17" t="str">
        <f>TEXT(data[[#This Row],[ShipDate]],"yyyy - mmmm")</f>
        <v>2016 - May</v>
      </c>
      <c r="G237" s="17" t="str">
        <f>data[[#This Row],[OriginCity]] &amp; " - "  &amp; data[[#This Row],[DestinationCity]]</f>
        <v>Joliet - Madison</v>
      </c>
      <c r="H237" s="17" t="s">
        <v>61</v>
      </c>
      <c r="I237" s="17" t="s">
        <v>31</v>
      </c>
      <c r="J237" s="17">
        <v>8</v>
      </c>
      <c r="K237" s="17" t="s">
        <v>62</v>
      </c>
      <c r="L237" s="17" t="s">
        <v>29</v>
      </c>
      <c r="M237" s="17" t="s">
        <v>84</v>
      </c>
      <c r="N237" s="17">
        <v>975</v>
      </c>
      <c r="O237" s="17">
        <v>279</v>
      </c>
      <c r="P237" s="26">
        <f>(data[[#This Row],[LoadedMiles]]/data[[#This Row],[TotalMiles]])*100</f>
        <v>28.615384615384613</v>
      </c>
      <c r="Q237" s="25">
        <f>data[[#This Row],[ShippingCost]]/data[[#This Row],[TotalMiles]]</f>
        <v>1.0010256410256411</v>
      </c>
      <c r="R237" s="17">
        <v>976</v>
      </c>
      <c r="S237" s="25">
        <f>data[[#This Row],[Revenue]]/data[[#This Row],[TotalMiles]]</f>
        <v>1.1158974358974358</v>
      </c>
      <c r="T237" s="26">
        <f>data[[#This Row],[Revenue]]-data[[#This Row],[ShippingCost]]</f>
        <v>112</v>
      </c>
      <c r="U237" s="17">
        <v>1088</v>
      </c>
      <c r="V237" s="17">
        <v>77</v>
      </c>
      <c r="W237" s="17" t="s">
        <v>68</v>
      </c>
      <c r="X237" s="17">
        <v>7</v>
      </c>
      <c r="Y237" s="17">
        <f>data[[#This Row],[DeliveryDate]]-data[[#This Row],[ShipDate]]</f>
        <v>8</v>
      </c>
      <c r="Z237" s="17" t="str">
        <f>IF(data[[#This Row],[Actual Delivery Days]]&gt;AD238,"Yes","No")</f>
        <v>Yes</v>
      </c>
    </row>
    <row r="238" spans="1:26">
      <c r="A238" s="17">
        <v>10240</v>
      </c>
      <c r="B238" s="17">
        <v>1</v>
      </c>
      <c r="C238" s="17">
        <v>8</v>
      </c>
      <c r="D238" s="17" t="s">
        <v>550</v>
      </c>
      <c r="E238" s="17" t="s">
        <v>513</v>
      </c>
      <c r="F238" s="17" t="str">
        <f>TEXT(data[[#This Row],[ShipDate]],"yyyy - mmmm")</f>
        <v>2016 - August</v>
      </c>
      <c r="G238" s="17" t="str">
        <f>data[[#This Row],[OriginCity]] &amp; " - "  &amp; data[[#This Row],[DestinationCity]]</f>
        <v>Appleton - Grand Rapids</v>
      </c>
      <c r="H238" s="17" t="s">
        <v>85</v>
      </c>
      <c r="I238" s="17" t="s">
        <v>29</v>
      </c>
      <c r="J238" s="17">
        <v>8</v>
      </c>
      <c r="K238" s="17" t="s">
        <v>20</v>
      </c>
      <c r="L238" s="17" t="s">
        <v>21</v>
      </c>
      <c r="M238" s="17" t="s">
        <v>415</v>
      </c>
      <c r="N238" s="17">
        <v>529</v>
      </c>
      <c r="O238" s="17">
        <v>529</v>
      </c>
      <c r="P238" s="26">
        <f>(data[[#This Row],[LoadedMiles]]/data[[#This Row],[TotalMiles]])*100</f>
        <v>100</v>
      </c>
      <c r="Q238" s="25">
        <f>data[[#This Row],[ShippingCost]]/data[[#This Row],[TotalMiles]]</f>
        <v>13.279773156899811</v>
      </c>
      <c r="R238" s="17">
        <v>7025</v>
      </c>
      <c r="S238" s="25">
        <f>data[[#This Row],[Revenue]]/data[[#This Row],[TotalMiles]]</f>
        <v>14.555765595463138</v>
      </c>
      <c r="T238" s="26">
        <f>data[[#This Row],[Revenue]]-data[[#This Row],[ShippingCost]]</f>
        <v>675</v>
      </c>
      <c r="U238" s="17">
        <v>7700</v>
      </c>
      <c r="V238" s="17">
        <v>71</v>
      </c>
      <c r="W238" s="17" t="s">
        <v>68</v>
      </c>
      <c r="X238" s="17">
        <v>5</v>
      </c>
      <c r="Y238" s="17">
        <f>data[[#This Row],[DeliveryDate]]-data[[#This Row],[ShipDate]]</f>
        <v>6</v>
      </c>
      <c r="Z238" s="17" t="str">
        <f>IF(data[[#This Row],[Actual Delivery Days]]&gt;AD239,"Yes","No")</f>
        <v>Yes</v>
      </c>
    </row>
    <row r="239" spans="1:26">
      <c r="A239" s="17">
        <v>10251</v>
      </c>
      <c r="B239" s="17">
        <v>1</v>
      </c>
      <c r="C239" s="17">
        <v>4</v>
      </c>
      <c r="D239" s="17" t="s">
        <v>564</v>
      </c>
      <c r="E239" s="17" t="s">
        <v>396</v>
      </c>
      <c r="F239" s="17" t="str">
        <f>TEXT(data[[#This Row],[ShipDate]],"yyyy - mmmm")</f>
        <v>2016 - January</v>
      </c>
      <c r="G239" s="17" t="str">
        <f>data[[#This Row],[OriginCity]] &amp; " - "  &amp; data[[#This Row],[DestinationCity]]</f>
        <v>Chicago - Rockford</v>
      </c>
      <c r="H239" s="17" t="s">
        <v>39</v>
      </c>
      <c r="I239" s="17" t="s">
        <v>31</v>
      </c>
      <c r="J239" s="17">
        <v>8</v>
      </c>
      <c r="K239" s="17" t="s">
        <v>40</v>
      </c>
      <c r="L239" s="17" t="s">
        <v>31</v>
      </c>
      <c r="M239" s="17" t="s">
        <v>164</v>
      </c>
      <c r="N239" s="17">
        <v>1103</v>
      </c>
      <c r="O239" s="17">
        <v>565</v>
      </c>
      <c r="P239" s="26">
        <f>(data[[#This Row],[LoadedMiles]]/data[[#This Row],[TotalMiles]])*100</f>
        <v>51.223934723481413</v>
      </c>
      <c r="Q239" s="25">
        <f>data[[#This Row],[ShippingCost]]/data[[#This Row],[TotalMiles]]</f>
        <v>6.8150498640072525</v>
      </c>
      <c r="R239" s="17">
        <v>7517</v>
      </c>
      <c r="S239" s="25">
        <f>data[[#This Row],[Revenue]]/data[[#This Row],[TotalMiles]]</f>
        <v>4.5448776065276517</v>
      </c>
      <c r="T239" s="26">
        <f>data[[#This Row],[Revenue]]-data[[#This Row],[ShippingCost]]</f>
        <v>-2504</v>
      </c>
      <c r="U239" s="17">
        <v>5013</v>
      </c>
      <c r="V239" s="17">
        <v>99</v>
      </c>
      <c r="W239" s="17" t="s">
        <v>68</v>
      </c>
      <c r="X239" s="17">
        <v>3</v>
      </c>
      <c r="Y239" s="17">
        <f>data[[#This Row],[DeliveryDate]]-data[[#This Row],[ShipDate]]</f>
        <v>8</v>
      </c>
      <c r="Z239" s="17" t="str">
        <f>IF(data[[#This Row],[Actual Delivery Days]]&gt;AD240,"Yes","No")</f>
        <v>Yes</v>
      </c>
    </row>
    <row r="240" spans="1:26">
      <c r="A240" s="17">
        <v>10253</v>
      </c>
      <c r="B240" s="17">
        <v>2</v>
      </c>
      <c r="C240" s="17">
        <v>7</v>
      </c>
      <c r="D240" s="17" t="s">
        <v>566</v>
      </c>
      <c r="E240" s="17" t="s">
        <v>567</v>
      </c>
      <c r="F240" s="17" t="str">
        <f>TEXT(data[[#This Row],[ShipDate]],"yyyy - mmmm")</f>
        <v>2016 - February</v>
      </c>
      <c r="G240" s="17" t="str">
        <f>data[[#This Row],[OriginCity]] &amp; " - "  &amp; data[[#This Row],[DestinationCity]]</f>
        <v>Northbrook - Naperville</v>
      </c>
      <c r="H240" s="17" t="s">
        <v>45</v>
      </c>
      <c r="I240" s="17" t="s">
        <v>31</v>
      </c>
      <c r="J240" s="17">
        <v>8</v>
      </c>
      <c r="K240" s="17" t="s">
        <v>48</v>
      </c>
      <c r="L240" s="17" t="s">
        <v>31</v>
      </c>
      <c r="M240" s="17" t="s">
        <v>82</v>
      </c>
      <c r="N240" s="17">
        <v>976</v>
      </c>
      <c r="O240" s="17">
        <v>369</v>
      </c>
      <c r="P240" s="26">
        <f>(data[[#This Row],[LoadedMiles]]/data[[#This Row],[TotalMiles]])*100</f>
        <v>37.807377049180332</v>
      </c>
      <c r="Q240" s="25">
        <f>data[[#This Row],[ShippingCost]]/data[[#This Row],[TotalMiles]]</f>
        <v>1.8637295081967213</v>
      </c>
      <c r="R240" s="17">
        <v>1819</v>
      </c>
      <c r="S240" s="25">
        <f>data[[#This Row],[Revenue]]/data[[#This Row],[TotalMiles]]</f>
        <v>2.5102459016393444</v>
      </c>
      <c r="T240" s="26">
        <f>data[[#This Row],[Revenue]]-data[[#This Row],[ShippingCost]]</f>
        <v>631</v>
      </c>
      <c r="U240" s="17">
        <v>2450</v>
      </c>
      <c r="V240" s="17">
        <v>54</v>
      </c>
      <c r="W240" s="17" t="s">
        <v>68</v>
      </c>
      <c r="X240" s="17">
        <v>6</v>
      </c>
      <c r="Y240" s="17">
        <f>data[[#This Row],[DeliveryDate]]-data[[#This Row],[ShipDate]]</f>
        <v>29</v>
      </c>
      <c r="Z240" s="17" t="str">
        <f>IF(data[[#This Row],[Actual Delivery Days]]&gt;AD241,"Yes","No")</f>
        <v>Yes</v>
      </c>
    </row>
    <row r="241" spans="1:26">
      <c r="A241" s="17">
        <v>10270</v>
      </c>
      <c r="B241" s="17">
        <v>1</v>
      </c>
      <c r="C241" s="17">
        <v>8</v>
      </c>
      <c r="D241" s="17" t="s">
        <v>588</v>
      </c>
      <c r="E241" s="17" t="s">
        <v>542</v>
      </c>
      <c r="F241" s="17" t="str">
        <f>TEXT(data[[#This Row],[ShipDate]],"yyyy - mmmm")</f>
        <v>2016 - June</v>
      </c>
      <c r="G241" s="17" t="str">
        <f>data[[#This Row],[OriginCity]] &amp; " - "  &amp; data[[#This Row],[DestinationCity]]</f>
        <v>Davenport - Appleton</v>
      </c>
      <c r="H241" s="17" t="s">
        <v>105</v>
      </c>
      <c r="I241" s="17" t="s">
        <v>106</v>
      </c>
      <c r="J241" s="17">
        <v>8</v>
      </c>
      <c r="K241" s="17" t="s">
        <v>85</v>
      </c>
      <c r="L241" s="17" t="s">
        <v>29</v>
      </c>
      <c r="M241" s="17" t="s">
        <v>499</v>
      </c>
      <c r="N241" s="17">
        <v>950</v>
      </c>
      <c r="O241" s="17">
        <v>502</v>
      </c>
      <c r="P241" s="26">
        <f>(data[[#This Row],[LoadedMiles]]/data[[#This Row],[TotalMiles]])*100</f>
        <v>52.84210526315789</v>
      </c>
      <c r="Q241" s="25">
        <f>data[[#This Row],[ShippingCost]]/data[[#This Row],[TotalMiles]]</f>
        <v>2.168421052631579</v>
      </c>
      <c r="R241" s="17">
        <v>2060</v>
      </c>
      <c r="S241" s="25">
        <f>data[[#This Row],[Revenue]]/data[[#This Row],[TotalMiles]]</f>
        <v>3.1894736842105265</v>
      </c>
      <c r="T241" s="26">
        <f>data[[#This Row],[Revenue]]-data[[#This Row],[ShippingCost]]</f>
        <v>970</v>
      </c>
      <c r="U241" s="17">
        <v>3030</v>
      </c>
      <c r="V241" s="17">
        <v>60</v>
      </c>
      <c r="W241" s="17" t="s">
        <v>68</v>
      </c>
      <c r="X241" s="17">
        <v>6</v>
      </c>
      <c r="Y241" s="17">
        <f>data[[#This Row],[DeliveryDate]]-data[[#This Row],[ShipDate]]</f>
        <v>8</v>
      </c>
      <c r="Z241" s="17" t="str">
        <f>IF(data[[#This Row],[Actual Delivery Days]]&gt;AD242,"Yes","No")</f>
        <v>Yes</v>
      </c>
    </row>
    <row r="242" spans="1:26">
      <c r="A242" s="17">
        <v>10285</v>
      </c>
      <c r="B242" s="17">
        <v>1</v>
      </c>
      <c r="C242" s="17">
        <v>4</v>
      </c>
      <c r="D242" s="17" t="s">
        <v>26</v>
      </c>
      <c r="E242" s="17" t="s">
        <v>49</v>
      </c>
      <c r="F242" s="17" t="str">
        <f>TEXT(data[[#This Row],[ShipDate]],"yyyy - mmmm")</f>
        <v>2016 - April</v>
      </c>
      <c r="G242" s="17" t="str">
        <f>data[[#This Row],[OriginCity]] &amp; " - "  &amp; data[[#This Row],[DestinationCity]]</f>
        <v>Toledo - Detriot</v>
      </c>
      <c r="H242" s="17" t="s">
        <v>22</v>
      </c>
      <c r="I242" s="17" t="s">
        <v>23</v>
      </c>
      <c r="J242" s="17">
        <v>8</v>
      </c>
      <c r="K242" s="17" t="s">
        <v>52</v>
      </c>
      <c r="L242" s="17" t="s">
        <v>21</v>
      </c>
      <c r="M242" s="17" t="s">
        <v>197</v>
      </c>
      <c r="N242" s="17">
        <v>580</v>
      </c>
      <c r="O242" s="17">
        <v>580</v>
      </c>
      <c r="P242" s="26">
        <f>(data[[#This Row],[LoadedMiles]]/data[[#This Row],[TotalMiles]])*100</f>
        <v>100</v>
      </c>
      <c r="Q242" s="25">
        <f>data[[#This Row],[ShippingCost]]/data[[#This Row],[TotalMiles]]</f>
        <v>11.227586206896552</v>
      </c>
      <c r="R242" s="17">
        <v>6512</v>
      </c>
      <c r="S242" s="25">
        <f>data[[#This Row],[Revenue]]/data[[#This Row],[TotalMiles]]</f>
        <v>7.4620689655172416</v>
      </c>
      <c r="T242" s="26">
        <f>data[[#This Row],[Revenue]]-data[[#This Row],[ShippingCost]]</f>
        <v>-2184</v>
      </c>
      <c r="U242" s="17">
        <v>4328</v>
      </c>
      <c r="V242" s="17">
        <v>58</v>
      </c>
      <c r="W242" s="17" t="s">
        <v>68</v>
      </c>
      <c r="X242" s="17">
        <v>4</v>
      </c>
      <c r="Y242" s="17">
        <f>data[[#This Row],[DeliveryDate]]-data[[#This Row],[ShipDate]]</f>
        <v>8</v>
      </c>
      <c r="Z242" s="17" t="str">
        <f>IF(data[[#This Row],[Actual Delivery Days]]&gt;AD243,"Yes","No")</f>
        <v>Yes</v>
      </c>
    </row>
    <row r="243" spans="1:26">
      <c r="A243" s="17">
        <v>10286</v>
      </c>
      <c r="B243" s="17">
        <v>2</v>
      </c>
      <c r="C243" s="17">
        <v>5</v>
      </c>
      <c r="D243" s="17" t="s">
        <v>33</v>
      </c>
      <c r="E243" s="17" t="s">
        <v>224</v>
      </c>
      <c r="F243" s="17" t="str">
        <f>TEXT(data[[#This Row],[ShipDate]],"yyyy - mmmm")</f>
        <v>2016 - May</v>
      </c>
      <c r="G243" s="17" t="str">
        <f>data[[#This Row],[OriginCity]] &amp; " - "  &amp; data[[#This Row],[DestinationCity]]</f>
        <v>Lansing - Dayton</v>
      </c>
      <c r="H243" s="17" t="s">
        <v>66</v>
      </c>
      <c r="I243" s="17" t="s">
        <v>21</v>
      </c>
      <c r="J243" s="17">
        <v>8</v>
      </c>
      <c r="K243" s="17" t="s">
        <v>93</v>
      </c>
      <c r="L243" s="17" t="s">
        <v>23</v>
      </c>
      <c r="M243" s="17" t="s">
        <v>58</v>
      </c>
      <c r="N243" s="17">
        <v>426</v>
      </c>
      <c r="O243" s="17">
        <v>357</v>
      </c>
      <c r="P243" s="26">
        <f>(data[[#This Row],[LoadedMiles]]/data[[#This Row],[TotalMiles]])*100</f>
        <v>83.802816901408448</v>
      </c>
      <c r="Q243" s="25">
        <f>data[[#This Row],[ShippingCost]]/data[[#This Row],[TotalMiles]]</f>
        <v>8.8779342723004699</v>
      </c>
      <c r="R243" s="17">
        <v>3782</v>
      </c>
      <c r="S243" s="25">
        <f>data[[#This Row],[Revenue]]/data[[#This Row],[TotalMiles]]</f>
        <v>9.112676056338028</v>
      </c>
      <c r="T243" s="26">
        <f>data[[#This Row],[Revenue]]-data[[#This Row],[ShippingCost]]</f>
        <v>100</v>
      </c>
      <c r="U243" s="17">
        <v>3882</v>
      </c>
      <c r="V243" s="17">
        <v>55</v>
      </c>
      <c r="W243" s="17" t="s">
        <v>68</v>
      </c>
      <c r="X243" s="17">
        <v>6</v>
      </c>
      <c r="Y243" s="17">
        <f>data[[#This Row],[DeliveryDate]]-data[[#This Row],[ShipDate]]</f>
        <v>8</v>
      </c>
      <c r="Z243" s="17" t="str">
        <f>IF(data[[#This Row],[Actual Delivery Days]]&gt;AD244,"Yes","No")</f>
        <v>Yes</v>
      </c>
    </row>
    <row r="244" spans="1:26">
      <c r="A244" s="17">
        <v>10295</v>
      </c>
      <c r="B244" s="17">
        <v>2</v>
      </c>
      <c r="C244" s="17">
        <v>6</v>
      </c>
      <c r="D244" s="17" t="s">
        <v>73</v>
      </c>
      <c r="E244" s="17" t="s">
        <v>70</v>
      </c>
      <c r="F244" s="17" t="str">
        <f>TEXT(data[[#This Row],[ShipDate]],"yyyy - mmmm")</f>
        <v>2016 - January</v>
      </c>
      <c r="G244" s="17" t="str">
        <f>data[[#This Row],[OriginCity]] &amp; " - "  &amp; data[[#This Row],[DestinationCity]]</f>
        <v>Chicago - Rockford</v>
      </c>
      <c r="H244" s="17" t="s">
        <v>39</v>
      </c>
      <c r="I244" s="17" t="s">
        <v>31</v>
      </c>
      <c r="J244" s="17">
        <v>8</v>
      </c>
      <c r="K244" s="17" t="s">
        <v>40</v>
      </c>
      <c r="L244" s="17" t="s">
        <v>31</v>
      </c>
      <c r="M244" s="17" t="s">
        <v>264</v>
      </c>
      <c r="N244" s="17">
        <v>482</v>
      </c>
      <c r="O244" s="17">
        <v>217</v>
      </c>
      <c r="P244" s="26">
        <f>(data[[#This Row],[LoadedMiles]]/data[[#This Row],[TotalMiles]])*100</f>
        <v>45.020746887966808</v>
      </c>
      <c r="Q244" s="25">
        <f>data[[#This Row],[ShippingCost]]/data[[#This Row],[TotalMiles]]</f>
        <v>6.2385892116182573</v>
      </c>
      <c r="R244" s="17">
        <v>3007</v>
      </c>
      <c r="S244" s="25">
        <f>data[[#This Row],[Revenue]]/data[[#This Row],[TotalMiles]]</f>
        <v>7.7489626556016598</v>
      </c>
      <c r="T244" s="26">
        <f>data[[#This Row],[Revenue]]-data[[#This Row],[ShippingCost]]</f>
        <v>728</v>
      </c>
      <c r="U244" s="17">
        <v>3735</v>
      </c>
      <c r="V244" s="17">
        <v>85</v>
      </c>
      <c r="W244" s="17" t="s">
        <v>68</v>
      </c>
      <c r="X244" s="17">
        <v>9</v>
      </c>
      <c r="Y244" s="17">
        <f>data[[#This Row],[DeliveryDate]]-data[[#This Row],[ShipDate]]</f>
        <v>6</v>
      </c>
      <c r="Z244" s="17" t="str">
        <f>IF(data[[#This Row],[Actual Delivery Days]]&gt;AD245,"Yes","No")</f>
        <v>Yes</v>
      </c>
    </row>
    <row r="245" spans="1:26">
      <c r="A245" s="17">
        <v>10306</v>
      </c>
      <c r="B245" s="17">
        <v>2</v>
      </c>
      <c r="C245" s="17">
        <v>6</v>
      </c>
      <c r="D245" s="17" t="s">
        <v>115</v>
      </c>
      <c r="E245" s="17" t="s">
        <v>283</v>
      </c>
      <c r="F245" s="17" t="str">
        <f>TEXT(data[[#This Row],[ShipDate]],"yyyy - mmmm")</f>
        <v>2016 - June</v>
      </c>
      <c r="G245" s="17" t="str">
        <f>data[[#This Row],[OriginCity]] &amp; " - "  &amp; data[[#This Row],[DestinationCity]]</f>
        <v>Cincinnati - Gary</v>
      </c>
      <c r="H245" s="17" t="s">
        <v>89</v>
      </c>
      <c r="I245" s="17" t="s">
        <v>23</v>
      </c>
      <c r="J245" s="17">
        <v>8</v>
      </c>
      <c r="K245" s="17" t="s">
        <v>57</v>
      </c>
      <c r="L245" s="17" t="s">
        <v>44</v>
      </c>
      <c r="M245" s="17" t="s">
        <v>316</v>
      </c>
      <c r="N245" s="17">
        <v>1116</v>
      </c>
      <c r="O245" s="17">
        <v>388</v>
      </c>
      <c r="P245" s="26">
        <f>(data[[#This Row],[LoadedMiles]]/data[[#This Row],[TotalMiles]])*100</f>
        <v>34.767025089605738</v>
      </c>
      <c r="Q245" s="25">
        <f>data[[#This Row],[ShippingCost]]/data[[#This Row],[TotalMiles]]</f>
        <v>3.7141577060931898</v>
      </c>
      <c r="R245" s="17">
        <v>4145</v>
      </c>
      <c r="S245" s="25">
        <f>data[[#This Row],[Revenue]]/data[[#This Row],[TotalMiles]]</f>
        <v>4.1863799283154126</v>
      </c>
      <c r="T245" s="26">
        <f>data[[#This Row],[Revenue]]-data[[#This Row],[ShippingCost]]</f>
        <v>527</v>
      </c>
      <c r="U245" s="17">
        <v>4672</v>
      </c>
      <c r="V245" s="17">
        <v>84</v>
      </c>
      <c r="W245" s="17" t="s">
        <v>68</v>
      </c>
      <c r="X245" s="17">
        <v>1</v>
      </c>
      <c r="Y245" s="17">
        <f>data[[#This Row],[DeliveryDate]]-data[[#This Row],[ShipDate]]</f>
        <v>8</v>
      </c>
      <c r="Z245" s="17" t="str">
        <f>IF(data[[#This Row],[Actual Delivery Days]]&gt;AD246,"Yes","No")</f>
        <v>Yes</v>
      </c>
    </row>
    <row r="246" spans="1:26">
      <c r="A246" s="17">
        <v>10325</v>
      </c>
      <c r="B246" s="17">
        <v>2</v>
      </c>
      <c r="C246" s="17">
        <v>8</v>
      </c>
      <c r="D246" s="17" t="s">
        <v>173</v>
      </c>
      <c r="E246" s="17" t="s">
        <v>144</v>
      </c>
      <c r="F246" s="17" t="str">
        <f>TEXT(data[[#This Row],[ShipDate]],"yyyy - mmmm")</f>
        <v>2016 - July</v>
      </c>
      <c r="G246" s="17" t="str">
        <f>data[[#This Row],[OriginCity]] &amp; " - "  &amp; data[[#This Row],[DestinationCity]]</f>
        <v>Rockford - Green Bay</v>
      </c>
      <c r="H246" s="17" t="s">
        <v>40</v>
      </c>
      <c r="I246" s="17" t="s">
        <v>31</v>
      </c>
      <c r="J246" s="17">
        <v>8</v>
      </c>
      <c r="K246" s="17" t="s">
        <v>75</v>
      </c>
      <c r="L246" s="17" t="s">
        <v>29</v>
      </c>
      <c r="M246" s="17" t="s">
        <v>82</v>
      </c>
      <c r="N246" s="17">
        <v>208</v>
      </c>
      <c r="O246" s="17">
        <v>208</v>
      </c>
      <c r="P246" s="26">
        <f>(data[[#This Row],[LoadedMiles]]/data[[#This Row],[TotalMiles]])*100</f>
        <v>100</v>
      </c>
      <c r="Q246" s="25">
        <f>data[[#This Row],[ShippingCost]]/data[[#This Row],[TotalMiles]]</f>
        <v>35.79807692307692</v>
      </c>
      <c r="R246" s="17">
        <v>7446</v>
      </c>
      <c r="S246" s="25">
        <f>data[[#This Row],[Revenue]]/data[[#This Row],[TotalMiles]]</f>
        <v>37.778846153846153</v>
      </c>
      <c r="T246" s="26">
        <f>data[[#This Row],[Revenue]]-data[[#This Row],[ShippingCost]]</f>
        <v>412</v>
      </c>
      <c r="U246" s="17">
        <v>7858</v>
      </c>
      <c r="V246" s="17">
        <v>85</v>
      </c>
      <c r="W246" s="17" t="s">
        <v>68</v>
      </c>
      <c r="X246" s="17">
        <v>9</v>
      </c>
      <c r="Y246" s="17">
        <f>data[[#This Row],[DeliveryDate]]-data[[#This Row],[ShipDate]]</f>
        <v>-124</v>
      </c>
      <c r="Z246" s="17" t="str">
        <f>IF(data[[#This Row],[Actual Delivery Days]]&gt;AD247,"Yes","No")</f>
        <v>No</v>
      </c>
    </row>
    <row r="247" spans="1:26">
      <c r="A247" s="17">
        <v>10339</v>
      </c>
      <c r="B247" s="17">
        <v>1</v>
      </c>
      <c r="C247" s="17">
        <v>5</v>
      </c>
      <c r="D247" s="17" t="s">
        <v>210</v>
      </c>
      <c r="E247" s="17" t="s">
        <v>32</v>
      </c>
      <c r="F247" s="17" t="str">
        <f>TEXT(data[[#This Row],[ShipDate]],"yyyy - mmmm")</f>
        <v>2016 - May</v>
      </c>
      <c r="G247" s="17" t="str">
        <f>data[[#This Row],[OriginCity]] &amp; " - "  &amp; data[[#This Row],[DestinationCity]]</f>
        <v>Northbrook - Naperville</v>
      </c>
      <c r="H247" s="17" t="s">
        <v>45</v>
      </c>
      <c r="I247" s="17" t="s">
        <v>31</v>
      </c>
      <c r="J247" s="17">
        <v>8</v>
      </c>
      <c r="K247" s="17" t="s">
        <v>48</v>
      </c>
      <c r="L247" s="17" t="s">
        <v>31</v>
      </c>
      <c r="M247" s="17" t="s">
        <v>344</v>
      </c>
      <c r="N247" s="17">
        <v>1002</v>
      </c>
      <c r="O247" s="17">
        <v>778</v>
      </c>
      <c r="P247" s="26">
        <f>(data[[#This Row],[LoadedMiles]]/data[[#This Row],[TotalMiles]])*100</f>
        <v>77.644710578842307</v>
      </c>
      <c r="Q247" s="25">
        <f>data[[#This Row],[ShippingCost]]/data[[#This Row],[TotalMiles]]</f>
        <v>0.32335329341317365</v>
      </c>
      <c r="R247" s="17">
        <v>324</v>
      </c>
      <c r="S247" s="25">
        <f>data[[#This Row],[Revenue]]/data[[#This Row],[TotalMiles]]</f>
        <v>0.75349301397205593</v>
      </c>
      <c r="T247" s="26">
        <f>data[[#This Row],[Revenue]]-data[[#This Row],[ShippingCost]]</f>
        <v>431</v>
      </c>
      <c r="U247" s="17">
        <v>755</v>
      </c>
      <c r="V247" s="17">
        <v>93</v>
      </c>
      <c r="W247" s="17" t="s">
        <v>68</v>
      </c>
      <c r="X247" s="17">
        <v>1</v>
      </c>
      <c r="Y247" s="17">
        <f>data[[#This Row],[DeliveryDate]]-data[[#This Row],[ShipDate]]</f>
        <v>8</v>
      </c>
      <c r="Z247" s="17" t="str">
        <f>IF(data[[#This Row],[Actual Delivery Days]]&gt;AD248,"Yes","No")</f>
        <v>Yes</v>
      </c>
    </row>
    <row r="248" spans="1:26">
      <c r="A248" s="17">
        <v>10343</v>
      </c>
      <c r="B248" s="17">
        <v>2</v>
      </c>
      <c r="C248" s="17">
        <v>5</v>
      </c>
      <c r="D248" s="17" t="s">
        <v>219</v>
      </c>
      <c r="E248" s="17" t="s">
        <v>424</v>
      </c>
      <c r="F248" s="17" t="str">
        <f>TEXT(data[[#This Row],[ShipDate]],"yyyy - mmmm")</f>
        <v>2016 - January</v>
      </c>
      <c r="G248" s="17" t="str">
        <f>data[[#This Row],[OriginCity]] &amp; " - "  &amp; data[[#This Row],[DestinationCity]]</f>
        <v>Monon - Lansing</v>
      </c>
      <c r="H248" s="17" t="s">
        <v>53</v>
      </c>
      <c r="I248" s="17" t="s">
        <v>44</v>
      </c>
      <c r="J248" s="17">
        <v>8</v>
      </c>
      <c r="K248" s="17" t="s">
        <v>66</v>
      </c>
      <c r="L248" s="17" t="s">
        <v>21</v>
      </c>
      <c r="M248" s="17" t="s">
        <v>82</v>
      </c>
      <c r="N248" s="17">
        <v>944</v>
      </c>
      <c r="O248" s="17">
        <v>702</v>
      </c>
      <c r="P248" s="26">
        <f>(data[[#This Row],[LoadedMiles]]/data[[#This Row],[TotalMiles]])*100</f>
        <v>74.364406779661024</v>
      </c>
      <c r="Q248" s="25">
        <f>data[[#This Row],[ShippingCost]]/data[[#This Row],[TotalMiles]]</f>
        <v>1.465042372881356</v>
      </c>
      <c r="R248" s="17">
        <v>1383</v>
      </c>
      <c r="S248" s="25">
        <f>data[[#This Row],[Revenue]]/data[[#This Row],[TotalMiles]]</f>
        <v>2.0847457627118646</v>
      </c>
      <c r="T248" s="26">
        <f>data[[#This Row],[Revenue]]-data[[#This Row],[ShippingCost]]</f>
        <v>585</v>
      </c>
      <c r="U248" s="17">
        <v>1968</v>
      </c>
      <c r="V248" s="17">
        <v>77</v>
      </c>
      <c r="W248" s="17" t="s">
        <v>68</v>
      </c>
      <c r="X248" s="17">
        <v>4</v>
      </c>
      <c r="Y248" s="17">
        <f>data[[#This Row],[DeliveryDate]]-data[[#This Row],[ShipDate]]</f>
        <v>68</v>
      </c>
      <c r="Z248" s="17" t="str">
        <f>IF(data[[#This Row],[Actual Delivery Days]]&gt;AD249,"Yes","No")</f>
        <v>Yes</v>
      </c>
    </row>
    <row r="249" spans="1:26">
      <c r="A249" s="17">
        <v>10348</v>
      </c>
      <c r="B249" s="17">
        <v>1</v>
      </c>
      <c r="C249" s="17">
        <v>8</v>
      </c>
      <c r="D249" s="17" t="s">
        <v>230</v>
      </c>
      <c r="E249" s="17" t="s">
        <v>224</v>
      </c>
      <c r="F249" s="17" t="str">
        <f>TEXT(data[[#This Row],[ShipDate]],"yyyy - mmmm")</f>
        <v>2016 - May</v>
      </c>
      <c r="G249" s="17" t="str">
        <f>data[[#This Row],[OriginCity]] &amp; " - "  &amp; data[[#This Row],[DestinationCity]]</f>
        <v>Appleton - Grand Rapids</v>
      </c>
      <c r="H249" s="17" t="s">
        <v>85</v>
      </c>
      <c r="I249" s="17" t="s">
        <v>29</v>
      </c>
      <c r="J249" s="17">
        <v>8</v>
      </c>
      <c r="K249" s="17" t="s">
        <v>20</v>
      </c>
      <c r="L249" s="17" t="s">
        <v>21</v>
      </c>
      <c r="M249" s="17" t="s">
        <v>350</v>
      </c>
      <c r="N249" s="17">
        <v>1117</v>
      </c>
      <c r="O249" s="17">
        <v>743</v>
      </c>
      <c r="P249" s="26">
        <f>(data[[#This Row],[LoadedMiles]]/data[[#This Row],[TotalMiles]])*100</f>
        <v>66.517457475380482</v>
      </c>
      <c r="Q249" s="25">
        <f>data[[#This Row],[ShippingCost]]/data[[#This Row],[TotalMiles]]</f>
        <v>0.69561324977618622</v>
      </c>
      <c r="R249" s="17">
        <v>777</v>
      </c>
      <c r="S249" s="25">
        <f>data[[#This Row],[Revenue]]/data[[#This Row],[TotalMiles]]</f>
        <v>1.2506714413607878</v>
      </c>
      <c r="T249" s="26">
        <f>data[[#This Row],[Revenue]]-data[[#This Row],[ShippingCost]]</f>
        <v>620</v>
      </c>
      <c r="U249" s="17">
        <v>1397</v>
      </c>
      <c r="V249" s="17">
        <v>53</v>
      </c>
      <c r="W249" s="17" t="s">
        <v>68</v>
      </c>
      <c r="X249" s="17">
        <v>7</v>
      </c>
      <c r="Y249" s="17">
        <f>data[[#This Row],[DeliveryDate]]-data[[#This Row],[ShipDate]]</f>
        <v>7</v>
      </c>
      <c r="Z249" s="17" t="str">
        <f>IF(data[[#This Row],[Actual Delivery Days]]&gt;AD250,"Yes","No")</f>
        <v>Yes</v>
      </c>
    </row>
    <row r="250" spans="1:26">
      <c r="A250" s="17">
        <v>10360</v>
      </c>
      <c r="B250" s="17">
        <v>2</v>
      </c>
      <c r="C250" s="17">
        <v>6</v>
      </c>
      <c r="D250" s="17" t="s">
        <v>260</v>
      </c>
      <c r="E250" s="17" t="s">
        <v>386</v>
      </c>
      <c r="F250" s="17" t="str">
        <f>TEXT(data[[#This Row],[ShipDate]],"yyyy - mmmm")</f>
        <v>2016 - July</v>
      </c>
      <c r="G250" s="17" t="str">
        <f>data[[#This Row],[OriginCity]] &amp; " - "  &amp; data[[#This Row],[DestinationCity]]</f>
        <v>Northbrook - Naperville</v>
      </c>
      <c r="H250" s="17" t="s">
        <v>45</v>
      </c>
      <c r="I250" s="17" t="s">
        <v>31</v>
      </c>
      <c r="J250" s="17">
        <v>8</v>
      </c>
      <c r="K250" s="17" t="s">
        <v>48</v>
      </c>
      <c r="L250" s="17" t="s">
        <v>31</v>
      </c>
      <c r="M250" s="17" t="s">
        <v>82</v>
      </c>
      <c r="N250" s="17">
        <v>283</v>
      </c>
      <c r="O250" s="17">
        <v>274</v>
      </c>
      <c r="P250" s="26">
        <f>(data[[#This Row],[LoadedMiles]]/data[[#This Row],[TotalMiles]])*100</f>
        <v>96.81978798586573</v>
      </c>
      <c r="Q250" s="25">
        <f>data[[#This Row],[ShippingCost]]/data[[#This Row],[TotalMiles]]</f>
        <v>10.76678445229682</v>
      </c>
      <c r="R250" s="17">
        <v>3047</v>
      </c>
      <c r="S250" s="25">
        <f>data[[#This Row],[Revenue]]/data[[#This Row],[TotalMiles]]</f>
        <v>13.678445229681978</v>
      </c>
      <c r="T250" s="26">
        <f>data[[#This Row],[Revenue]]-data[[#This Row],[ShippingCost]]</f>
        <v>824</v>
      </c>
      <c r="U250" s="17">
        <v>3871</v>
      </c>
      <c r="V250" s="17">
        <v>53</v>
      </c>
      <c r="W250" s="17" t="s">
        <v>68</v>
      </c>
      <c r="X250" s="17">
        <v>6</v>
      </c>
      <c r="Y250" s="17">
        <f>data[[#This Row],[DeliveryDate]]-data[[#This Row],[ShipDate]]</f>
        <v>-132</v>
      </c>
      <c r="Z250" s="17" t="str">
        <f>IF(data[[#This Row],[Actual Delivery Days]]&gt;AD251,"Yes","No")</f>
        <v>No</v>
      </c>
    </row>
    <row r="251" spans="1:26">
      <c r="A251" s="17">
        <v>10365</v>
      </c>
      <c r="B251" s="17">
        <v>1</v>
      </c>
      <c r="C251" s="17">
        <v>5</v>
      </c>
      <c r="D251" s="17" t="s">
        <v>269</v>
      </c>
      <c r="E251" s="17" t="s">
        <v>92</v>
      </c>
      <c r="F251" s="17" t="str">
        <f>TEXT(data[[#This Row],[ShipDate]],"yyyy - mmmm")</f>
        <v>2016 - February</v>
      </c>
      <c r="G251" s="17" t="str">
        <f>data[[#This Row],[OriginCity]] &amp; " - "  &amp; data[[#This Row],[DestinationCity]]</f>
        <v>Madison - Kalamazoo</v>
      </c>
      <c r="H251" s="17" t="s">
        <v>62</v>
      </c>
      <c r="I251" s="17" t="s">
        <v>29</v>
      </c>
      <c r="J251" s="17">
        <v>8</v>
      </c>
      <c r="K251" s="17" t="s">
        <v>71</v>
      </c>
      <c r="L251" s="17" t="s">
        <v>21</v>
      </c>
      <c r="M251" s="17" t="s">
        <v>521</v>
      </c>
      <c r="N251" s="17">
        <v>450</v>
      </c>
      <c r="O251" s="17">
        <v>341</v>
      </c>
      <c r="P251" s="26">
        <f>(data[[#This Row],[LoadedMiles]]/data[[#This Row],[TotalMiles]])*100</f>
        <v>75.777777777777771</v>
      </c>
      <c r="Q251" s="25">
        <f>data[[#This Row],[ShippingCost]]/data[[#This Row],[TotalMiles]]</f>
        <v>18.34</v>
      </c>
      <c r="R251" s="17">
        <v>8253</v>
      </c>
      <c r="S251" s="25">
        <f>data[[#This Row],[Revenue]]/data[[#This Row],[TotalMiles]]</f>
        <v>18.897777777777776</v>
      </c>
      <c r="T251" s="26">
        <f>data[[#This Row],[Revenue]]-data[[#This Row],[ShippingCost]]</f>
        <v>251</v>
      </c>
      <c r="U251" s="17">
        <v>8504</v>
      </c>
      <c r="V251" s="17">
        <v>60</v>
      </c>
      <c r="W251" s="17" t="s">
        <v>68</v>
      </c>
      <c r="X251" s="17">
        <v>8</v>
      </c>
      <c r="Y251" s="17">
        <f>data[[#This Row],[DeliveryDate]]-data[[#This Row],[ShipDate]]</f>
        <v>7</v>
      </c>
      <c r="Z251" s="17" t="str">
        <f>IF(data[[#This Row],[Actual Delivery Days]]&gt;AD252,"Yes","No")</f>
        <v>Yes</v>
      </c>
    </row>
    <row r="252" spans="1:26">
      <c r="A252" s="17">
        <v>10378</v>
      </c>
      <c r="B252" s="17">
        <v>2</v>
      </c>
      <c r="C252" s="17">
        <v>6</v>
      </c>
      <c r="D252" s="17" t="s">
        <v>294</v>
      </c>
      <c r="E252" s="17" t="s">
        <v>42</v>
      </c>
      <c r="F252" s="17" t="str">
        <f>TEXT(data[[#This Row],[ShipDate]],"yyyy - mmmm")</f>
        <v>2016 - May</v>
      </c>
      <c r="G252" s="17" t="str">
        <f>data[[#This Row],[OriginCity]] &amp; " - "  &amp; data[[#This Row],[DestinationCity]]</f>
        <v>Davenport - Appleton</v>
      </c>
      <c r="H252" s="17" t="s">
        <v>105</v>
      </c>
      <c r="I252" s="17" t="s">
        <v>106</v>
      </c>
      <c r="J252" s="17">
        <v>8</v>
      </c>
      <c r="K252" s="17" t="s">
        <v>85</v>
      </c>
      <c r="L252" s="17" t="s">
        <v>29</v>
      </c>
      <c r="M252" s="17" t="s">
        <v>509</v>
      </c>
      <c r="N252" s="17">
        <v>222</v>
      </c>
      <c r="O252" s="17">
        <v>222</v>
      </c>
      <c r="P252" s="26">
        <f>(data[[#This Row],[LoadedMiles]]/data[[#This Row],[TotalMiles]])*100</f>
        <v>100</v>
      </c>
      <c r="Q252" s="25">
        <f>data[[#This Row],[ShippingCost]]/data[[#This Row],[TotalMiles]]</f>
        <v>30.121621621621621</v>
      </c>
      <c r="R252" s="17">
        <v>6687</v>
      </c>
      <c r="S252" s="25">
        <f>data[[#This Row],[Revenue]]/data[[#This Row],[TotalMiles]]</f>
        <v>33.373873873873876</v>
      </c>
      <c r="T252" s="26">
        <f>data[[#This Row],[Revenue]]-data[[#This Row],[ShippingCost]]</f>
        <v>722</v>
      </c>
      <c r="U252" s="17">
        <v>7409</v>
      </c>
      <c r="V252" s="17">
        <v>76</v>
      </c>
      <c r="W252" s="17" t="s">
        <v>68</v>
      </c>
      <c r="X252" s="17">
        <v>10</v>
      </c>
      <c r="Y252" s="17">
        <f>data[[#This Row],[DeliveryDate]]-data[[#This Row],[ShipDate]]</f>
        <v>8</v>
      </c>
      <c r="Z252" s="17" t="str">
        <f>IF(data[[#This Row],[Actual Delivery Days]]&gt;AD253,"Yes","No")</f>
        <v>Yes</v>
      </c>
    </row>
    <row r="253" spans="1:26">
      <c r="A253" s="17">
        <v>10417</v>
      </c>
      <c r="B253" s="17">
        <v>2</v>
      </c>
      <c r="C253" s="17">
        <v>6</v>
      </c>
      <c r="D253" s="17" t="s">
        <v>330</v>
      </c>
      <c r="E253" s="17" t="s">
        <v>199</v>
      </c>
      <c r="F253" s="17" t="str">
        <f>TEXT(data[[#This Row],[ShipDate]],"yyyy - mmmm")</f>
        <v>2016 - March</v>
      </c>
      <c r="G253" s="17" t="str">
        <f>data[[#This Row],[OriginCity]] &amp; " - "  &amp; data[[#This Row],[DestinationCity]]</f>
        <v>Cincinnati - Gary</v>
      </c>
      <c r="H253" s="17" t="s">
        <v>89</v>
      </c>
      <c r="I253" s="17" t="s">
        <v>23</v>
      </c>
      <c r="J253" s="17">
        <v>8</v>
      </c>
      <c r="K253" s="17" t="s">
        <v>57</v>
      </c>
      <c r="L253" s="17" t="s">
        <v>44</v>
      </c>
      <c r="M253" s="17" t="s">
        <v>121</v>
      </c>
      <c r="N253" s="17">
        <v>434</v>
      </c>
      <c r="O253" s="17">
        <v>206</v>
      </c>
      <c r="P253" s="26">
        <f>(data[[#This Row],[LoadedMiles]]/data[[#This Row],[TotalMiles]])*100</f>
        <v>47.465437788018434</v>
      </c>
      <c r="Q253" s="25">
        <f>data[[#This Row],[ShippingCost]]/data[[#This Row],[TotalMiles]]</f>
        <v>7.2142857142857144</v>
      </c>
      <c r="R253" s="17">
        <v>3131</v>
      </c>
      <c r="S253" s="25">
        <f>data[[#This Row],[Revenue]]/data[[#This Row],[TotalMiles]]</f>
        <v>8.4838709677419359</v>
      </c>
      <c r="T253" s="26">
        <f>data[[#This Row],[Revenue]]-data[[#This Row],[ShippingCost]]</f>
        <v>551</v>
      </c>
      <c r="U253" s="17">
        <v>3682</v>
      </c>
      <c r="V253" s="17">
        <v>97</v>
      </c>
      <c r="W253" s="17" t="s">
        <v>68</v>
      </c>
      <c r="X253" s="17">
        <v>6</v>
      </c>
      <c r="Y253" s="17">
        <f>data[[#This Row],[DeliveryDate]]-data[[#This Row],[ShipDate]]</f>
        <v>8</v>
      </c>
      <c r="Z253" s="17" t="str">
        <f>IF(data[[#This Row],[Actual Delivery Days]]&gt;AD254,"Yes","No")</f>
        <v>Yes</v>
      </c>
    </row>
    <row r="254" spans="1:26">
      <c r="A254" s="17">
        <v>10419</v>
      </c>
      <c r="B254" s="17">
        <v>2</v>
      </c>
      <c r="C254" s="17">
        <v>5</v>
      </c>
      <c r="D254" s="17" t="s">
        <v>364</v>
      </c>
      <c r="E254" s="17" t="s">
        <v>171</v>
      </c>
      <c r="F254" s="17" t="str">
        <f>TEXT(data[[#This Row],[ShipDate]],"yyyy - mmmm")</f>
        <v>2016 - April</v>
      </c>
      <c r="G254" s="17" t="str">
        <f>data[[#This Row],[OriginCity]] &amp; " - "  &amp; data[[#This Row],[DestinationCity]]</f>
        <v>Toledo - Detriot</v>
      </c>
      <c r="H254" s="17" t="s">
        <v>22</v>
      </c>
      <c r="I254" s="17" t="s">
        <v>23</v>
      </c>
      <c r="J254" s="17">
        <v>8</v>
      </c>
      <c r="K254" s="17" t="s">
        <v>52</v>
      </c>
      <c r="L254" s="17" t="s">
        <v>21</v>
      </c>
      <c r="M254" s="17" t="s">
        <v>82</v>
      </c>
      <c r="N254" s="17">
        <v>865</v>
      </c>
      <c r="O254" s="17">
        <v>238</v>
      </c>
      <c r="P254" s="26">
        <f>(data[[#This Row],[LoadedMiles]]/data[[#This Row],[TotalMiles]])*100</f>
        <v>27.51445086705202</v>
      </c>
      <c r="Q254" s="25">
        <f>data[[#This Row],[ShippingCost]]/data[[#This Row],[TotalMiles]]</f>
        <v>2.8786127167630058</v>
      </c>
      <c r="R254" s="17">
        <v>2490</v>
      </c>
      <c r="S254" s="25">
        <f>data[[#This Row],[Revenue]]/data[[#This Row],[TotalMiles]]</f>
        <v>3.0867052023121389</v>
      </c>
      <c r="T254" s="26">
        <f>data[[#This Row],[Revenue]]-data[[#This Row],[ShippingCost]]</f>
        <v>180</v>
      </c>
      <c r="U254" s="17">
        <v>2670</v>
      </c>
      <c r="V254" s="17">
        <v>71</v>
      </c>
      <c r="W254" s="17" t="s">
        <v>68</v>
      </c>
      <c r="X254" s="17">
        <v>5</v>
      </c>
      <c r="Y254" s="17">
        <f>data[[#This Row],[DeliveryDate]]-data[[#This Row],[ShipDate]]</f>
        <v>-33</v>
      </c>
      <c r="Z254" s="17" t="str">
        <f>IF(data[[#This Row],[Actual Delivery Days]]&gt;AD255,"Yes","No")</f>
        <v>No</v>
      </c>
    </row>
    <row r="255" spans="1:26">
      <c r="A255" s="17">
        <v>10453</v>
      </c>
      <c r="B255" s="17">
        <v>2</v>
      </c>
      <c r="C255" s="17">
        <v>8</v>
      </c>
      <c r="D255" s="17" t="s">
        <v>425</v>
      </c>
      <c r="E255" s="17" t="s">
        <v>156</v>
      </c>
      <c r="F255" s="17" t="str">
        <f>TEXT(data[[#This Row],[ShipDate]],"yyyy - mmmm")</f>
        <v>2016 - July</v>
      </c>
      <c r="G255" s="17" t="str">
        <f>data[[#This Row],[OriginCity]] &amp; " - "  &amp; data[[#This Row],[DestinationCity]]</f>
        <v>Gary - Milwaukee</v>
      </c>
      <c r="H255" s="17" t="s">
        <v>57</v>
      </c>
      <c r="I255" s="17" t="s">
        <v>44</v>
      </c>
      <c r="J255" s="17">
        <v>8</v>
      </c>
      <c r="K255" s="17" t="s">
        <v>28</v>
      </c>
      <c r="L255" s="17" t="s">
        <v>29</v>
      </c>
      <c r="M255" s="17" t="s">
        <v>183</v>
      </c>
      <c r="N255" s="17">
        <v>516</v>
      </c>
      <c r="O255" s="17">
        <v>516</v>
      </c>
      <c r="P255" s="26">
        <f>(data[[#This Row],[LoadedMiles]]/data[[#This Row],[TotalMiles]])*100</f>
        <v>100</v>
      </c>
      <c r="Q255" s="25">
        <f>data[[#This Row],[ShippingCost]]/data[[#This Row],[TotalMiles]]</f>
        <v>10.883720930232558</v>
      </c>
      <c r="R255" s="17">
        <v>5616</v>
      </c>
      <c r="S255" s="25">
        <f>data[[#This Row],[Revenue]]/data[[#This Row],[TotalMiles]]</f>
        <v>12.356589147286822</v>
      </c>
      <c r="T255" s="26">
        <f>data[[#This Row],[Revenue]]-data[[#This Row],[ShippingCost]]</f>
        <v>760</v>
      </c>
      <c r="U255" s="17">
        <v>6376</v>
      </c>
      <c r="V255" s="17">
        <v>57</v>
      </c>
      <c r="W255" s="17" t="s">
        <v>68</v>
      </c>
      <c r="X255" s="17">
        <v>6</v>
      </c>
      <c r="Y255" s="17">
        <f>data[[#This Row],[DeliveryDate]]-data[[#This Row],[ShipDate]]</f>
        <v>8</v>
      </c>
      <c r="Z255" s="17" t="str">
        <f>IF(data[[#This Row],[Actual Delivery Days]]&gt;AD256,"Yes","No")</f>
        <v>Yes</v>
      </c>
    </row>
    <row r="256" spans="1:26">
      <c r="A256" s="17">
        <v>10454</v>
      </c>
      <c r="B256" s="17">
        <v>1</v>
      </c>
      <c r="C256" s="17">
        <v>4</v>
      </c>
      <c r="D256" s="17" t="s">
        <v>427</v>
      </c>
      <c r="E256" s="17" t="s">
        <v>606</v>
      </c>
      <c r="F256" s="17" t="str">
        <f>TEXT(data[[#This Row],[ShipDate]],"yyyy - mmmm")</f>
        <v>2016 - May</v>
      </c>
      <c r="G256" s="17" t="str">
        <f>data[[#This Row],[OriginCity]] &amp; " - "  &amp; data[[#This Row],[DestinationCity]]</f>
        <v>Joliet - Madison</v>
      </c>
      <c r="H256" s="17" t="s">
        <v>61</v>
      </c>
      <c r="I256" s="17" t="s">
        <v>31</v>
      </c>
      <c r="J256" s="17">
        <v>8</v>
      </c>
      <c r="K256" s="17" t="s">
        <v>62</v>
      </c>
      <c r="L256" s="17" t="s">
        <v>29</v>
      </c>
      <c r="M256" s="17" t="s">
        <v>261</v>
      </c>
      <c r="N256" s="17">
        <v>552</v>
      </c>
      <c r="O256" s="17">
        <v>552</v>
      </c>
      <c r="P256" s="26">
        <f>(data[[#This Row],[LoadedMiles]]/data[[#This Row],[TotalMiles]])*100</f>
        <v>100</v>
      </c>
      <c r="Q256" s="25">
        <f>data[[#This Row],[ShippingCost]]/data[[#This Row],[TotalMiles]]</f>
        <v>6.7681159420289854</v>
      </c>
      <c r="R256" s="17">
        <v>3736</v>
      </c>
      <c r="S256" s="25">
        <f>data[[#This Row],[Revenue]]/data[[#This Row],[TotalMiles]]</f>
        <v>3.0398550724637681</v>
      </c>
      <c r="T256" s="26">
        <f>data[[#This Row],[Revenue]]-data[[#This Row],[ShippingCost]]</f>
        <v>-2058</v>
      </c>
      <c r="U256" s="17">
        <v>1678</v>
      </c>
      <c r="V256" s="17">
        <v>74</v>
      </c>
      <c r="W256" s="17" t="s">
        <v>68</v>
      </c>
      <c r="X256" s="17">
        <v>3</v>
      </c>
      <c r="Y256" s="17">
        <f>data[[#This Row],[DeliveryDate]]-data[[#This Row],[ShipDate]]</f>
        <v>8</v>
      </c>
      <c r="Z256" s="17" t="str">
        <f>IF(data[[#This Row],[Actual Delivery Days]]&gt;AD257,"Yes","No")</f>
        <v>Yes</v>
      </c>
    </row>
    <row r="257" spans="1:26">
      <c r="A257" s="17">
        <v>10460</v>
      </c>
      <c r="B257" s="17">
        <v>1</v>
      </c>
      <c r="C257" s="17">
        <v>5</v>
      </c>
      <c r="D257" s="17" t="s">
        <v>434</v>
      </c>
      <c r="E257" s="17" t="s">
        <v>78</v>
      </c>
      <c r="F257" s="17" t="str">
        <f>TEXT(data[[#This Row],[ShipDate]],"yyyy - mmmm")</f>
        <v>2016 - June</v>
      </c>
      <c r="G257" s="17" t="str">
        <f>data[[#This Row],[OriginCity]] &amp; " - "  &amp; data[[#This Row],[DestinationCity]]</f>
        <v>Appleton - Grand Rapids</v>
      </c>
      <c r="H257" s="17" t="s">
        <v>85</v>
      </c>
      <c r="I257" s="17" t="s">
        <v>29</v>
      </c>
      <c r="J257" s="17">
        <v>8</v>
      </c>
      <c r="K257" s="17" t="s">
        <v>20</v>
      </c>
      <c r="L257" s="17" t="s">
        <v>21</v>
      </c>
      <c r="M257" s="17" t="s">
        <v>278</v>
      </c>
      <c r="N257" s="17">
        <v>1195</v>
      </c>
      <c r="O257" s="17">
        <v>586</v>
      </c>
      <c r="P257" s="26">
        <f>(data[[#This Row],[LoadedMiles]]/data[[#This Row],[TotalMiles]])*100</f>
        <v>49.037656903765694</v>
      </c>
      <c r="Q257" s="25">
        <f>data[[#This Row],[ShippingCost]]/data[[#This Row],[TotalMiles]]</f>
        <v>4.2987447698744772</v>
      </c>
      <c r="R257" s="17">
        <v>5137</v>
      </c>
      <c r="S257" s="25">
        <f>data[[#This Row],[Revenue]]/data[[#This Row],[TotalMiles]]</f>
        <v>4.5221757322175735</v>
      </c>
      <c r="T257" s="26">
        <f>data[[#This Row],[Revenue]]-data[[#This Row],[ShippingCost]]</f>
        <v>267</v>
      </c>
      <c r="U257" s="17">
        <v>5404</v>
      </c>
      <c r="V257" s="17">
        <v>79</v>
      </c>
      <c r="W257" s="17" t="s">
        <v>68</v>
      </c>
      <c r="X257" s="17">
        <v>6</v>
      </c>
      <c r="Y257" s="17">
        <f>data[[#This Row],[DeliveryDate]]-data[[#This Row],[ShipDate]]</f>
        <v>6</v>
      </c>
      <c r="Z257" s="17" t="str">
        <f>IF(data[[#This Row],[Actual Delivery Days]]&gt;AD258,"Yes","No")</f>
        <v>Yes</v>
      </c>
    </row>
    <row r="258" spans="1:26">
      <c r="A258" s="17">
        <v>10532</v>
      </c>
      <c r="B258" s="17">
        <v>2</v>
      </c>
      <c r="C258" s="17">
        <v>8</v>
      </c>
      <c r="D258" s="17" t="s">
        <v>541</v>
      </c>
      <c r="E258" s="17" t="s">
        <v>405</v>
      </c>
      <c r="F258" s="17" t="str">
        <f>TEXT(data[[#This Row],[ShipDate]],"yyyy - mmmm")</f>
        <v>2016 - August</v>
      </c>
      <c r="G258" s="17" t="str">
        <f>data[[#This Row],[OriginCity]] &amp; " - "  &amp; data[[#This Row],[DestinationCity]]</f>
        <v>Kalamazoo - Bangor</v>
      </c>
      <c r="H258" s="17" t="s">
        <v>71</v>
      </c>
      <c r="I258" s="17" t="s">
        <v>21</v>
      </c>
      <c r="J258" s="17">
        <v>8</v>
      </c>
      <c r="K258" s="17" t="s">
        <v>104</v>
      </c>
      <c r="L258" s="17" t="s">
        <v>21</v>
      </c>
      <c r="M258" s="17" t="s">
        <v>387</v>
      </c>
      <c r="N258" s="17">
        <v>1168</v>
      </c>
      <c r="O258" s="17">
        <v>466</v>
      </c>
      <c r="P258" s="26">
        <f>(data[[#This Row],[LoadedMiles]]/data[[#This Row],[TotalMiles]])*100</f>
        <v>39.897260273972599</v>
      </c>
      <c r="Q258" s="25">
        <f>data[[#This Row],[ShippingCost]]/data[[#This Row],[TotalMiles]]</f>
        <v>2.235445205479452</v>
      </c>
      <c r="R258" s="17">
        <v>2611</v>
      </c>
      <c r="S258" s="25">
        <f>data[[#This Row],[Revenue]]/data[[#This Row],[TotalMiles]]</f>
        <v>2.9606164383561642</v>
      </c>
      <c r="T258" s="26">
        <f>data[[#This Row],[Revenue]]-data[[#This Row],[ShippingCost]]</f>
        <v>847</v>
      </c>
      <c r="U258" s="17">
        <v>3458</v>
      </c>
      <c r="V258" s="17">
        <v>57</v>
      </c>
      <c r="W258" s="17" t="s">
        <v>68</v>
      </c>
      <c r="X258" s="17">
        <v>1</v>
      </c>
      <c r="Y258" s="17">
        <f>data[[#This Row],[DeliveryDate]]-data[[#This Row],[ShipDate]]</f>
        <v>7</v>
      </c>
      <c r="Z258" s="17" t="str">
        <f>IF(data[[#This Row],[Actual Delivery Days]]&gt;AD259,"Yes","No")</f>
        <v>Yes</v>
      </c>
    </row>
    <row r="259" spans="1:26">
      <c r="A259" s="17">
        <v>10543</v>
      </c>
      <c r="B259" s="17">
        <v>1</v>
      </c>
      <c r="C259" s="17">
        <v>5</v>
      </c>
      <c r="D259" s="17" t="s">
        <v>557</v>
      </c>
      <c r="E259" s="17" t="s">
        <v>38</v>
      </c>
      <c r="F259" s="17" t="str">
        <f>TEXT(data[[#This Row],[ShipDate]],"yyyy - mmmm")</f>
        <v>2016 - August</v>
      </c>
      <c r="G259" s="17" t="str">
        <f>data[[#This Row],[OriginCity]] &amp; " - "  &amp; data[[#This Row],[DestinationCity]]</f>
        <v>Naperville - Indianapolis</v>
      </c>
      <c r="H259" s="17" t="s">
        <v>48</v>
      </c>
      <c r="I259" s="17" t="s">
        <v>31</v>
      </c>
      <c r="J259" s="17">
        <v>8</v>
      </c>
      <c r="K259" s="17" t="s">
        <v>43</v>
      </c>
      <c r="L259" s="17" t="s">
        <v>44</v>
      </c>
      <c r="M259" s="17" t="s">
        <v>339</v>
      </c>
      <c r="N259" s="17">
        <v>859</v>
      </c>
      <c r="O259" s="17">
        <v>730</v>
      </c>
      <c r="P259" s="26">
        <f>(data[[#This Row],[LoadedMiles]]/data[[#This Row],[TotalMiles]])*100</f>
        <v>84.982537834691513</v>
      </c>
      <c r="Q259" s="25">
        <f>data[[#This Row],[ShippingCost]]/data[[#This Row],[TotalMiles]]</f>
        <v>6.8731082654249125</v>
      </c>
      <c r="R259" s="17">
        <v>5904</v>
      </c>
      <c r="S259" s="25">
        <f>data[[#This Row],[Revenue]]/data[[#This Row],[TotalMiles]]</f>
        <v>7.6006984866123402</v>
      </c>
      <c r="T259" s="26">
        <f>data[[#This Row],[Revenue]]-data[[#This Row],[ShippingCost]]</f>
        <v>625</v>
      </c>
      <c r="U259" s="17">
        <v>6529</v>
      </c>
      <c r="V259" s="17">
        <v>50</v>
      </c>
      <c r="W259" s="17" t="s">
        <v>68</v>
      </c>
      <c r="X259" s="17">
        <v>10</v>
      </c>
      <c r="Y259" s="17">
        <f>data[[#This Row],[DeliveryDate]]-data[[#This Row],[ShipDate]]</f>
        <v>8</v>
      </c>
      <c r="Z259" s="17" t="str">
        <f>IF(data[[#This Row],[Actual Delivery Days]]&gt;AD260,"Yes","No")</f>
        <v>Yes</v>
      </c>
    </row>
    <row r="260" spans="1:26">
      <c r="A260" s="17">
        <v>10562</v>
      </c>
      <c r="B260" s="17">
        <v>2</v>
      </c>
      <c r="C260" s="17">
        <v>7</v>
      </c>
      <c r="D260" s="17" t="s">
        <v>580</v>
      </c>
      <c r="E260" s="17" t="s">
        <v>122</v>
      </c>
      <c r="F260" s="17" t="str">
        <f>TEXT(data[[#This Row],[ShipDate]],"yyyy - mmmm")</f>
        <v>2016 - April</v>
      </c>
      <c r="G260" s="17" t="str">
        <f>data[[#This Row],[OriginCity]] &amp; " - "  &amp; data[[#This Row],[DestinationCity]]</f>
        <v>Monon - Lansing</v>
      </c>
      <c r="H260" s="17" t="s">
        <v>53</v>
      </c>
      <c r="I260" s="17" t="s">
        <v>44</v>
      </c>
      <c r="J260" s="17">
        <v>8</v>
      </c>
      <c r="K260" s="17" t="s">
        <v>66</v>
      </c>
      <c r="L260" s="17" t="s">
        <v>21</v>
      </c>
      <c r="M260" s="17" t="s">
        <v>82</v>
      </c>
      <c r="N260" s="17">
        <v>560</v>
      </c>
      <c r="O260" s="17">
        <v>560</v>
      </c>
      <c r="P260" s="26">
        <f>(data[[#This Row],[LoadedMiles]]/data[[#This Row],[TotalMiles]])*100</f>
        <v>100</v>
      </c>
      <c r="Q260" s="25">
        <f>data[[#This Row],[ShippingCost]]/data[[#This Row],[TotalMiles]]</f>
        <v>0.18035714285714285</v>
      </c>
      <c r="R260" s="17">
        <v>101</v>
      </c>
      <c r="S260" s="25">
        <f>data[[#This Row],[Revenue]]/data[[#This Row],[TotalMiles]]</f>
        <v>1.0249999999999999</v>
      </c>
      <c r="T260" s="26">
        <f>data[[#This Row],[Revenue]]-data[[#This Row],[ShippingCost]]</f>
        <v>473</v>
      </c>
      <c r="U260" s="17">
        <v>574</v>
      </c>
      <c r="V260" s="17">
        <v>63</v>
      </c>
      <c r="W260" s="17" t="s">
        <v>68</v>
      </c>
      <c r="X260" s="17">
        <v>5</v>
      </c>
      <c r="Y260" s="17">
        <f>data[[#This Row],[DeliveryDate]]-data[[#This Row],[ShipDate]]</f>
        <v>-16</v>
      </c>
      <c r="Z260" s="17" t="str">
        <f>IF(data[[#This Row],[Actual Delivery Days]]&gt;AD261,"Yes","No")</f>
        <v>No</v>
      </c>
    </row>
    <row r="261" spans="1:26">
      <c r="A261" s="17">
        <v>10568</v>
      </c>
      <c r="B261" s="17">
        <v>1</v>
      </c>
      <c r="C261" s="17">
        <v>8</v>
      </c>
      <c r="D261" s="17" t="s">
        <v>588</v>
      </c>
      <c r="E261" s="17" t="s">
        <v>606</v>
      </c>
      <c r="F261" s="17" t="str">
        <f>TEXT(data[[#This Row],[ShipDate]],"yyyy - mmmm")</f>
        <v>2016 - May</v>
      </c>
      <c r="G261" s="17" t="str">
        <f>data[[#This Row],[OriginCity]] &amp; " - "  &amp; data[[#This Row],[DestinationCity]]</f>
        <v>Cincinnati - Gary</v>
      </c>
      <c r="H261" s="17" t="s">
        <v>89</v>
      </c>
      <c r="I261" s="17" t="s">
        <v>23</v>
      </c>
      <c r="J261" s="17">
        <v>8</v>
      </c>
      <c r="K261" s="17" t="s">
        <v>57</v>
      </c>
      <c r="L261" s="17" t="s">
        <v>44</v>
      </c>
      <c r="M261" s="17" t="s">
        <v>218</v>
      </c>
      <c r="N261" s="17">
        <v>1175</v>
      </c>
      <c r="O261" s="17">
        <v>420</v>
      </c>
      <c r="P261" s="26">
        <f>(data[[#This Row],[LoadedMiles]]/data[[#This Row],[TotalMiles]])*100</f>
        <v>35.744680851063833</v>
      </c>
      <c r="Q261" s="25">
        <f>data[[#This Row],[ShippingCost]]/data[[#This Row],[TotalMiles]]</f>
        <v>2.0825531914893616</v>
      </c>
      <c r="R261" s="17">
        <v>2447</v>
      </c>
      <c r="S261" s="25">
        <f>data[[#This Row],[Revenue]]/data[[#This Row],[TotalMiles]]</f>
        <v>2.6791489361702125</v>
      </c>
      <c r="T261" s="26">
        <f>data[[#This Row],[Revenue]]-data[[#This Row],[ShippingCost]]</f>
        <v>701</v>
      </c>
      <c r="U261" s="17">
        <v>3148</v>
      </c>
      <c r="V261" s="17">
        <v>79</v>
      </c>
      <c r="W261" s="17" t="s">
        <v>68</v>
      </c>
      <c r="X261" s="17">
        <v>7</v>
      </c>
      <c r="Y261" s="17">
        <f>data[[#This Row],[DeliveryDate]]-data[[#This Row],[ShipDate]]</f>
        <v>6</v>
      </c>
      <c r="Z261" s="17" t="str">
        <f>IF(data[[#This Row],[Actual Delivery Days]]&gt;AD262,"Yes","No")</f>
        <v>Yes</v>
      </c>
    </row>
    <row r="262" spans="1:26">
      <c r="A262" s="17">
        <v>10580</v>
      </c>
      <c r="B262" s="17">
        <v>2</v>
      </c>
      <c r="C262" s="17">
        <v>5</v>
      </c>
      <c r="D262" s="17" t="s">
        <v>602</v>
      </c>
      <c r="E262" s="17" t="s">
        <v>103</v>
      </c>
      <c r="F262" s="17" t="str">
        <f>TEXT(data[[#This Row],[ShipDate]],"yyyy - mmmm")</f>
        <v>2016 - August</v>
      </c>
      <c r="G262" s="17" t="str">
        <f>data[[#This Row],[OriginCity]] &amp; " - "  &amp; data[[#This Row],[DestinationCity]]</f>
        <v>Indianapolis - Northbrook</v>
      </c>
      <c r="H262" s="17" t="s">
        <v>43</v>
      </c>
      <c r="I262" s="17" t="s">
        <v>44</v>
      </c>
      <c r="J262" s="17">
        <v>8</v>
      </c>
      <c r="K262" s="17" t="s">
        <v>45</v>
      </c>
      <c r="L262" s="17" t="s">
        <v>31</v>
      </c>
      <c r="M262" s="17" t="s">
        <v>621</v>
      </c>
      <c r="N262" s="17">
        <v>991</v>
      </c>
      <c r="O262" s="17">
        <v>656</v>
      </c>
      <c r="P262" s="26">
        <f>(data[[#This Row],[LoadedMiles]]/data[[#This Row],[TotalMiles]])*100</f>
        <v>66.195761856710391</v>
      </c>
      <c r="Q262" s="25">
        <f>data[[#This Row],[ShippingCost]]/data[[#This Row],[TotalMiles]]</f>
        <v>0.42482341069626639</v>
      </c>
      <c r="R262" s="17">
        <v>421</v>
      </c>
      <c r="S262" s="25">
        <f>data[[#This Row],[Revenue]]/data[[#This Row],[TotalMiles]]</f>
        <v>0.58728557013118066</v>
      </c>
      <c r="T262" s="26">
        <f>data[[#This Row],[Revenue]]-data[[#This Row],[ShippingCost]]</f>
        <v>161</v>
      </c>
      <c r="U262" s="17">
        <v>582</v>
      </c>
      <c r="V262" s="17">
        <v>62</v>
      </c>
      <c r="W262" s="17" t="s">
        <v>68</v>
      </c>
      <c r="X262" s="17">
        <v>9</v>
      </c>
      <c r="Y262" s="17">
        <f>data[[#This Row],[DeliveryDate]]-data[[#This Row],[ShipDate]]</f>
        <v>8</v>
      </c>
      <c r="Z262" s="17" t="str">
        <f>IF(data[[#This Row],[Actual Delivery Days]]&gt;AD263,"Yes","No")</f>
        <v>Yes</v>
      </c>
    </row>
    <row r="263" spans="1:26">
      <c r="A263" s="17">
        <v>10581</v>
      </c>
      <c r="B263" s="17">
        <v>2</v>
      </c>
      <c r="C263" s="17">
        <v>7</v>
      </c>
      <c r="D263" s="17" t="s">
        <v>603</v>
      </c>
      <c r="E263" s="17" t="s">
        <v>191</v>
      </c>
      <c r="F263" s="17" t="str">
        <f>TEXT(data[[#This Row],[ShipDate]],"yyyy - mmmm")</f>
        <v>2016 - July</v>
      </c>
      <c r="G263" s="17" t="str">
        <f>data[[#This Row],[OriginCity]] &amp; " - "  &amp; data[[#This Row],[DestinationCity]]</f>
        <v>Northbrook - Naperville</v>
      </c>
      <c r="H263" s="17" t="s">
        <v>45</v>
      </c>
      <c r="I263" s="17" t="s">
        <v>31</v>
      </c>
      <c r="J263" s="17">
        <v>8</v>
      </c>
      <c r="K263" s="17" t="s">
        <v>48</v>
      </c>
      <c r="L263" s="17" t="s">
        <v>31</v>
      </c>
      <c r="M263" s="17" t="s">
        <v>82</v>
      </c>
      <c r="N263" s="17">
        <v>794</v>
      </c>
      <c r="O263" s="17">
        <v>575</v>
      </c>
      <c r="P263" s="26">
        <f>(data[[#This Row],[LoadedMiles]]/data[[#This Row],[TotalMiles]])*100</f>
        <v>72.418136020151138</v>
      </c>
      <c r="Q263" s="25">
        <f>data[[#This Row],[ShippingCost]]/data[[#This Row],[TotalMiles]]</f>
        <v>1.8110831234256928</v>
      </c>
      <c r="R263" s="17">
        <v>1438</v>
      </c>
      <c r="S263" s="25">
        <f>data[[#This Row],[Revenue]]/data[[#This Row],[TotalMiles]]</f>
        <v>1.9760705289672544</v>
      </c>
      <c r="T263" s="26">
        <f>data[[#This Row],[Revenue]]-data[[#This Row],[ShippingCost]]</f>
        <v>131</v>
      </c>
      <c r="U263" s="17">
        <v>1569</v>
      </c>
      <c r="V263" s="17">
        <v>61</v>
      </c>
      <c r="W263" s="17" t="s">
        <v>68</v>
      </c>
      <c r="X263" s="17">
        <v>9</v>
      </c>
      <c r="Y263" s="17">
        <f>data[[#This Row],[DeliveryDate]]-data[[#This Row],[ShipDate]]</f>
        <v>-113</v>
      </c>
      <c r="Z263" s="17" t="str">
        <f>IF(data[[#This Row],[Actual Delivery Days]]&gt;AD264,"Yes","No")</f>
        <v>No</v>
      </c>
    </row>
    <row r="264" spans="1:26">
      <c r="A264" s="17">
        <v>10605</v>
      </c>
      <c r="B264" s="17">
        <v>2</v>
      </c>
      <c r="C264" s="17">
        <v>5</v>
      </c>
      <c r="D264" s="17" t="s">
        <v>113</v>
      </c>
      <c r="E264" s="17" t="s">
        <v>24</v>
      </c>
      <c r="F264" s="17" t="str">
        <f>TEXT(data[[#This Row],[ShipDate]],"yyyy - mmmm")</f>
        <v>2016 - July</v>
      </c>
      <c r="G264" s="17" t="str">
        <f>data[[#This Row],[OriginCity]] &amp; " - "  &amp; data[[#This Row],[DestinationCity]]</f>
        <v>Detriot - Monon</v>
      </c>
      <c r="H264" s="17" t="s">
        <v>52</v>
      </c>
      <c r="I264" s="17" t="s">
        <v>21</v>
      </c>
      <c r="J264" s="17">
        <v>8</v>
      </c>
      <c r="K264" s="17" t="s">
        <v>53</v>
      </c>
      <c r="L264" s="17" t="s">
        <v>44</v>
      </c>
      <c r="M264" s="17" t="s">
        <v>614</v>
      </c>
      <c r="N264" s="17">
        <v>535</v>
      </c>
      <c r="O264" s="17">
        <v>442</v>
      </c>
      <c r="P264" s="26">
        <f>(data[[#This Row],[LoadedMiles]]/data[[#This Row],[TotalMiles]])*100</f>
        <v>82.616822429906549</v>
      </c>
      <c r="Q264" s="25">
        <f>data[[#This Row],[ShippingCost]]/data[[#This Row],[TotalMiles]]</f>
        <v>8.4130841121495319</v>
      </c>
      <c r="R264" s="17">
        <v>4501</v>
      </c>
      <c r="S264" s="25">
        <f>data[[#This Row],[Revenue]]/data[[#This Row],[TotalMiles]]</f>
        <v>8.8317757009345801</v>
      </c>
      <c r="T264" s="26">
        <f>data[[#This Row],[Revenue]]-data[[#This Row],[ShippingCost]]</f>
        <v>224</v>
      </c>
      <c r="U264" s="17">
        <v>4725</v>
      </c>
      <c r="V264" s="17">
        <v>66</v>
      </c>
      <c r="W264" s="17" t="s">
        <v>68</v>
      </c>
      <c r="X264" s="17">
        <v>3</v>
      </c>
      <c r="Y264" s="17">
        <f>data[[#This Row],[DeliveryDate]]-data[[#This Row],[ShipDate]]</f>
        <v>6</v>
      </c>
      <c r="Z264" s="17" t="str">
        <f>IF(data[[#This Row],[Actual Delivery Days]]&gt;AD265,"Yes","No")</f>
        <v>Yes</v>
      </c>
    </row>
    <row r="265" spans="1:26">
      <c r="A265" s="17">
        <v>10618</v>
      </c>
      <c r="B265" s="17">
        <v>2</v>
      </c>
      <c r="C265" s="17">
        <v>5</v>
      </c>
      <c r="D265" s="17" t="s">
        <v>151</v>
      </c>
      <c r="E265" s="17" t="s">
        <v>76</v>
      </c>
      <c r="F265" s="17" t="str">
        <f>TEXT(data[[#This Row],[ShipDate]],"yyyy - mmmm")</f>
        <v>2016 - March</v>
      </c>
      <c r="G265" s="17" t="str">
        <f>data[[#This Row],[OriginCity]] &amp; " - "  &amp; data[[#This Row],[DestinationCity]]</f>
        <v>Elgin - Cincinnati</v>
      </c>
      <c r="H265" s="17" t="s">
        <v>94</v>
      </c>
      <c r="I265" s="17" t="s">
        <v>31</v>
      </c>
      <c r="J265" s="17">
        <v>8</v>
      </c>
      <c r="K265" s="17" t="s">
        <v>89</v>
      </c>
      <c r="L265" s="17" t="s">
        <v>23</v>
      </c>
      <c r="M265" s="17" t="s">
        <v>274</v>
      </c>
      <c r="N265" s="17">
        <v>529</v>
      </c>
      <c r="O265" s="17">
        <v>450</v>
      </c>
      <c r="P265" s="26">
        <f>(data[[#This Row],[LoadedMiles]]/data[[#This Row],[TotalMiles]])*100</f>
        <v>85.066162570888466</v>
      </c>
      <c r="Q265" s="25">
        <f>data[[#This Row],[ShippingCost]]/data[[#This Row],[TotalMiles]]</f>
        <v>11.368620037807183</v>
      </c>
      <c r="R265" s="17">
        <v>6014</v>
      </c>
      <c r="S265" s="25">
        <f>data[[#This Row],[Revenue]]/data[[#This Row],[TotalMiles]]</f>
        <v>12.359168241965973</v>
      </c>
      <c r="T265" s="26">
        <f>data[[#This Row],[Revenue]]-data[[#This Row],[ShippingCost]]</f>
        <v>524</v>
      </c>
      <c r="U265" s="17">
        <v>6538</v>
      </c>
      <c r="V265" s="17">
        <v>53</v>
      </c>
      <c r="W265" s="17" t="s">
        <v>68</v>
      </c>
      <c r="X265" s="17">
        <v>8</v>
      </c>
      <c r="Y265" s="17">
        <f>data[[#This Row],[DeliveryDate]]-data[[#This Row],[ShipDate]]</f>
        <v>8</v>
      </c>
      <c r="Z265" s="17" t="str">
        <f>IF(data[[#This Row],[Actual Delivery Days]]&gt;AD266,"Yes","No")</f>
        <v>Yes</v>
      </c>
    </row>
    <row r="266" spans="1:26">
      <c r="A266" s="17">
        <v>10642</v>
      </c>
      <c r="B266" s="17">
        <v>2</v>
      </c>
      <c r="C266" s="17">
        <v>8</v>
      </c>
      <c r="D266" s="17" t="s">
        <v>213</v>
      </c>
      <c r="E266" s="17" t="s">
        <v>231</v>
      </c>
      <c r="F266" s="17" t="str">
        <f>TEXT(data[[#This Row],[ShipDate]],"yyyy - mmmm")</f>
        <v>2016 - May</v>
      </c>
      <c r="G266" s="17" t="str">
        <f>data[[#This Row],[OriginCity]] &amp; " - "  &amp; data[[#This Row],[DestinationCity]]</f>
        <v>Kalamazoo - Bangor</v>
      </c>
      <c r="H266" s="17" t="s">
        <v>71</v>
      </c>
      <c r="I266" s="17" t="s">
        <v>21</v>
      </c>
      <c r="J266" s="17">
        <v>8</v>
      </c>
      <c r="K266" s="17" t="s">
        <v>104</v>
      </c>
      <c r="L266" s="17" t="s">
        <v>21</v>
      </c>
      <c r="M266" s="17" t="s">
        <v>27</v>
      </c>
      <c r="N266" s="17">
        <v>868</v>
      </c>
      <c r="O266" s="17">
        <v>235</v>
      </c>
      <c r="P266" s="26">
        <f>(data[[#This Row],[LoadedMiles]]/data[[#This Row],[TotalMiles]])*100</f>
        <v>27.073732718894011</v>
      </c>
      <c r="Q266" s="25">
        <f>data[[#This Row],[ShippingCost]]/data[[#This Row],[TotalMiles]]</f>
        <v>9.0264976958525338</v>
      </c>
      <c r="R266" s="17">
        <v>7835</v>
      </c>
      <c r="S266" s="25">
        <f>data[[#This Row],[Revenue]]/data[[#This Row],[TotalMiles]]</f>
        <v>9.5023041474654377</v>
      </c>
      <c r="T266" s="26">
        <f>data[[#This Row],[Revenue]]-data[[#This Row],[ShippingCost]]</f>
        <v>413</v>
      </c>
      <c r="U266" s="17">
        <v>8248</v>
      </c>
      <c r="V266" s="17">
        <v>93</v>
      </c>
      <c r="W266" s="17" t="s">
        <v>68</v>
      </c>
      <c r="X266" s="17">
        <v>2</v>
      </c>
      <c r="Y266" s="17">
        <f>data[[#This Row],[DeliveryDate]]-data[[#This Row],[ShipDate]]</f>
        <v>5</v>
      </c>
      <c r="Z266" s="17" t="str">
        <f>IF(data[[#This Row],[Actual Delivery Days]]&gt;AD267,"Yes","No")</f>
        <v>Yes</v>
      </c>
    </row>
    <row r="267" spans="1:26">
      <c r="A267" s="17">
        <v>10643</v>
      </c>
      <c r="B267" s="17">
        <v>2</v>
      </c>
      <c r="C267" s="17">
        <v>7</v>
      </c>
      <c r="D267" s="17" t="s">
        <v>215</v>
      </c>
      <c r="E267" s="17" t="s">
        <v>615</v>
      </c>
      <c r="F267" s="17" t="str">
        <f>TEXT(data[[#This Row],[ShipDate]],"yyyy - mmmm")</f>
        <v>2016 - January</v>
      </c>
      <c r="G267" s="17" t="str">
        <f>data[[#This Row],[OriginCity]] &amp; " - "  &amp; data[[#This Row],[DestinationCity]]</f>
        <v>Davenport - Appleton</v>
      </c>
      <c r="H267" s="17" t="s">
        <v>105</v>
      </c>
      <c r="I267" s="17" t="s">
        <v>106</v>
      </c>
      <c r="J267" s="17">
        <v>8</v>
      </c>
      <c r="K267" s="17" t="s">
        <v>85</v>
      </c>
      <c r="L267" s="17" t="s">
        <v>29</v>
      </c>
      <c r="M267" s="17" t="s">
        <v>447</v>
      </c>
      <c r="N267" s="17">
        <v>970</v>
      </c>
      <c r="O267" s="17">
        <v>497</v>
      </c>
      <c r="P267" s="26">
        <f>(data[[#This Row],[LoadedMiles]]/data[[#This Row],[TotalMiles]])*100</f>
        <v>51.237113402061851</v>
      </c>
      <c r="Q267" s="25">
        <f>data[[#This Row],[ShippingCost]]/data[[#This Row],[TotalMiles]]</f>
        <v>7.9814432989690722</v>
      </c>
      <c r="R267" s="17">
        <v>7742</v>
      </c>
      <c r="S267" s="25">
        <f>data[[#This Row],[Revenue]]/data[[#This Row],[TotalMiles]]</f>
        <v>8.9556701030927837</v>
      </c>
      <c r="T267" s="26">
        <f>data[[#This Row],[Revenue]]-data[[#This Row],[ShippingCost]]</f>
        <v>945</v>
      </c>
      <c r="U267" s="17">
        <v>8687</v>
      </c>
      <c r="V267" s="17">
        <v>63</v>
      </c>
      <c r="W267" s="17" t="s">
        <v>68</v>
      </c>
      <c r="X267" s="17">
        <v>5</v>
      </c>
      <c r="Y267" s="17">
        <f>data[[#This Row],[DeliveryDate]]-data[[#This Row],[ShipDate]]</f>
        <v>7</v>
      </c>
      <c r="Z267" s="17" t="str">
        <f>IF(data[[#This Row],[Actual Delivery Days]]&gt;AD268,"Yes","No")</f>
        <v>Yes</v>
      </c>
    </row>
    <row r="268" spans="1:26">
      <c r="A268" s="17">
        <v>10691</v>
      </c>
      <c r="B268" s="17">
        <v>1</v>
      </c>
      <c r="C268" s="17">
        <v>8</v>
      </c>
      <c r="D268" s="17" t="s">
        <v>317</v>
      </c>
      <c r="E268" s="17" t="s">
        <v>513</v>
      </c>
      <c r="F268" s="17" t="str">
        <f>TEXT(data[[#This Row],[ShipDate]],"yyyy - mmmm")</f>
        <v>2016 - August</v>
      </c>
      <c r="G268" s="17" t="str">
        <f>data[[#This Row],[OriginCity]] &amp; " - "  &amp; data[[#This Row],[DestinationCity]]</f>
        <v>Chicago - Rockford</v>
      </c>
      <c r="H268" s="17" t="s">
        <v>39</v>
      </c>
      <c r="I268" s="17" t="s">
        <v>31</v>
      </c>
      <c r="J268" s="17">
        <v>8</v>
      </c>
      <c r="K268" s="17" t="s">
        <v>40</v>
      </c>
      <c r="L268" s="17" t="s">
        <v>31</v>
      </c>
      <c r="M268" s="17" t="s">
        <v>387</v>
      </c>
      <c r="N268" s="17">
        <v>369</v>
      </c>
      <c r="O268" s="17">
        <v>320</v>
      </c>
      <c r="P268" s="26">
        <f>(data[[#This Row],[LoadedMiles]]/data[[#This Row],[TotalMiles]])*100</f>
        <v>86.72086720867209</v>
      </c>
      <c r="Q268" s="25">
        <f>data[[#This Row],[ShippingCost]]/data[[#This Row],[TotalMiles]]</f>
        <v>15.59349593495935</v>
      </c>
      <c r="R268" s="17">
        <v>5754</v>
      </c>
      <c r="S268" s="25">
        <f>data[[#This Row],[Revenue]]/data[[#This Row],[TotalMiles]]</f>
        <v>17.208672086720867</v>
      </c>
      <c r="T268" s="26">
        <f>data[[#This Row],[Revenue]]-data[[#This Row],[ShippingCost]]</f>
        <v>596</v>
      </c>
      <c r="U268" s="17">
        <v>6350</v>
      </c>
      <c r="V268" s="17">
        <v>82</v>
      </c>
      <c r="W268" s="17" t="s">
        <v>68</v>
      </c>
      <c r="X268" s="17">
        <v>1</v>
      </c>
      <c r="Y268" s="17">
        <f>data[[#This Row],[DeliveryDate]]-data[[#This Row],[ShipDate]]</f>
        <v>8</v>
      </c>
      <c r="Z268" s="17" t="str">
        <f>IF(data[[#This Row],[Actual Delivery Days]]&gt;AD269,"Yes","No")</f>
        <v>Yes</v>
      </c>
    </row>
    <row r="269" spans="1:26">
      <c r="A269" s="17">
        <v>10716</v>
      </c>
      <c r="B269" s="17">
        <v>1</v>
      </c>
      <c r="C269" s="17">
        <v>5</v>
      </c>
      <c r="D269" s="17" t="s">
        <v>360</v>
      </c>
      <c r="E269" s="17" t="s">
        <v>196</v>
      </c>
      <c r="F269" s="17" t="str">
        <f>TEXT(data[[#This Row],[ShipDate]],"yyyy - mmmm")</f>
        <v>2016 - May</v>
      </c>
      <c r="G269" s="17" t="str">
        <f>data[[#This Row],[OriginCity]] &amp; " - "  &amp; data[[#This Row],[DestinationCity]]</f>
        <v>Detriot - Monon</v>
      </c>
      <c r="H269" s="17" t="s">
        <v>52</v>
      </c>
      <c r="I269" s="17" t="s">
        <v>21</v>
      </c>
      <c r="J269" s="17">
        <v>8</v>
      </c>
      <c r="K269" s="17" t="s">
        <v>53</v>
      </c>
      <c r="L269" s="17" t="s">
        <v>44</v>
      </c>
      <c r="M269" s="17" t="s">
        <v>226</v>
      </c>
      <c r="N269" s="17">
        <v>1152</v>
      </c>
      <c r="O269" s="17">
        <v>312</v>
      </c>
      <c r="P269" s="26">
        <f>(data[[#This Row],[LoadedMiles]]/data[[#This Row],[TotalMiles]])*100</f>
        <v>27.083333333333332</v>
      </c>
      <c r="Q269" s="25">
        <f>data[[#This Row],[ShippingCost]]/data[[#This Row],[TotalMiles]]</f>
        <v>1.0494791666666667</v>
      </c>
      <c r="R269" s="17">
        <v>1209</v>
      </c>
      <c r="S269" s="25">
        <f>data[[#This Row],[Revenue]]/data[[#This Row],[TotalMiles]]</f>
        <v>1.7005208333333333</v>
      </c>
      <c r="T269" s="26">
        <f>data[[#This Row],[Revenue]]-data[[#This Row],[ShippingCost]]</f>
        <v>750</v>
      </c>
      <c r="U269" s="17">
        <v>1959</v>
      </c>
      <c r="V269" s="17">
        <v>78</v>
      </c>
      <c r="W269" s="17" t="s">
        <v>68</v>
      </c>
      <c r="X269" s="17">
        <v>7</v>
      </c>
      <c r="Y269" s="17">
        <f>data[[#This Row],[DeliveryDate]]-data[[#This Row],[ShipDate]]</f>
        <v>5</v>
      </c>
      <c r="Z269" s="17" t="str">
        <f>IF(data[[#This Row],[Actual Delivery Days]]&gt;AD270,"Yes","No")</f>
        <v>Yes</v>
      </c>
    </row>
    <row r="270" spans="1:26">
      <c r="A270" s="17">
        <v>10728</v>
      </c>
      <c r="B270" s="17">
        <v>1</v>
      </c>
      <c r="C270" s="17">
        <v>5</v>
      </c>
      <c r="D270" s="17" t="s">
        <v>380</v>
      </c>
      <c r="E270" s="17" t="s">
        <v>212</v>
      </c>
      <c r="F270" s="17" t="str">
        <f>TEXT(data[[#This Row],[ShipDate]],"yyyy - mmmm")</f>
        <v>2016 - August</v>
      </c>
      <c r="G270" s="17" t="str">
        <f>data[[#This Row],[OriginCity]] &amp; " - "  &amp; data[[#This Row],[DestinationCity]]</f>
        <v>Bangor - Davenport</v>
      </c>
      <c r="H270" s="17" t="s">
        <v>104</v>
      </c>
      <c r="I270" s="17" t="s">
        <v>21</v>
      </c>
      <c r="J270" s="17">
        <v>8</v>
      </c>
      <c r="K270" s="17" t="s">
        <v>105</v>
      </c>
      <c r="L270" s="17" t="s">
        <v>106</v>
      </c>
      <c r="M270" s="17" t="s">
        <v>118</v>
      </c>
      <c r="N270" s="17">
        <v>468</v>
      </c>
      <c r="O270" s="17">
        <v>294</v>
      </c>
      <c r="P270" s="26">
        <f>(data[[#This Row],[LoadedMiles]]/data[[#This Row],[TotalMiles]])*100</f>
        <v>62.820512820512818</v>
      </c>
      <c r="Q270" s="25">
        <f>data[[#This Row],[ShippingCost]]/data[[#This Row],[TotalMiles]]</f>
        <v>1.6196581196581197</v>
      </c>
      <c r="R270" s="17">
        <v>758</v>
      </c>
      <c r="S270" s="25">
        <f>data[[#This Row],[Revenue]]/data[[#This Row],[TotalMiles]]</f>
        <v>3.7029914529914532</v>
      </c>
      <c r="T270" s="26">
        <f>data[[#This Row],[Revenue]]-data[[#This Row],[ShippingCost]]</f>
        <v>975</v>
      </c>
      <c r="U270" s="17">
        <v>1733</v>
      </c>
      <c r="V270" s="17">
        <v>59</v>
      </c>
      <c r="W270" s="17" t="s">
        <v>68</v>
      </c>
      <c r="X270" s="17">
        <v>3</v>
      </c>
      <c r="Y270" s="17">
        <f>data[[#This Row],[DeliveryDate]]-data[[#This Row],[ShipDate]]</f>
        <v>8</v>
      </c>
      <c r="Z270" s="17" t="str">
        <f>IF(data[[#This Row],[Actual Delivery Days]]&gt;AD271,"Yes","No")</f>
        <v>Yes</v>
      </c>
    </row>
    <row r="271" spans="1:26">
      <c r="A271" s="17">
        <v>10744</v>
      </c>
      <c r="B271" s="17">
        <v>2</v>
      </c>
      <c r="C271" s="17">
        <v>5</v>
      </c>
      <c r="D271" s="17" t="s">
        <v>411</v>
      </c>
      <c r="E271" s="17" t="s">
        <v>74</v>
      </c>
      <c r="F271" s="17" t="str">
        <f>TEXT(data[[#This Row],[ShipDate]],"yyyy - mmmm")</f>
        <v>2016 - March</v>
      </c>
      <c r="G271" s="17" t="str">
        <f>data[[#This Row],[OriginCity]] &amp; " - "  &amp; data[[#This Row],[DestinationCity]]</f>
        <v>Cincinnati - Gary</v>
      </c>
      <c r="H271" s="17" t="s">
        <v>89</v>
      </c>
      <c r="I271" s="17" t="s">
        <v>23</v>
      </c>
      <c r="J271" s="17">
        <v>8</v>
      </c>
      <c r="K271" s="17" t="s">
        <v>57</v>
      </c>
      <c r="L271" s="17" t="s">
        <v>44</v>
      </c>
      <c r="M271" s="17" t="s">
        <v>324</v>
      </c>
      <c r="N271" s="17">
        <v>754</v>
      </c>
      <c r="O271" s="17">
        <v>350</v>
      </c>
      <c r="P271" s="26">
        <f>(data[[#This Row],[LoadedMiles]]/data[[#This Row],[TotalMiles]])*100</f>
        <v>46.419098143236077</v>
      </c>
      <c r="Q271" s="25">
        <f>data[[#This Row],[ShippingCost]]/data[[#This Row],[TotalMiles]]</f>
        <v>6.0623342175066313</v>
      </c>
      <c r="R271" s="17">
        <v>4571</v>
      </c>
      <c r="S271" s="25">
        <f>data[[#This Row],[Revenue]]/data[[#This Row],[TotalMiles]]</f>
        <v>6.316976127320955</v>
      </c>
      <c r="T271" s="26">
        <f>data[[#This Row],[Revenue]]-data[[#This Row],[ShippingCost]]</f>
        <v>192</v>
      </c>
      <c r="U271" s="17">
        <v>4763</v>
      </c>
      <c r="V271" s="17">
        <v>92</v>
      </c>
      <c r="W271" s="17" t="s">
        <v>68</v>
      </c>
      <c r="X271" s="17">
        <v>10</v>
      </c>
      <c r="Y271" s="17">
        <f>data[[#This Row],[DeliveryDate]]-data[[#This Row],[ShipDate]]</f>
        <v>8</v>
      </c>
      <c r="Z271" s="17" t="str">
        <f>IF(data[[#This Row],[Actual Delivery Days]]&gt;AD272,"Yes","No")</f>
        <v>Yes</v>
      </c>
    </row>
    <row r="272" spans="1:26">
      <c r="A272" s="17">
        <v>10745</v>
      </c>
      <c r="B272" s="17">
        <v>2</v>
      </c>
      <c r="C272" s="17">
        <v>6</v>
      </c>
      <c r="D272" s="17" t="s">
        <v>412</v>
      </c>
      <c r="E272" s="17" t="s">
        <v>197</v>
      </c>
      <c r="F272" s="17" t="str">
        <f>TEXT(data[[#This Row],[ShipDate]],"yyyy - mmmm")</f>
        <v>2016 - May</v>
      </c>
      <c r="G272" s="17" t="str">
        <f>data[[#This Row],[OriginCity]] &amp; " - "  &amp; data[[#This Row],[DestinationCity]]</f>
        <v>Dayton - Elgin</v>
      </c>
      <c r="H272" s="17" t="s">
        <v>93</v>
      </c>
      <c r="I272" s="17" t="s">
        <v>23</v>
      </c>
      <c r="J272" s="17">
        <v>8</v>
      </c>
      <c r="K272" s="17" t="s">
        <v>94</v>
      </c>
      <c r="L272" s="17" t="s">
        <v>31</v>
      </c>
      <c r="M272" s="17" t="s">
        <v>56</v>
      </c>
      <c r="N272" s="17">
        <v>1138</v>
      </c>
      <c r="O272" s="17">
        <v>356</v>
      </c>
      <c r="P272" s="26">
        <f>(data[[#This Row],[LoadedMiles]]/data[[#This Row],[TotalMiles]])*100</f>
        <v>31.282952548330407</v>
      </c>
      <c r="Q272" s="25">
        <f>data[[#This Row],[ShippingCost]]/data[[#This Row],[TotalMiles]]</f>
        <v>1.6968365553602811</v>
      </c>
      <c r="R272" s="17">
        <v>1931</v>
      </c>
      <c r="S272" s="25">
        <f>data[[#This Row],[Revenue]]/data[[#This Row],[TotalMiles]]</f>
        <v>1.9323374340949033</v>
      </c>
      <c r="T272" s="26">
        <f>data[[#This Row],[Revenue]]-data[[#This Row],[ShippingCost]]</f>
        <v>268</v>
      </c>
      <c r="U272" s="17">
        <v>2199</v>
      </c>
      <c r="V272" s="17">
        <v>78</v>
      </c>
      <c r="W272" s="17" t="s">
        <v>68</v>
      </c>
      <c r="X272" s="17">
        <v>4</v>
      </c>
      <c r="Y272" s="17">
        <f>data[[#This Row],[DeliveryDate]]-data[[#This Row],[ShipDate]]</f>
        <v>8</v>
      </c>
      <c r="Z272" s="17" t="str">
        <f>IF(data[[#This Row],[Actual Delivery Days]]&gt;AD273,"Yes","No")</f>
        <v>Yes</v>
      </c>
    </row>
    <row r="273" spans="1:26">
      <c r="A273" s="17">
        <v>10781</v>
      </c>
      <c r="B273" s="17">
        <v>2</v>
      </c>
      <c r="C273" s="17">
        <v>4</v>
      </c>
      <c r="D273" s="17" t="s">
        <v>472</v>
      </c>
      <c r="E273" s="17" t="s">
        <v>609</v>
      </c>
      <c r="F273" s="17" t="str">
        <f>TEXT(data[[#This Row],[ShipDate]],"yyyy - mmmm")</f>
        <v>2016 - April</v>
      </c>
      <c r="G273" s="17" t="str">
        <f>data[[#This Row],[OriginCity]] &amp; " - "  &amp; data[[#This Row],[DestinationCity]]</f>
        <v>Joliet - Madison</v>
      </c>
      <c r="H273" s="17" t="s">
        <v>61</v>
      </c>
      <c r="I273" s="17" t="s">
        <v>31</v>
      </c>
      <c r="J273" s="17">
        <v>8</v>
      </c>
      <c r="K273" s="17" t="s">
        <v>62</v>
      </c>
      <c r="L273" s="17" t="s">
        <v>29</v>
      </c>
      <c r="M273" s="17" t="s">
        <v>47</v>
      </c>
      <c r="N273" s="17">
        <v>312</v>
      </c>
      <c r="O273" s="17">
        <v>312</v>
      </c>
      <c r="P273" s="26">
        <f>(data[[#This Row],[LoadedMiles]]/data[[#This Row],[TotalMiles]])*100</f>
        <v>100</v>
      </c>
      <c r="Q273" s="25">
        <f>data[[#This Row],[ShippingCost]]/data[[#This Row],[TotalMiles]]</f>
        <v>24.891025641025642</v>
      </c>
      <c r="R273" s="17">
        <v>7766</v>
      </c>
      <c r="S273" s="25">
        <f>data[[#This Row],[Revenue]]/data[[#This Row],[TotalMiles]]</f>
        <v>20.147435897435898</v>
      </c>
      <c r="T273" s="26">
        <f>data[[#This Row],[Revenue]]-data[[#This Row],[ShippingCost]]</f>
        <v>-1480</v>
      </c>
      <c r="U273" s="17">
        <v>6286</v>
      </c>
      <c r="V273" s="17">
        <v>97</v>
      </c>
      <c r="W273" s="17" t="s">
        <v>68</v>
      </c>
      <c r="X273" s="17">
        <v>1</v>
      </c>
      <c r="Y273" s="17">
        <f>data[[#This Row],[DeliveryDate]]-data[[#This Row],[ShipDate]]</f>
        <v>8</v>
      </c>
      <c r="Z273" s="17" t="str">
        <f>IF(data[[#This Row],[Actual Delivery Days]]&gt;AD274,"Yes","No")</f>
        <v>Yes</v>
      </c>
    </row>
    <row r="274" spans="1:26">
      <c r="A274" s="17">
        <v>10797</v>
      </c>
      <c r="B274" s="17">
        <v>1</v>
      </c>
      <c r="C274" s="17">
        <v>7</v>
      </c>
      <c r="D274" s="17" t="s">
        <v>494</v>
      </c>
      <c r="E274" s="17" t="s">
        <v>92</v>
      </c>
      <c r="F274" s="17" t="str">
        <f>TEXT(data[[#This Row],[ShipDate]],"yyyy - mmmm")</f>
        <v>2016 - February</v>
      </c>
      <c r="G274" s="17" t="str">
        <f>data[[#This Row],[OriginCity]] &amp; " - "  &amp; data[[#This Row],[DestinationCity]]</f>
        <v>Springfield - Skokie</v>
      </c>
      <c r="H274" s="17" t="s">
        <v>30</v>
      </c>
      <c r="I274" s="17" t="s">
        <v>31</v>
      </c>
      <c r="J274" s="17">
        <v>8</v>
      </c>
      <c r="K274" s="17" t="s">
        <v>35</v>
      </c>
      <c r="L274" s="17" t="s">
        <v>31</v>
      </c>
      <c r="M274" s="17" t="s">
        <v>310</v>
      </c>
      <c r="N274" s="17">
        <v>1192</v>
      </c>
      <c r="O274" s="17">
        <v>663</v>
      </c>
      <c r="P274" s="26">
        <f>(data[[#This Row],[LoadedMiles]]/data[[#This Row],[TotalMiles]])*100</f>
        <v>55.62080536912751</v>
      </c>
      <c r="Q274" s="25">
        <f>data[[#This Row],[ShippingCost]]/data[[#This Row],[TotalMiles]]</f>
        <v>3.1224832214765099</v>
      </c>
      <c r="R274" s="17">
        <v>3722</v>
      </c>
      <c r="S274" s="25">
        <f>data[[#This Row],[Revenue]]/data[[#This Row],[TotalMiles]]</f>
        <v>3.9068791946308723</v>
      </c>
      <c r="T274" s="26">
        <f>data[[#This Row],[Revenue]]-data[[#This Row],[ShippingCost]]</f>
        <v>935</v>
      </c>
      <c r="U274" s="17">
        <v>4657</v>
      </c>
      <c r="V274" s="17">
        <v>85</v>
      </c>
      <c r="W274" s="17" t="s">
        <v>68</v>
      </c>
      <c r="X274" s="17">
        <v>7</v>
      </c>
      <c r="Y274" s="17">
        <f>data[[#This Row],[DeliveryDate]]-data[[#This Row],[ShipDate]]</f>
        <v>8</v>
      </c>
      <c r="Z274" s="17" t="str">
        <f>IF(data[[#This Row],[Actual Delivery Days]]&gt;AD275,"Yes","No")</f>
        <v>Yes</v>
      </c>
    </row>
    <row r="275" spans="1:26">
      <c r="A275" s="17">
        <v>10799</v>
      </c>
      <c r="B275" s="17">
        <v>1</v>
      </c>
      <c r="C275" s="17">
        <v>7</v>
      </c>
      <c r="D275" s="17" t="s">
        <v>496</v>
      </c>
      <c r="E275" s="17" t="s">
        <v>261</v>
      </c>
      <c r="F275" s="17" t="str">
        <f>TEXT(data[[#This Row],[ShipDate]],"yyyy - mmmm")</f>
        <v>2016 - May</v>
      </c>
      <c r="G275" s="17" t="str">
        <f>data[[#This Row],[OriginCity]] &amp; " - "  &amp; data[[#This Row],[DestinationCity]]</f>
        <v>Indianapolis - Northbrook</v>
      </c>
      <c r="H275" s="17" t="s">
        <v>43</v>
      </c>
      <c r="I275" s="17" t="s">
        <v>44</v>
      </c>
      <c r="J275" s="17">
        <v>8</v>
      </c>
      <c r="K275" s="17" t="s">
        <v>45</v>
      </c>
      <c r="L275" s="17" t="s">
        <v>31</v>
      </c>
      <c r="M275" s="17" t="s">
        <v>84</v>
      </c>
      <c r="N275" s="17">
        <v>246</v>
      </c>
      <c r="O275" s="17">
        <v>246</v>
      </c>
      <c r="P275" s="26">
        <f>(data[[#This Row],[LoadedMiles]]/data[[#This Row],[TotalMiles]])*100</f>
        <v>100</v>
      </c>
      <c r="Q275" s="25">
        <f>data[[#This Row],[ShippingCost]]/data[[#This Row],[TotalMiles]]</f>
        <v>21.752032520325205</v>
      </c>
      <c r="R275" s="17">
        <v>5351</v>
      </c>
      <c r="S275" s="25">
        <f>data[[#This Row],[Revenue]]/data[[#This Row],[TotalMiles]]</f>
        <v>23.150406504065042</v>
      </c>
      <c r="T275" s="26">
        <f>data[[#This Row],[Revenue]]-data[[#This Row],[ShippingCost]]</f>
        <v>344</v>
      </c>
      <c r="U275" s="17">
        <v>5695</v>
      </c>
      <c r="V275" s="17">
        <v>81</v>
      </c>
      <c r="W275" s="17" t="s">
        <v>68</v>
      </c>
      <c r="X275" s="17">
        <v>2</v>
      </c>
      <c r="Y275" s="17">
        <f>data[[#This Row],[DeliveryDate]]-data[[#This Row],[ShipDate]]</f>
        <v>8</v>
      </c>
      <c r="Z275" s="17" t="str">
        <f>IF(data[[#This Row],[Actual Delivery Days]]&gt;AD276,"Yes","No")</f>
        <v>Yes</v>
      </c>
    </row>
    <row r="276" spans="1:26">
      <c r="A276" s="17">
        <v>10818</v>
      </c>
      <c r="B276" s="17">
        <v>2</v>
      </c>
      <c r="C276" s="17">
        <v>4</v>
      </c>
      <c r="D276" s="17" t="s">
        <v>523</v>
      </c>
      <c r="E276" s="17" t="s">
        <v>177</v>
      </c>
      <c r="F276" s="17" t="str">
        <f>TEXT(data[[#This Row],[ShipDate]],"yyyy - mmmm")</f>
        <v>2016 - June</v>
      </c>
      <c r="G276" s="17" t="str">
        <f>data[[#This Row],[OriginCity]] &amp; " - "  &amp; data[[#This Row],[DestinationCity]]</f>
        <v>Milwaukee - Springfield</v>
      </c>
      <c r="H276" s="17" t="s">
        <v>28</v>
      </c>
      <c r="I276" s="17" t="s">
        <v>29</v>
      </c>
      <c r="J276" s="17">
        <v>8</v>
      </c>
      <c r="K276" s="17" t="s">
        <v>30</v>
      </c>
      <c r="L276" s="17" t="s">
        <v>31</v>
      </c>
      <c r="M276" s="17" t="s">
        <v>82</v>
      </c>
      <c r="N276" s="17">
        <v>452</v>
      </c>
      <c r="O276" s="17">
        <v>452</v>
      </c>
      <c r="P276" s="26">
        <f>(data[[#This Row],[LoadedMiles]]/data[[#This Row],[TotalMiles]])*100</f>
        <v>100</v>
      </c>
      <c r="Q276" s="25">
        <f>data[[#This Row],[ShippingCost]]/data[[#This Row],[TotalMiles]]</f>
        <v>6.0088495575221241</v>
      </c>
      <c r="R276" s="17">
        <v>2716</v>
      </c>
      <c r="S276" s="25">
        <f>data[[#This Row],[Revenue]]/data[[#This Row],[TotalMiles]]</f>
        <v>8.8495575221238937E-2</v>
      </c>
      <c r="T276" s="26">
        <f>data[[#This Row],[Revenue]]-data[[#This Row],[ShippingCost]]</f>
        <v>-2676</v>
      </c>
      <c r="U276" s="17">
        <v>40</v>
      </c>
      <c r="V276" s="17">
        <v>88</v>
      </c>
      <c r="W276" s="17" t="s">
        <v>68</v>
      </c>
      <c r="X276" s="17">
        <v>4</v>
      </c>
      <c r="Y276" s="17">
        <f>data[[#This Row],[DeliveryDate]]-data[[#This Row],[ShipDate]]</f>
        <v>-96</v>
      </c>
      <c r="Z276" s="17" t="str">
        <f>IF(data[[#This Row],[Actual Delivery Days]]&gt;AD277,"Yes","No")</f>
        <v>No</v>
      </c>
    </row>
    <row r="277" spans="1:26">
      <c r="A277" s="17">
        <v>10836</v>
      </c>
      <c r="B277" s="17">
        <v>2</v>
      </c>
      <c r="C277" s="17">
        <v>5</v>
      </c>
      <c r="D277" s="17" t="s">
        <v>549</v>
      </c>
      <c r="E277" s="17" t="s">
        <v>202</v>
      </c>
      <c r="F277" s="17" t="str">
        <f>TEXT(data[[#This Row],[ShipDate]],"yyyy - mmmm")</f>
        <v>2016 - February</v>
      </c>
      <c r="G277" s="17" t="str">
        <f>data[[#This Row],[OriginCity]] &amp; " - "  &amp; data[[#This Row],[DestinationCity]]</f>
        <v>Skokie - Chicago</v>
      </c>
      <c r="H277" s="17" t="s">
        <v>35</v>
      </c>
      <c r="I277" s="17" t="s">
        <v>31</v>
      </c>
      <c r="J277" s="17">
        <v>8</v>
      </c>
      <c r="K277" s="17" t="s">
        <v>39</v>
      </c>
      <c r="L277" s="17" t="s">
        <v>31</v>
      </c>
      <c r="M277" s="17" t="s">
        <v>82</v>
      </c>
      <c r="N277" s="17">
        <v>703</v>
      </c>
      <c r="O277" s="17">
        <v>703</v>
      </c>
      <c r="P277" s="26">
        <f>(data[[#This Row],[LoadedMiles]]/data[[#This Row],[TotalMiles]])*100</f>
        <v>100</v>
      </c>
      <c r="Q277" s="25">
        <f>data[[#This Row],[ShippingCost]]/data[[#This Row],[TotalMiles]]</f>
        <v>7.4338549075391178</v>
      </c>
      <c r="R277" s="17">
        <v>5226</v>
      </c>
      <c r="S277" s="25">
        <f>data[[#This Row],[Revenue]]/data[[#This Row],[TotalMiles]]</f>
        <v>7.9644381223328589</v>
      </c>
      <c r="T277" s="26">
        <f>data[[#This Row],[Revenue]]-data[[#This Row],[ShippingCost]]</f>
        <v>373</v>
      </c>
      <c r="U277" s="17">
        <v>5599</v>
      </c>
      <c r="V277" s="17">
        <v>76</v>
      </c>
      <c r="W277" s="17" t="s">
        <v>68</v>
      </c>
      <c r="X277" s="17">
        <v>5</v>
      </c>
      <c r="Y277" s="17">
        <f>data[[#This Row],[DeliveryDate]]-data[[#This Row],[ShipDate]]</f>
        <v>26</v>
      </c>
      <c r="Z277" s="17" t="str">
        <f>IF(data[[#This Row],[Actual Delivery Days]]&gt;AD278,"Yes","No")</f>
        <v>Yes</v>
      </c>
    </row>
    <row r="278" spans="1:26">
      <c r="A278" s="17">
        <v>10841</v>
      </c>
      <c r="B278" s="17">
        <v>1</v>
      </c>
      <c r="C278" s="17">
        <v>4</v>
      </c>
      <c r="D278" s="17" t="s">
        <v>555</v>
      </c>
      <c r="E278" s="17" t="s">
        <v>67</v>
      </c>
      <c r="F278" s="17" t="str">
        <f>TEXT(data[[#This Row],[ShipDate]],"yyyy - mmmm")</f>
        <v>2016 - April</v>
      </c>
      <c r="G278" s="17" t="str">
        <f>data[[#This Row],[OriginCity]] &amp; " - "  &amp; data[[#This Row],[DestinationCity]]</f>
        <v>Springfield - Skokie</v>
      </c>
      <c r="H278" s="17" t="s">
        <v>30</v>
      </c>
      <c r="I278" s="17" t="s">
        <v>31</v>
      </c>
      <c r="J278" s="17">
        <v>8</v>
      </c>
      <c r="K278" s="17" t="s">
        <v>35</v>
      </c>
      <c r="L278" s="17" t="s">
        <v>31</v>
      </c>
      <c r="M278" s="17" t="s">
        <v>98</v>
      </c>
      <c r="N278" s="17">
        <v>379</v>
      </c>
      <c r="O278" s="17">
        <v>379</v>
      </c>
      <c r="P278" s="26">
        <f>(data[[#This Row],[LoadedMiles]]/data[[#This Row],[TotalMiles]])*100</f>
        <v>100</v>
      </c>
      <c r="Q278" s="25">
        <f>data[[#This Row],[ShippingCost]]/data[[#This Row],[TotalMiles]]</f>
        <v>8.9208443271767806</v>
      </c>
      <c r="R278" s="17">
        <v>3381</v>
      </c>
      <c r="S278" s="25">
        <f>data[[#This Row],[Revenue]]/data[[#This Row],[TotalMiles]]</f>
        <v>4.7414248021108181</v>
      </c>
      <c r="T278" s="26">
        <f>data[[#This Row],[Revenue]]-data[[#This Row],[ShippingCost]]</f>
        <v>-1584</v>
      </c>
      <c r="U278" s="17">
        <v>1797</v>
      </c>
      <c r="V278" s="17">
        <v>62</v>
      </c>
      <c r="W278" s="17" t="s">
        <v>68</v>
      </c>
      <c r="X278" s="17">
        <v>8</v>
      </c>
      <c r="Y278" s="17">
        <f>data[[#This Row],[DeliveryDate]]-data[[#This Row],[ShipDate]]</f>
        <v>6</v>
      </c>
      <c r="Z278" s="17" t="str">
        <f>IF(data[[#This Row],[Actual Delivery Days]]&gt;AD279,"Yes","No")</f>
        <v>Yes</v>
      </c>
    </row>
    <row r="279" spans="1:26">
      <c r="A279" s="17">
        <v>10842</v>
      </c>
      <c r="B279" s="17">
        <v>1</v>
      </c>
      <c r="C279" s="17">
        <v>4</v>
      </c>
      <c r="D279" s="17" t="s">
        <v>556</v>
      </c>
      <c r="E279" s="17" t="s">
        <v>381</v>
      </c>
      <c r="F279" s="17" t="str">
        <f>TEXT(data[[#This Row],[ShipDate]],"yyyy - mmmm")</f>
        <v>2016 - March</v>
      </c>
      <c r="G279" s="17" t="str">
        <f>data[[#This Row],[OriginCity]] &amp; " - "  &amp; data[[#This Row],[DestinationCity]]</f>
        <v>Chicago - Rockford</v>
      </c>
      <c r="H279" s="17" t="s">
        <v>39</v>
      </c>
      <c r="I279" s="17" t="s">
        <v>31</v>
      </c>
      <c r="J279" s="17">
        <v>8</v>
      </c>
      <c r="K279" s="17" t="s">
        <v>40</v>
      </c>
      <c r="L279" s="17" t="s">
        <v>31</v>
      </c>
      <c r="M279" s="17" t="s">
        <v>270</v>
      </c>
      <c r="N279" s="17">
        <v>716</v>
      </c>
      <c r="O279" s="17">
        <v>445</v>
      </c>
      <c r="P279" s="26">
        <f>(data[[#This Row],[LoadedMiles]]/data[[#This Row],[TotalMiles]])*100</f>
        <v>62.150837988826815</v>
      </c>
      <c r="Q279" s="25">
        <f>data[[#This Row],[ShippingCost]]/data[[#This Row],[TotalMiles]]</f>
        <v>11.615921787709498</v>
      </c>
      <c r="R279" s="17">
        <v>8317</v>
      </c>
      <c r="S279" s="25">
        <f>data[[#This Row],[Revenue]]/data[[#This Row],[TotalMiles]]</f>
        <v>8.460893854748603</v>
      </c>
      <c r="T279" s="26">
        <f>data[[#This Row],[Revenue]]-data[[#This Row],[ShippingCost]]</f>
        <v>-2259</v>
      </c>
      <c r="U279" s="17">
        <v>6058</v>
      </c>
      <c r="V279" s="17">
        <v>64</v>
      </c>
      <c r="W279" s="17" t="s">
        <v>68</v>
      </c>
      <c r="X279" s="17">
        <v>2</v>
      </c>
      <c r="Y279" s="17">
        <f>data[[#This Row],[DeliveryDate]]-data[[#This Row],[ShipDate]]</f>
        <v>7</v>
      </c>
      <c r="Z279" s="17" t="str">
        <f>IF(data[[#This Row],[Actual Delivery Days]]&gt;AD280,"Yes","No")</f>
        <v>Yes</v>
      </c>
    </row>
    <row r="280" spans="1:26">
      <c r="A280" s="17">
        <v>10853</v>
      </c>
      <c r="B280" s="17">
        <v>1</v>
      </c>
      <c r="C280" s="17">
        <v>4</v>
      </c>
      <c r="D280" s="17" t="s">
        <v>568</v>
      </c>
      <c r="E280" s="17" t="s">
        <v>283</v>
      </c>
      <c r="F280" s="17" t="str">
        <f>TEXT(data[[#This Row],[ShipDate]],"yyyy - mmmm")</f>
        <v>2016 - June</v>
      </c>
      <c r="G280" s="17" t="str">
        <f>data[[#This Row],[OriginCity]] &amp; " - "  &amp; data[[#This Row],[DestinationCity]]</f>
        <v>Appleton - Grand Rapids</v>
      </c>
      <c r="H280" s="17" t="s">
        <v>85</v>
      </c>
      <c r="I280" s="17" t="s">
        <v>29</v>
      </c>
      <c r="J280" s="17">
        <v>8</v>
      </c>
      <c r="K280" s="17" t="s">
        <v>20</v>
      </c>
      <c r="L280" s="17" t="s">
        <v>21</v>
      </c>
      <c r="M280" s="17" t="s">
        <v>316</v>
      </c>
      <c r="N280" s="17">
        <v>332</v>
      </c>
      <c r="O280" s="17">
        <v>310</v>
      </c>
      <c r="P280" s="26">
        <f>(data[[#This Row],[LoadedMiles]]/data[[#This Row],[TotalMiles]])*100</f>
        <v>93.373493975903614</v>
      </c>
      <c r="Q280" s="25">
        <f>data[[#This Row],[ShippingCost]]/data[[#This Row],[TotalMiles]]</f>
        <v>16.807228915662652</v>
      </c>
      <c r="R280" s="17">
        <v>5580</v>
      </c>
      <c r="S280" s="25">
        <f>data[[#This Row],[Revenue]]/data[[#This Row],[TotalMiles]]</f>
        <v>11.945783132530121</v>
      </c>
      <c r="T280" s="26">
        <f>data[[#This Row],[Revenue]]-data[[#This Row],[ShippingCost]]</f>
        <v>-1614</v>
      </c>
      <c r="U280" s="17">
        <v>3966</v>
      </c>
      <c r="V280" s="17">
        <v>54</v>
      </c>
      <c r="W280" s="17" t="s">
        <v>68</v>
      </c>
      <c r="X280" s="17">
        <v>5</v>
      </c>
      <c r="Y280" s="17">
        <f>data[[#This Row],[DeliveryDate]]-data[[#This Row],[ShipDate]]</f>
        <v>8</v>
      </c>
      <c r="Z280" s="17" t="str">
        <f>IF(data[[#This Row],[Actual Delivery Days]]&gt;AD281,"Yes","No")</f>
        <v>Yes</v>
      </c>
    </row>
    <row r="281" spans="1:26">
      <c r="A281" s="17">
        <v>10874</v>
      </c>
      <c r="B281" s="17">
        <v>1</v>
      </c>
      <c r="C281" s="17">
        <v>5</v>
      </c>
      <c r="D281" s="17" t="s">
        <v>593</v>
      </c>
      <c r="E281" s="17" t="s">
        <v>200</v>
      </c>
      <c r="F281" s="17" t="str">
        <f>TEXT(data[[#This Row],[ShipDate]],"yyyy - mmmm")</f>
        <v>2016 - March</v>
      </c>
      <c r="G281" s="17" t="str">
        <f>data[[#This Row],[OriginCity]] &amp; " - "  &amp; data[[#This Row],[DestinationCity]]</f>
        <v>Naperville - Indianapolis</v>
      </c>
      <c r="H281" s="17" t="s">
        <v>48</v>
      </c>
      <c r="I281" s="17" t="s">
        <v>31</v>
      </c>
      <c r="J281" s="17">
        <v>8</v>
      </c>
      <c r="K281" s="17" t="s">
        <v>43</v>
      </c>
      <c r="L281" s="17" t="s">
        <v>44</v>
      </c>
      <c r="M281" s="17" t="s">
        <v>270</v>
      </c>
      <c r="N281" s="17">
        <v>213</v>
      </c>
      <c r="O281" s="17">
        <v>213</v>
      </c>
      <c r="P281" s="26">
        <f>(data[[#This Row],[LoadedMiles]]/data[[#This Row],[TotalMiles]])*100</f>
        <v>100</v>
      </c>
      <c r="Q281" s="25">
        <f>data[[#This Row],[ShippingCost]]/data[[#This Row],[TotalMiles]]</f>
        <v>10.065727699530516</v>
      </c>
      <c r="R281" s="17">
        <v>2144</v>
      </c>
      <c r="S281" s="25">
        <f>data[[#This Row],[Revenue]]/data[[#This Row],[TotalMiles]]</f>
        <v>13.309859154929578</v>
      </c>
      <c r="T281" s="26">
        <f>data[[#This Row],[Revenue]]-data[[#This Row],[ShippingCost]]</f>
        <v>691</v>
      </c>
      <c r="U281" s="17">
        <v>2835</v>
      </c>
      <c r="V281" s="17">
        <v>69</v>
      </c>
      <c r="W281" s="17" t="s">
        <v>68</v>
      </c>
      <c r="X281" s="17">
        <v>5</v>
      </c>
      <c r="Y281" s="17">
        <f>data[[#This Row],[DeliveryDate]]-data[[#This Row],[ShipDate]]</f>
        <v>8</v>
      </c>
      <c r="Z281" s="17" t="str">
        <f>IF(data[[#This Row],[Actual Delivery Days]]&gt;AD282,"Yes","No")</f>
        <v>Yes</v>
      </c>
    </row>
    <row r="282" spans="1:26">
      <c r="A282" s="17">
        <v>10892</v>
      </c>
      <c r="B282" s="17">
        <v>2</v>
      </c>
      <c r="C282" s="17">
        <v>6</v>
      </c>
      <c r="D282" s="17" t="s">
        <v>59</v>
      </c>
      <c r="E282" s="17" t="s">
        <v>367</v>
      </c>
      <c r="F282" s="17" t="str">
        <f>TEXT(data[[#This Row],[ShipDate]],"yyyy - mmmm")</f>
        <v>2016 - May</v>
      </c>
      <c r="G282" s="17" t="str">
        <f>data[[#This Row],[OriginCity]] &amp; " - "  &amp; data[[#This Row],[DestinationCity]]</f>
        <v>Joliet - Madison</v>
      </c>
      <c r="H282" s="17" t="s">
        <v>61</v>
      </c>
      <c r="I282" s="17" t="s">
        <v>31</v>
      </c>
      <c r="J282" s="17">
        <v>8</v>
      </c>
      <c r="K282" s="17" t="s">
        <v>62</v>
      </c>
      <c r="L282" s="17" t="s">
        <v>29</v>
      </c>
      <c r="M282" s="17" t="s">
        <v>437</v>
      </c>
      <c r="N282" s="17">
        <v>1148</v>
      </c>
      <c r="O282" s="17">
        <v>701</v>
      </c>
      <c r="P282" s="26">
        <f>(data[[#This Row],[LoadedMiles]]/data[[#This Row],[TotalMiles]])*100</f>
        <v>61.062717770034844</v>
      </c>
      <c r="Q282" s="25">
        <f>data[[#This Row],[ShippingCost]]/data[[#This Row],[TotalMiles]]</f>
        <v>1.2012195121951219</v>
      </c>
      <c r="R282" s="17">
        <v>1379</v>
      </c>
      <c r="S282" s="25">
        <f>data[[#This Row],[Revenue]]/data[[#This Row],[TotalMiles]]</f>
        <v>1.382404181184669</v>
      </c>
      <c r="T282" s="26">
        <f>data[[#This Row],[Revenue]]-data[[#This Row],[ShippingCost]]</f>
        <v>208</v>
      </c>
      <c r="U282" s="17">
        <v>1587</v>
      </c>
      <c r="V282" s="17">
        <v>98</v>
      </c>
      <c r="W282" s="17" t="s">
        <v>68</v>
      </c>
      <c r="X282" s="17">
        <v>5</v>
      </c>
      <c r="Y282" s="17">
        <f>data[[#This Row],[DeliveryDate]]-data[[#This Row],[ShipDate]]</f>
        <v>8</v>
      </c>
      <c r="Z282" s="17" t="str">
        <f>IF(data[[#This Row],[Actual Delivery Days]]&gt;AD283,"Yes","No")</f>
        <v>Yes</v>
      </c>
    </row>
    <row r="283" spans="1:26">
      <c r="A283" s="17">
        <v>10918</v>
      </c>
      <c r="B283" s="17">
        <v>2</v>
      </c>
      <c r="C283" s="17">
        <v>2</v>
      </c>
      <c r="D283" s="17" t="s">
        <v>145</v>
      </c>
      <c r="E283" s="17" t="s">
        <v>234</v>
      </c>
      <c r="F283" s="17" t="str">
        <f>TEXT(data[[#This Row],[ShipDate]],"yyyy - mmmm")</f>
        <v>2016 - March</v>
      </c>
      <c r="G283" s="17" t="str">
        <f>data[[#This Row],[OriginCity]] &amp; " - "  &amp; data[[#This Row],[DestinationCity]]</f>
        <v>Madison - Kalamazoo</v>
      </c>
      <c r="H283" s="17" t="s">
        <v>62</v>
      </c>
      <c r="I283" s="17" t="s">
        <v>29</v>
      </c>
      <c r="J283" s="17">
        <v>8</v>
      </c>
      <c r="K283" s="17" t="s">
        <v>71</v>
      </c>
      <c r="L283" s="17" t="s">
        <v>21</v>
      </c>
      <c r="M283" s="17" t="s">
        <v>270</v>
      </c>
      <c r="N283" s="17">
        <v>1149</v>
      </c>
      <c r="O283" s="17">
        <v>435</v>
      </c>
      <c r="P283" s="26">
        <f>(data[[#This Row],[LoadedMiles]]/data[[#This Row],[TotalMiles]])*100</f>
        <v>37.859007832898172</v>
      </c>
      <c r="Q283" s="25">
        <f>data[[#This Row],[ShippingCost]]/data[[#This Row],[TotalMiles]]</f>
        <v>1.6092254134029591</v>
      </c>
      <c r="R283" s="17">
        <v>1849</v>
      </c>
      <c r="S283" s="25">
        <f>data[[#This Row],[Revenue]]/data[[#This Row],[TotalMiles]]</f>
        <v>2.2402088772845952</v>
      </c>
      <c r="T283" s="26">
        <f>data[[#This Row],[Revenue]]-data[[#This Row],[ShippingCost]]</f>
        <v>725</v>
      </c>
      <c r="U283" s="17">
        <v>2574</v>
      </c>
      <c r="V283" s="17">
        <v>95</v>
      </c>
      <c r="W283" s="17" t="s">
        <v>68</v>
      </c>
      <c r="X283" s="17">
        <v>1</v>
      </c>
      <c r="Y283" s="17">
        <f>data[[#This Row],[DeliveryDate]]-data[[#This Row],[ShipDate]]</f>
        <v>5</v>
      </c>
      <c r="Z283" s="17" t="str">
        <f>IF(data[[#This Row],[Actual Delivery Days]]&gt;AD284,"Yes","No")</f>
        <v>Yes</v>
      </c>
    </row>
    <row r="284" spans="1:26">
      <c r="A284" s="17">
        <v>10919</v>
      </c>
      <c r="B284" s="17">
        <v>3</v>
      </c>
      <c r="C284" s="17">
        <v>6</v>
      </c>
      <c r="D284" s="17" t="s">
        <v>148</v>
      </c>
      <c r="E284" s="17" t="s">
        <v>610</v>
      </c>
      <c r="F284" s="17" t="str">
        <f>TEXT(data[[#This Row],[ShipDate]],"yyyy - mmmm")</f>
        <v>2016 - June</v>
      </c>
      <c r="G284" s="17" t="str">
        <f>data[[#This Row],[OriginCity]] &amp; " - "  &amp; data[[#This Row],[DestinationCity]]</f>
        <v>Green Bay - Joliet</v>
      </c>
      <c r="H284" s="17" t="s">
        <v>75</v>
      </c>
      <c r="I284" s="17" t="s">
        <v>29</v>
      </c>
      <c r="J284" s="17">
        <v>8</v>
      </c>
      <c r="K284" s="17" t="s">
        <v>61</v>
      </c>
      <c r="L284" s="17" t="s">
        <v>31</v>
      </c>
      <c r="M284" s="17" t="s">
        <v>278</v>
      </c>
      <c r="N284" s="17">
        <v>801</v>
      </c>
      <c r="O284" s="17">
        <v>730</v>
      </c>
      <c r="P284" s="26">
        <f>(data[[#This Row],[LoadedMiles]]/data[[#This Row],[TotalMiles]])*100</f>
        <v>91.136079900124841</v>
      </c>
      <c r="Q284" s="25">
        <f>data[[#This Row],[ShippingCost]]/data[[#This Row],[TotalMiles]]</f>
        <v>9.191011235955056</v>
      </c>
      <c r="R284" s="17">
        <v>7362</v>
      </c>
      <c r="S284" s="25">
        <f>data[[#This Row],[Revenue]]/data[[#This Row],[TotalMiles]]</f>
        <v>9.4631710362047432</v>
      </c>
      <c r="T284" s="26">
        <f>data[[#This Row],[Revenue]]-data[[#This Row],[ShippingCost]]</f>
        <v>218</v>
      </c>
      <c r="U284" s="17">
        <v>7580</v>
      </c>
      <c r="V284" s="17">
        <v>67</v>
      </c>
      <c r="W284" s="17" t="s">
        <v>68</v>
      </c>
      <c r="X284" s="17">
        <v>7</v>
      </c>
      <c r="Y284" s="17">
        <f>data[[#This Row],[DeliveryDate]]-data[[#This Row],[ShipDate]]</f>
        <v>5</v>
      </c>
      <c r="Z284" s="17" t="str">
        <f>IF(data[[#This Row],[Actual Delivery Days]]&gt;AD285,"Yes","No")</f>
        <v>Yes</v>
      </c>
    </row>
    <row r="285" spans="1:26">
      <c r="A285" s="17">
        <v>10948</v>
      </c>
      <c r="B285" s="17">
        <v>3</v>
      </c>
      <c r="C285" s="17">
        <v>5</v>
      </c>
      <c r="D285" s="17" t="s">
        <v>228</v>
      </c>
      <c r="E285" s="17" t="s">
        <v>418</v>
      </c>
      <c r="F285" s="17" t="str">
        <f>TEXT(data[[#This Row],[ShipDate]],"yyyy - mmmm")</f>
        <v>2016 - April</v>
      </c>
      <c r="G285" s="17" t="str">
        <f>data[[#This Row],[OriginCity]] &amp; " - "  &amp; data[[#This Row],[DestinationCity]]</f>
        <v>Skokie - Chicago</v>
      </c>
      <c r="H285" s="17" t="s">
        <v>35</v>
      </c>
      <c r="I285" s="17" t="s">
        <v>31</v>
      </c>
      <c r="J285" s="17">
        <v>8</v>
      </c>
      <c r="K285" s="17" t="s">
        <v>39</v>
      </c>
      <c r="L285" s="17" t="s">
        <v>31</v>
      </c>
      <c r="M285" s="17" t="s">
        <v>82</v>
      </c>
      <c r="N285" s="17">
        <v>937</v>
      </c>
      <c r="O285" s="17">
        <v>794</v>
      </c>
      <c r="P285" s="26">
        <f>(data[[#This Row],[LoadedMiles]]/data[[#This Row],[TotalMiles]])*100</f>
        <v>84.738527214514406</v>
      </c>
      <c r="Q285" s="25">
        <f>data[[#This Row],[ShippingCost]]/data[[#This Row],[TotalMiles]]</f>
        <v>7.9754535752401283</v>
      </c>
      <c r="R285" s="17">
        <v>7473</v>
      </c>
      <c r="S285" s="25">
        <f>data[[#This Row],[Revenue]]/data[[#This Row],[TotalMiles]]</f>
        <v>9.0341515474919962</v>
      </c>
      <c r="T285" s="26">
        <f>data[[#This Row],[Revenue]]-data[[#This Row],[ShippingCost]]</f>
        <v>992</v>
      </c>
      <c r="U285" s="17">
        <v>8465</v>
      </c>
      <c r="V285" s="17">
        <v>57</v>
      </c>
      <c r="W285" s="17" t="s">
        <v>68</v>
      </c>
      <c r="X285" s="17">
        <v>9</v>
      </c>
      <c r="Y285" s="17">
        <f>data[[#This Row],[DeliveryDate]]-data[[#This Row],[ShipDate]]</f>
        <v>-26</v>
      </c>
      <c r="Z285" s="17" t="str">
        <f>IF(data[[#This Row],[Actual Delivery Days]]&gt;AD286,"Yes","No")</f>
        <v>No</v>
      </c>
    </row>
    <row r="286" spans="1:26">
      <c r="A286" s="17">
        <v>10969</v>
      </c>
      <c r="B286" s="17">
        <v>2</v>
      </c>
      <c r="C286" s="17">
        <v>3</v>
      </c>
      <c r="D286" s="17" t="s">
        <v>277</v>
      </c>
      <c r="E286" s="17" t="s">
        <v>418</v>
      </c>
      <c r="F286" s="17" t="str">
        <f>TEXT(data[[#This Row],[ShipDate]],"yyyy - mmmm")</f>
        <v>2016 - April</v>
      </c>
      <c r="G286" s="17" t="str">
        <f>data[[#This Row],[OriginCity]] &amp; " - "  &amp; data[[#This Row],[DestinationCity]]</f>
        <v>Davenport - Appleton</v>
      </c>
      <c r="H286" s="17" t="s">
        <v>105</v>
      </c>
      <c r="I286" s="17" t="s">
        <v>106</v>
      </c>
      <c r="J286" s="17">
        <v>8</v>
      </c>
      <c r="K286" s="17" t="s">
        <v>85</v>
      </c>
      <c r="L286" s="17" t="s">
        <v>29</v>
      </c>
      <c r="M286" s="17" t="s">
        <v>171</v>
      </c>
      <c r="N286" s="17">
        <v>886</v>
      </c>
      <c r="O286" s="17">
        <v>724</v>
      </c>
      <c r="P286" s="26">
        <f>(data[[#This Row],[LoadedMiles]]/data[[#This Row],[TotalMiles]])*100</f>
        <v>81.715575620767495</v>
      </c>
      <c r="Q286" s="25">
        <f>data[[#This Row],[ShippingCost]]/data[[#This Row],[TotalMiles]]</f>
        <v>5.9988713318284423</v>
      </c>
      <c r="R286" s="17">
        <v>5315</v>
      </c>
      <c r="S286" s="25">
        <f>data[[#This Row],[Revenue]]/data[[#This Row],[TotalMiles]]</f>
        <v>6.9751693002257333</v>
      </c>
      <c r="T286" s="26">
        <f>data[[#This Row],[Revenue]]-data[[#This Row],[ShippingCost]]</f>
        <v>865</v>
      </c>
      <c r="U286" s="17">
        <v>6180</v>
      </c>
      <c r="V286" s="17">
        <v>67</v>
      </c>
      <c r="W286" s="17" t="s">
        <v>68</v>
      </c>
      <c r="X286" s="17">
        <v>2</v>
      </c>
      <c r="Y286" s="17">
        <f>data[[#This Row],[DeliveryDate]]-data[[#This Row],[ShipDate]]</f>
        <v>7</v>
      </c>
      <c r="Z286" s="17" t="str">
        <f>IF(data[[#This Row],[Actual Delivery Days]]&gt;AD287,"Yes","No")</f>
        <v>Yes</v>
      </c>
    </row>
    <row r="287" spans="1:26">
      <c r="A287" s="17">
        <v>10980</v>
      </c>
      <c r="B287" s="17">
        <v>2</v>
      </c>
      <c r="C287" s="17">
        <v>1</v>
      </c>
      <c r="D287" s="17" t="s">
        <v>303</v>
      </c>
      <c r="E287" s="17" t="s">
        <v>608</v>
      </c>
      <c r="F287" s="17" t="str">
        <f>TEXT(data[[#This Row],[ShipDate]],"yyyy - mmmm")</f>
        <v>2016 - July</v>
      </c>
      <c r="G287" s="17" t="str">
        <f>data[[#This Row],[OriginCity]] &amp; " - "  &amp; data[[#This Row],[DestinationCity]]</f>
        <v>Green Bay - Joliet</v>
      </c>
      <c r="H287" s="17" t="s">
        <v>75</v>
      </c>
      <c r="I287" s="17" t="s">
        <v>29</v>
      </c>
      <c r="J287" s="17">
        <v>8</v>
      </c>
      <c r="K287" s="17" t="s">
        <v>61</v>
      </c>
      <c r="L287" s="17" t="s">
        <v>31</v>
      </c>
      <c r="M287" s="17" t="s">
        <v>156</v>
      </c>
      <c r="N287" s="17">
        <v>1108</v>
      </c>
      <c r="O287" s="17">
        <v>346</v>
      </c>
      <c r="P287" s="26">
        <f>(data[[#This Row],[LoadedMiles]]/data[[#This Row],[TotalMiles]])*100</f>
        <v>31.227436823104693</v>
      </c>
      <c r="Q287" s="25">
        <f>data[[#This Row],[ShippingCost]]/data[[#This Row],[TotalMiles]]</f>
        <v>3.3140794223826715</v>
      </c>
      <c r="R287" s="17">
        <v>3672</v>
      </c>
      <c r="S287" s="25">
        <f>data[[#This Row],[Revenue]]/data[[#This Row],[TotalMiles]]</f>
        <v>7.2057761732851988</v>
      </c>
      <c r="T287" s="26">
        <f>data[[#This Row],[Revenue]]-data[[#This Row],[ShippingCost]]</f>
        <v>4312</v>
      </c>
      <c r="U287" s="17">
        <v>7984</v>
      </c>
      <c r="V287" s="17">
        <v>51</v>
      </c>
      <c r="W287" s="17" t="s">
        <v>68</v>
      </c>
      <c r="X287" s="17">
        <v>3</v>
      </c>
      <c r="Y287" s="17">
        <f>data[[#This Row],[DeliveryDate]]-data[[#This Row],[ShipDate]]</f>
        <v>8</v>
      </c>
      <c r="Z287" s="17" t="str">
        <f>IF(data[[#This Row],[Actual Delivery Days]]&gt;AD288,"Yes","No")</f>
        <v>Yes</v>
      </c>
    </row>
    <row r="288" spans="1:26">
      <c r="A288" s="17">
        <v>10987</v>
      </c>
      <c r="B288" s="17">
        <v>2</v>
      </c>
      <c r="C288" s="17">
        <v>2</v>
      </c>
      <c r="D288" s="17" t="s">
        <v>314</v>
      </c>
      <c r="E288" s="17" t="s">
        <v>387</v>
      </c>
      <c r="F288" s="17" t="str">
        <f>TEXT(data[[#This Row],[ShipDate]],"yyyy - mmmm")</f>
        <v>2016 - August</v>
      </c>
      <c r="G288" s="17" t="str">
        <f>data[[#This Row],[OriginCity]] &amp; " - "  &amp; data[[#This Row],[DestinationCity]]</f>
        <v>Lansing - Dayton</v>
      </c>
      <c r="H288" s="17" t="s">
        <v>66</v>
      </c>
      <c r="I288" s="17" t="s">
        <v>21</v>
      </c>
      <c r="J288" s="17">
        <v>8</v>
      </c>
      <c r="K288" s="17" t="s">
        <v>93</v>
      </c>
      <c r="L288" s="17" t="s">
        <v>23</v>
      </c>
      <c r="M288" s="17" t="s">
        <v>212</v>
      </c>
      <c r="N288" s="17">
        <v>561</v>
      </c>
      <c r="O288" s="17">
        <v>372</v>
      </c>
      <c r="P288" s="26">
        <f>(data[[#This Row],[LoadedMiles]]/data[[#This Row],[TotalMiles]])*100</f>
        <v>66.310160427807489</v>
      </c>
      <c r="Q288" s="25">
        <f>data[[#This Row],[ShippingCost]]/data[[#This Row],[TotalMiles]]</f>
        <v>2.0017825311942961</v>
      </c>
      <c r="R288" s="17">
        <v>1123</v>
      </c>
      <c r="S288" s="25">
        <f>data[[#This Row],[Revenue]]/data[[#This Row],[TotalMiles]]</f>
        <v>3.2317290552584672</v>
      </c>
      <c r="T288" s="26">
        <f>data[[#This Row],[Revenue]]-data[[#This Row],[ShippingCost]]</f>
        <v>690</v>
      </c>
      <c r="U288" s="17">
        <v>1813</v>
      </c>
      <c r="V288" s="17">
        <v>59</v>
      </c>
      <c r="W288" s="17" t="s">
        <v>68</v>
      </c>
      <c r="X288" s="17">
        <v>10</v>
      </c>
      <c r="Y288" s="17">
        <f>data[[#This Row],[DeliveryDate]]-data[[#This Row],[ShipDate]]</f>
        <v>5</v>
      </c>
      <c r="Z288" s="17" t="str">
        <f>IF(data[[#This Row],[Actual Delivery Days]]&gt;AD289,"Yes","No")</f>
        <v>Yes</v>
      </c>
    </row>
    <row r="289" spans="1:26">
      <c r="A289" s="17">
        <v>11004</v>
      </c>
      <c r="B289" s="17">
        <v>2</v>
      </c>
      <c r="C289" s="17">
        <v>6</v>
      </c>
      <c r="D289" s="17" t="s">
        <v>346</v>
      </c>
      <c r="E289" s="17" t="s">
        <v>319</v>
      </c>
      <c r="F289" s="17" t="str">
        <f>TEXT(data[[#This Row],[ShipDate]],"yyyy - mmmm")</f>
        <v>2016 - June</v>
      </c>
      <c r="G289" s="17" t="str">
        <f>data[[#This Row],[OriginCity]] &amp; " - "  &amp; data[[#This Row],[DestinationCity]]</f>
        <v>Appleton - Grand Rapids</v>
      </c>
      <c r="H289" s="17" t="s">
        <v>85</v>
      </c>
      <c r="I289" s="17" t="s">
        <v>29</v>
      </c>
      <c r="J289" s="17">
        <v>8</v>
      </c>
      <c r="K289" s="17" t="s">
        <v>20</v>
      </c>
      <c r="L289" s="17" t="s">
        <v>21</v>
      </c>
      <c r="M289" s="17" t="s">
        <v>499</v>
      </c>
      <c r="N289" s="17">
        <v>845</v>
      </c>
      <c r="O289" s="17">
        <v>554</v>
      </c>
      <c r="P289" s="26">
        <f>(data[[#This Row],[LoadedMiles]]/data[[#This Row],[TotalMiles]])*100</f>
        <v>65.562130177514788</v>
      </c>
      <c r="Q289" s="25">
        <f>data[[#This Row],[ShippingCost]]/data[[#This Row],[TotalMiles]]</f>
        <v>7.6497041420118341</v>
      </c>
      <c r="R289" s="17">
        <v>6464</v>
      </c>
      <c r="S289" s="25">
        <f>data[[#This Row],[Revenue]]/data[[#This Row],[TotalMiles]]</f>
        <v>7.9680473372781062</v>
      </c>
      <c r="T289" s="26">
        <f>data[[#This Row],[Revenue]]-data[[#This Row],[ShippingCost]]</f>
        <v>269</v>
      </c>
      <c r="U289" s="17">
        <v>6733</v>
      </c>
      <c r="V289" s="17">
        <v>100</v>
      </c>
      <c r="W289" s="17" t="s">
        <v>68</v>
      </c>
      <c r="X289" s="17">
        <v>6</v>
      </c>
      <c r="Y289" s="17">
        <f>data[[#This Row],[DeliveryDate]]-data[[#This Row],[ShipDate]]</f>
        <v>7</v>
      </c>
      <c r="Z289" s="17" t="str">
        <f>IF(data[[#This Row],[Actual Delivery Days]]&gt;AD290,"Yes","No")</f>
        <v>Yes</v>
      </c>
    </row>
    <row r="290" spans="1:26">
      <c r="A290" s="17">
        <v>11014</v>
      </c>
      <c r="B290" s="17">
        <v>2</v>
      </c>
      <c r="C290" s="17">
        <v>1</v>
      </c>
      <c r="D290" s="17" t="s">
        <v>364</v>
      </c>
      <c r="E290" s="17" t="s">
        <v>319</v>
      </c>
      <c r="F290" s="17" t="str">
        <f>TEXT(data[[#This Row],[ShipDate]],"yyyy - mmmm")</f>
        <v>2016 - June</v>
      </c>
      <c r="G290" s="17" t="str">
        <f>data[[#This Row],[OriginCity]] &amp; " - "  &amp; data[[#This Row],[DestinationCity]]</f>
        <v>Milwaukee - Springfield</v>
      </c>
      <c r="H290" s="17" t="s">
        <v>28</v>
      </c>
      <c r="I290" s="17" t="s">
        <v>29</v>
      </c>
      <c r="J290" s="17">
        <v>8</v>
      </c>
      <c r="K290" s="17" t="s">
        <v>30</v>
      </c>
      <c r="L290" s="17" t="s">
        <v>31</v>
      </c>
      <c r="M290" s="17" t="s">
        <v>116</v>
      </c>
      <c r="N290" s="17">
        <v>1002</v>
      </c>
      <c r="O290" s="17">
        <v>350</v>
      </c>
      <c r="P290" s="26">
        <f>(data[[#This Row],[LoadedMiles]]/data[[#This Row],[TotalMiles]])*100</f>
        <v>34.930139720558884</v>
      </c>
      <c r="Q290" s="25">
        <f>data[[#This Row],[ShippingCost]]/data[[#This Row],[TotalMiles]]</f>
        <v>6.1097804391217565</v>
      </c>
      <c r="R290" s="17">
        <v>6122</v>
      </c>
      <c r="S290" s="25">
        <f>data[[#This Row],[Revenue]]/data[[#This Row],[TotalMiles]]</f>
        <v>9.6237524950099793</v>
      </c>
      <c r="T290" s="26">
        <f>data[[#This Row],[Revenue]]-data[[#This Row],[ShippingCost]]</f>
        <v>3521</v>
      </c>
      <c r="U290" s="17">
        <v>9643</v>
      </c>
      <c r="V290" s="17">
        <v>74</v>
      </c>
      <c r="W290" s="17" t="s">
        <v>68</v>
      </c>
      <c r="X290" s="17">
        <v>1</v>
      </c>
      <c r="Y290" s="17">
        <f>data[[#This Row],[DeliveryDate]]-data[[#This Row],[ShipDate]]</f>
        <v>8</v>
      </c>
      <c r="Z290" s="17" t="str">
        <f>IF(data[[#This Row],[Actual Delivery Days]]&gt;AD291,"Yes","No")</f>
        <v>Yes</v>
      </c>
    </row>
    <row r="291" spans="1:26">
      <c r="A291" s="17">
        <v>11018</v>
      </c>
      <c r="B291" s="17">
        <v>2</v>
      </c>
      <c r="C291" s="17">
        <v>6</v>
      </c>
      <c r="D291" s="17" t="s">
        <v>371</v>
      </c>
      <c r="E291" s="17" t="s">
        <v>166</v>
      </c>
      <c r="F291" s="17" t="str">
        <f>TEXT(data[[#This Row],[ShipDate]],"yyyy - mmmm")</f>
        <v>2016 - January</v>
      </c>
      <c r="G291" s="17" t="str">
        <f>data[[#This Row],[OriginCity]] &amp; " - "  &amp; data[[#This Row],[DestinationCity]]</f>
        <v>Northbrook - Naperville</v>
      </c>
      <c r="H291" s="17" t="s">
        <v>45</v>
      </c>
      <c r="I291" s="17" t="s">
        <v>31</v>
      </c>
      <c r="J291" s="17">
        <v>8</v>
      </c>
      <c r="K291" s="17" t="s">
        <v>48</v>
      </c>
      <c r="L291" s="17" t="s">
        <v>31</v>
      </c>
      <c r="M291" s="17" t="s">
        <v>82</v>
      </c>
      <c r="N291" s="17">
        <v>831</v>
      </c>
      <c r="O291" s="17">
        <v>490</v>
      </c>
      <c r="P291" s="26">
        <f>(data[[#This Row],[LoadedMiles]]/data[[#This Row],[TotalMiles]])*100</f>
        <v>58.96510228640193</v>
      </c>
      <c r="Q291" s="25">
        <f>data[[#This Row],[ShippingCost]]/data[[#This Row],[TotalMiles]]</f>
        <v>10.167268351383875</v>
      </c>
      <c r="R291" s="17">
        <v>8449</v>
      </c>
      <c r="S291" s="25">
        <f>data[[#This Row],[Revenue]]/data[[#This Row],[TotalMiles]]</f>
        <v>10.578820697954272</v>
      </c>
      <c r="T291" s="26">
        <f>data[[#This Row],[Revenue]]-data[[#This Row],[ShippingCost]]</f>
        <v>342</v>
      </c>
      <c r="U291" s="17">
        <v>8791</v>
      </c>
      <c r="V291" s="17">
        <v>51</v>
      </c>
      <c r="W291" s="17" t="s">
        <v>68</v>
      </c>
      <c r="X291" s="17">
        <v>6</v>
      </c>
      <c r="Y291" s="17">
        <f>data[[#This Row],[DeliveryDate]]-data[[#This Row],[ShipDate]]</f>
        <v>52</v>
      </c>
      <c r="Z291" s="17" t="str">
        <f>IF(data[[#This Row],[Actual Delivery Days]]&gt;AD292,"Yes","No")</f>
        <v>Yes</v>
      </c>
    </row>
    <row r="292" spans="1:26">
      <c r="A292" s="17">
        <v>11058</v>
      </c>
      <c r="B292" s="17">
        <v>2</v>
      </c>
      <c r="C292" s="17">
        <v>1</v>
      </c>
      <c r="D292" s="17" t="s">
        <v>441</v>
      </c>
      <c r="E292" s="17" t="s">
        <v>415</v>
      </c>
      <c r="F292" s="17" t="str">
        <f>TEXT(data[[#This Row],[ShipDate]],"yyyy - mmmm")</f>
        <v>2016 - August</v>
      </c>
      <c r="G292" s="17" t="str">
        <f>data[[#This Row],[OriginCity]] &amp; " - "  &amp; data[[#This Row],[DestinationCity]]</f>
        <v>Springfield - Skokie</v>
      </c>
      <c r="H292" s="17" t="s">
        <v>30</v>
      </c>
      <c r="I292" s="17" t="s">
        <v>31</v>
      </c>
      <c r="J292" s="17">
        <v>8</v>
      </c>
      <c r="K292" s="17" t="s">
        <v>35</v>
      </c>
      <c r="L292" s="17" t="s">
        <v>31</v>
      </c>
      <c r="M292" s="17" t="s">
        <v>408</v>
      </c>
      <c r="N292" s="17">
        <v>629</v>
      </c>
      <c r="O292" s="17">
        <v>248</v>
      </c>
      <c r="P292" s="26">
        <f>(data[[#This Row],[LoadedMiles]]/data[[#This Row],[TotalMiles]])*100</f>
        <v>39.427662957074723</v>
      </c>
      <c r="Q292" s="25">
        <f>data[[#This Row],[ShippingCost]]/data[[#This Row],[TotalMiles]]</f>
        <v>6.9014308426073132</v>
      </c>
      <c r="R292" s="17">
        <v>4341</v>
      </c>
      <c r="S292" s="25">
        <f>data[[#This Row],[Revenue]]/data[[#This Row],[TotalMiles]]</f>
        <v>13.947535771065183</v>
      </c>
      <c r="T292" s="26">
        <f>data[[#This Row],[Revenue]]-data[[#This Row],[ShippingCost]]</f>
        <v>4432</v>
      </c>
      <c r="U292" s="17">
        <v>8773</v>
      </c>
      <c r="V292" s="17">
        <v>97</v>
      </c>
      <c r="W292" s="17" t="s">
        <v>68</v>
      </c>
      <c r="X292" s="17">
        <v>8</v>
      </c>
      <c r="Y292" s="17">
        <f>data[[#This Row],[DeliveryDate]]-data[[#This Row],[ShipDate]]</f>
        <v>6</v>
      </c>
      <c r="Z292" s="17" t="str">
        <f>IF(data[[#This Row],[Actual Delivery Days]]&gt;AD293,"Yes","No")</f>
        <v>Yes</v>
      </c>
    </row>
    <row r="293" spans="1:26">
      <c r="A293" s="17">
        <v>11070</v>
      </c>
      <c r="B293" s="17">
        <v>3</v>
      </c>
      <c r="C293" s="17">
        <v>3</v>
      </c>
      <c r="D293" s="17" t="s">
        <v>461</v>
      </c>
      <c r="E293" s="17" t="s">
        <v>58</v>
      </c>
      <c r="F293" s="17" t="str">
        <f>TEXT(data[[#This Row],[ShipDate]],"yyyy - mmmm")</f>
        <v>2016 - May</v>
      </c>
      <c r="G293" s="17" t="str">
        <f>data[[#This Row],[OriginCity]] &amp; " - "  &amp; data[[#This Row],[DestinationCity]]</f>
        <v>Dayton - Elgin</v>
      </c>
      <c r="H293" s="17" t="s">
        <v>93</v>
      </c>
      <c r="I293" s="17" t="s">
        <v>23</v>
      </c>
      <c r="J293" s="17">
        <v>8</v>
      </c>
      <c r="K293" s="17" t="s">
        <v>94</v>
      </c>
      <c r="L293" s="17" t="s">
        <v>31</v>
      </c>
      <c r="M293" s="17" t="s">
        <v>368</v>
      </c>
      <c r="N293" s="17">
        <v>499</v>
      </c>
      <c r="O293" s="17">
        <v>366</v>
      </c>
      <c r="P293" s="26">
        <f>(data[[#This Row],[LoadedMiles]]/data[[#This Row],[TotalMiles]])*100</f>
        <v>73.346693386773538</v>
      </c>
      <c r="Q293" s="25">
        <f>data[[#This Row],[ShippingCost]]/data[[#This Row],[TotalMiles]]</f>
        <v>14.364729458917836</v>
      </c>
      <c r="R293" s="17">
        <v>7168</v>
      </c>
      <c r="S293" s="25">
        <f>data[[#This Row],[Revenue]]/data[[#This Row],[TotalMiles]]</f>
        <v>15.410821643286573</v>
      </c>
      <c r="T293" s="26">
        <f>data[[#This Row],[Revenue]]-data[[#This Row],[ShippingCost]]</f>
        <v>522</v>
      </c>
      <c r="U293" s="17">
        <v>7690</v>
      </c>
      <c r="V293" s="17">
        <v>59</v>
      </c>
      <c r="W293" s="17" t="s">
        <v>68</v>
      </c>
      <c r="X293" s="17">
        <v>7</v>
      </c>
      <c r="Y293" s="17">
        <f>data[[#This Row],[DeliveryDate]]-data[[#This Row],[ShipDate]]</f>
        <v>8</v>
      </c>
      <c r="Z293" s="17" t="str">
        <f>IF(data[[#This Row],[Actual Delivery Days]]&gt;AD294,"Yes","No")</f>
        <v>Yes</v>
      </c>
    </row>
    <row r="294" spans="1:26">
      <c r="A294" s="17">
        <v>11105</v>
      </c>
      <c r="B294" s="17">
        <v>3</v>
      </c>
      <c r="C294" s="17">
        <v>3</v>
      </c>
      <c r="D294" s="17" t="s">
        <v>508</v>
      </c>
      <c r="E294" s="17" t="s">
        <v>100</v>
      </c>
      <c r="F294" s="17" t="str">
        <f>TEXT(data[[#This Row],[ShipDate]],"yyyy - mmmm")</f>
        <v>2016 - April</v>
      </c>
      <c r="G294" s="17" t="str">
        <f>data[[#This Row],[OriginCity]] &amp; " - "  &amp; data[[#This Row],[DestinationCity]]</f>
        <v>Detriot - Monon</v>
      </c>
      <c r="H294" s="17" t="s">
        <v>52</v>
      </c>
      <c r="I294" s="17" t="s">
        <v>21</v>
      </c>
      <c r="J294" s="17">
        <v>8</v>
      </c>
      <c r="K294" s="17" t="s">
        <v>53</v>
      </c>
      <c r="L294" s="17" t="s">
        <v>44</v>
      </c>
      <c r="M294" s="17" t="s">
        <v>114</v>
      </c>
      <c r="N294" s="17">
        <v>731</v>
      </c>
      <c r="O294" s="17">
        <v>441</v>
      </c>
      <c r="P294" s="26">
        <f>(data[[#This Row],[LoadedMiles]]/data[[#This Row],[TotalMiles]])*100</f>
        <v>60.328317373461019</v>
      </c>
      <c r="Q294" s="25">
        <f>data[[#This Row],[ShippingCost]]/data[[#This Row],[TotalMiles]]</f>
        <v>2.0150478796169629</v>
      </c>
      <c r="R294" s="17">
        <v>1473</v>
      </c>
      <c r="S294" s="25">
        <f>data[[#This Row],[Revenue]]/data[[#This Row],[TotalMiles]]</f>
        <v>2.4445964432284542</v>
      </c>
      <c r="T294" s="26">
        <f>data[[#This Row],[Revenue]]-data[[#This Row],[ShippingCost]]</f>
        <v>314</v>
      </c>
      <c r="U294" s="17">
        <v>1787</v>
      </c>
      <c r="V294" s="17">
        <v>91</v>
      </c>
      <c r="W294" s="17" t="s">
        <v>68</v>
      </c>
      <c r="X294" s="17">
        <v>2</v>
      </c>
      <c r="Y294" s="17">
        <f>data[[#This Row],[DeliveryDate]]-data[[#This Row],[ShipDate]]</f>
        <v>8</v>
      </c>
      <c r="Z294" s="17" t="str">
        <f>IF(data[[#This Row],[Actual Delivery Days]]&gt;AD295,"Yes","No")</f>
        <v>Yes</v>
      </c>
    </row>
    <row r="295" spans="1:26">
      <c r="A295" s="17">
        <v>11112</v>
      </c>
      <c r="B295" s="17">
        <v>3</v>
      </c>
      <c r="C295" s="17">
        <v>1</v>
      </c>
      <c r="D295" s="17" t="s">
        <v>518</v>
      </c>
      <c r="E295" s="17" t="s">
        <v>222</v>
      </c>
      <c r="F295" s="17" t="str">
        <f>TEXT(data[[#This Row],[ShipDate]],"yyyy - mmmm")</f>
        <v>2016 - April</v>
      </c>
      <c r="G295" s="17" t="str">
        <f>data[[#This Row],[OriginCity]] &amp; " - "  &amp; data[[#This Row],[DestinationCity]]</f>
        <v>Appleton - Grand Rapids</v>
      </c>
      <c r="H295" s="17" t="s">
        <v>85</v>
      </c>
      <c r="I295" s="17" t="s">
        <v>29</v>
      </c>
      <c r="J295" s="17">
        <v>8</v>
      </c>
      <c r="K295" s="17" t="s">
        <v>20</v>
      </c>
      <c r="L295" s="17" t="s">
        <v>21</v>
      </c>
      <c r="M295" s="17" t="s">
        <v>97</v>
      </c>
      <c r="N295" s="17">
        <v>704</v>
      </c>
      <c r="O295" s="17">
        <v>330</v>
      </c>
      <c r="P295" s="26">
        <f>(data[[#This Row],[LoadedMiles]]/data[[#This Row],[TotalMiles]])*100</f>
        <v>46.875</v>
      </c>
      <c r="Q295" s="25">
        <f>data[[#This Row],[ShippingCost]]/data[[#This Row],[TotalMiles]]</f>
        <v>7.6505681818181817</v>
      </c>
      <c r="R295" s="17">
        <v>5386</v>
      </c>
      <c r="S295" s="25">
        <f>data[[#This Row],[Revenue]]/data[[#This Row],[TotalMiles]]</f>
        <v>13.866477272727273</v>
      </c>
      <c r="T295" s="26">
        <f>data[[#This Row],[Revenue]]-data[[#This Row],[ShippingCost]]</f>
        <v>4376</v>
      </c>
      <c r="U295" s="17">
        <v>9762</v>
      </c>
      <c r="V295" s="17">
        <v>57</v>
      </c>
      <c r="W295" s="17" t="s">
        <v>68</v>
      </c>
      <c r="X295" s="17">
        <v>5</v>
      </c>
      <c r="Y295" s="17">
        <f>data[[#This Row],[DeliveryDate]]-data[[#This Row],[ShipDate]]</f>
        <v>7</v>
      </c>
      <c r="Z295" s="17" t="str">
        <f>IF(data[[#This Row],[Actual Delivery Days]]&gt;AD296,"Yes","No")</f>
        <v>Yes</v>
      </c>
    </row>
    <row r="296" spans="1:26">
      <c r="A296" s="17">
        <v>11125</v>
      </c>
      <c r="B296" s="17">
        <v>3</v>
      </c>
      <c r="C296" s="17">
        <v>5</v>
      </c>
      <c r="D296" s="17" t="s">
        <v>538</v>
      </c>
      <c r="E296" s="17" t="s">
        <v>492</v>
      </c>
      <c r="F296" s="17" t="str">
        <f>TEXT(data[[#This Row],[ShipDate]],"yyyy - mmmm")</f>
        <v>2016 - July</v>
      </c>
      <c r="G296" s="17" t="str">
        <f>data[[#This Row],[OriginCity]] &amp; " - "  &amp; data[[#This Row],[DestinationCity]]</f>
        <v>Indianapolis - Northbrook</v>
      </c>
      <c r="H296" s="17" t="s">
        <v>43</v>
      </c>
      <c r="I296" s="17" t="s">
        <v>44</v>
      </c>
      <c r="J296" s="17">
        <v>8</v>
      </c>
      <c r="K296" s="17" t="s">
        <v>45</v>
      </c>
      <c r="L296" s="17" t="s">
        <v>31</v>
      </c>
      <c r="M296" s="17" t="s">
        <v>415</v>
      </c>
      <c r="N296" s="17">
        <v>645</v>
      </c>
      <c r="O296" s="17">
        <v>645</v>
      </c>
      <c r="P296" s="26">
        <f>(data[[#This Row],[LoadedMiles]]/data[[#This Row],[TotalMiles]])*100</f>
        <v>100</v>
      </c>
      <c r="Q296" s="25">
        <f>data[[#This Row],[ShippingCost]]/data[[#This Row],[TotalMiles]]</f>
        <v>10.693023255813953</v>
      </c>
      <c r="R296" s="17">
        <v>6897</v>
      </c>
      <c r="S296" s="25">
        <f>data[[#This Row],[Revenue]]/data[[#This Row],[TotalMiles]]</f>
        <v>11.431007751937985</v>
      </c>
      <c r="T296" s="26">
        <f>data[[#This Row],[Revenue]]-data[[#This Row],[ShippingCost]]</f>
        <v>476</v>
      </c>
      <c r="U296" s="17">
        <v>7373</v>
      </c>
      <c r="V296" s="17">
        <v>63</v>
      </c>
      <c r="W296" s="17" t="s">
        <v>68</v>
      </c>
      <c r="X296" s="17">
        <v>10</v>
      </c>
      <c r="Y296" s="17">
        <f>data[[#This Row],[DeliveryDate]]-data[[#This Row],[ShipDate]]</f>
        <v>8</v>
      </c>
      <c r="Z296" s="17" t="str">
        <f>IF(data[[#This Row],[Actual Delivery Days]]&gt;AD297,"Yes","No")</f>
        <v>Yes</v>
      </c>
    </row>
    <row r="297" spans="1:26">
      <c r="A297" s="17">
        <v>11126</v>
      </c>
      <c r="B297" s="17">
        <v>2</v>
      </c>
      <c r="C297" s="17">
        <v>6</v>
      </c>
      <c r="D297" s="17" t="s">
        <v>539</v>
      </c>
      <c r="E297" s="17" t="s">
        <v>221</v>
      </c>
      <c r="F297" s="17" t="str">
        <f>TEXT(data[[#This Row],[ShipDate]],"yyyy - mmmm")</f>
        <v>2016 - April</v>
      </c>
      <c r="G297" s="17" t="str">
        <f>data[[#This Row],[OriginCity]] &amp; " - "  &amp; data[[#This Row],[DestinationCity]]</f>
        <v>Northbrook - Naperville</v>
      </c>
      <c r="H297" s="17" t="s">
        <v>45</v>
      </c>
      <c r="I297" s="17" t="s">
        <v>31</v>
      </c>
      <c r="J297" s="17">
        <v>8</v>
      </c>
      <c r="K297" s="17" t="s">
        <v>48</v>
      </c>
      <c r="L297" s="17" t="s">
        <v>31</v>
      </c>
      <c r="M297" s="17" t="s">
        <v>82</v>
      </c>
      <c r="N297" s="17">
        <v>279</v>
      </c>
      <c r="O297" s="17">
        <v>262</v>
      </c>
      <c r="P297" s="26">
        <f>(data[[#This Row],[LoadedMiles]]/data[[#This Row],[TotalMiles]])*100</f>
        <v>93.906810035842298</v>
      </c>
      <c r="Q297" s="25">
        <f>data[[#This Row],[ShippingCost]]/data[[#This Row],[TotalMiles]]</f>
        <v>28.168458781362006</v>
      </c>
      <c r="R297" s="17">
        <v>7859</v>
      </c>
      <c r="S297" s="25">
        <f>data[[#This Row],[Revenue]]/data[[#This Row],[TotalMiles]]</f>
        <v>31.577060931899641</v>
      </c>
      <c r="T297" s="26">
        <f>data[[#This Row],[Revenue]]-data[[#This Row],[ShippingCost]]</f>
        <v>951</v>
      </c>
      <c r="U297" s="17">
        <v>8810</v>
      </c>
      <c r="V297" s="17">
        <v>68</v>
      </c>
      <c r="W297" s="17" t="s">
        <v>68</v>
      </c>
      <c r="X297" s="17">
        <v>2</v>
      </c>
      <c r="Y297" s="17">
        <f>data[[#This Row],[DeliveryDate]]-data[[#This Row],[ShipDate]]</f>
        <v>-21</v>
      </c>
      <c r="Z297" s="17" t="str">
        <f>IF(data[[#This Row],[Actual Delivery Days]]&gt;AD298,"Yes","No")</f>
        <v>No</v>
      </c>
    </row>
    <row r="298" spans="1:26">
      <c r="A298" s="17">
        <v>11131</v>
      </c>
      <c r="B298" s="17">
        <v>2</v>
      </c>
      <c r="C298" s="17">
        <v>4</v>
      </c>
      <c r="D298" s="17" t="s">
        <v>546</v>
      </c>
      <c r="E298" s="17" t="s">
        <v>521</v>
      </c>
      <c r="F298" s="17" t="str">
        <f>TEXT(data[[#This Row],[ShipDate]],"yyyy - mmmm")</f>
        <v>2016 - February</v>
      </c>
      <c r="G298" s="17" t="str">
        <f>data[[#This Row],[OriginCity]] &amp; " - "  &amp; data[[#This Row],[DestinationCity]]</f>
        <v>Madison - Kalamazoo</v>
      </c>
      <c r="H298" s="17" t="s">
        <v>62</v>
      </c>
      <c r="I298" s="17" t="s">
        <v>29</v>
      </c>
      <c r="J298" s="17">
        <v>8</v>
      </c>
      <c r="K298" s="17" t="s">
        <v>71</v>
      </c>
      <c r="L298" s="17" t="s">
        <v>21</v>
      </c>
      <c r="M298" s="17" t="s">
        <v>332</v>
      </c>
      <c r="N298" s="17">
        <v>601</v>
      </c>
      <c r="O298" s="17">
        <v>566</v>
      </c>
      <c r="P298" s="26">
        <f>(data[[#This Row],[LoadedMiles]]/data[[#This Row],[TotalMiles]])*100</f>
        <v>94.176372712146431</v>
      </c>
      <c r="Q298" s="25">
        <f>data[[#This Row],[ShippingCost]]/data[[#This Row],[TotalMiles]]</f>
        <v>7.8569051580698837</v>
      </c>
      <c r="R298" s="17">
        <v>4722</v>
      </c>
      <c r="S298" s="25">
        <f>data[[#This Row],[Revenue]]/data[[#This Row],[TotalMiles]]</f>
        <v>4.2379367720465888</v>
      </c>
      <c r="T298" s="26">
        <f>data[[#This Row],[Revenue]]-data[[#This Row],[ShippingCost]]</f>
        <v>-2175</v>
      </c>
      <c r="U298" s="17">
        <v>2547</v>
      </c>
      <c r="V298" s="17">
        <v>79</v>
      </c>
      <c r="W298" s="17" t="s">
        <v>68</v>
      </c>
      <c r="X298" s="17">
        <v>7</v>
      </c>
      <c r="Y298" s="17">
        <f>data[[#This Row],[DeliveryDate]]-data[[#This Row],[ShipDate]]</f>
        <v>7</v>
      </c>
      <c r="Z298" s="17" t="str">
        <f>IF(data[[#This Row],[Actual Delivery Days]]&gt;AD299,"Yes","No")</f>
        <v>Yes</v>
      </c>
    </row>
    <row r="299" spans="1:26">
      <c r="A299" s="17">
        <v>11144</v>
      </c>
      <c r="B299" s="17">
        <v>2</v>
      </c>
      <c r="C299" s="17">
        <v>5</v>
      </c>
      <c r="D299" s="17" t="s">
        <v>561</v>
      </c>
      <c r="E299" s="17" t="s">
        <v>63</v>
      </c>
      <c r="F299" s="17" t="str">
        <f>TEXT(data[[#This Row],[ShipDate]],"yyyy - mmmm")</f>
        <v>2016 - July</v>
      </c>
      <c r="G299" s="17" t="str">
        <f>data[[#This Row],[OriginCity]] &amp; " - "  &amp; data[[#This Row],[DestinationCity]]</f>
        <v>Grand Rapids - Toledo</v>
      </c>
      <c r="H299" s="17" t="s">
        <v>20</v>
      </c>
      <c r="I299" s="17" t="s">
        <v>21</v>
      </c>
      <c r="J299" s="17">
        <v>8</v>
      </c>
      <c r="K299" s="17" t="s">
        <v>22</v>
      </c>
      <c r="L299" s="17" t="s">
        <v>23</v>
      </c>
      <c r="M299" s="17" t="s">
        <v>535</v>
      </c>
      <c r="N299" s="17">
        <v>778</v>
      </c>
      <c r="O299" s="17">
        <v>336</v>
      </c>
      <c r="P299" s="26">
        <f>(data[[#This Row],[LoadedMiles]]/data[[#This Row],[TotalMiles]])*100</f>
        <v>43.18766066838046</v>
      </c>
      <c r="Q299" s="25">
        <f>data[[#This Row],[ShippingCost]]/data[[#This Row],[TotalMiles]]</f>
        <v>3.4100257069408739</v>
      </c>
      <c r="R299" s="17">
        <v>2653</v>
      </c>
      <c r="S299" s="25">
        <f>data[[#This Row],[Revenue]]/data[[#This Row],[TotalMiles]]</f>
        <v>3.9498714652956299</v>
      </c>
      <c r="T299" s="26">
        <f>data[[#This Row],[Revenue]]-data[[#This Row],[ShippingCost]]</f>
        <v>420</v>
      </c>
      <c r="U299" s="17">
        <v>3073</v>
      </c>
      <c r="V299" s="17">
        <v>51</v>
      </c>
      <c r="W299" s="17" t="s">
        <v>68</v>
      </c>
      <c r="X299" s="17">
        <v>2</v>
      </c>
      <c r="Y299" s="17">
        <f>data[[#This Row],[DeliveryDate]]-data[[#This Row],[ShipDate]]</f>
        <v>8</v>
      </c>
      <c r="Z299" s="17" t="str">
        <f>IF(data[[#This Row],[Actual Delivery Days]]&gt;AD300,"Yes","No")</f>
        <v>Yes</v>
      </c>
    </row>
    <row r="300" spans="1:26">
      <c r="A300" s="17">
        <v>11169</v>
      </c>
      <c r="B300" s="17">
        <v>3</v>
      </c>
      <c r="C300" s="17">
        <v>1</v>
      </c>
      <c r="D300" s="17" t="s">
        <v>591</v>
      </c>
      <c r="E300" s="17" t="s">
        <v>246</v>
      </c>
      <c r="F300" s="17" t="str">
        <f>TEXT(data[[#This Row],[ShipDate]],"yyyy - mmmm")</f>
        <v>2016 - January</v>
      </c>
      <c r="G300" s="17" t="str">
        <f>data[[#This Row],[OriginCity]] &amp; " - "  &amp; data[[#This Row],[DestinationCity]]</f>
        <v>Springfield - Skokie</v>
      </c>
      <c r="H300" s="17" t="s">
        <v>30</v>
      </c>
      <c r="I300" s="17" t="s">
        <v>31</v>
      </c>
      <c r="J300" s="17">
        <v>8</v>
      </c>
      <c r="K300" s="17" t="s">
        <v>35</v>
      </c>
      <c r="L300" s="17" t="s">
        <v>31</v>
      </c>
      <c r="M300" s="17" t="s">
        <v>236</v>
      </c>
      <c r="N300" s="17">
        <v>737</v>
      </c>
      <c r="O300" s="17">
        <v>211</v>
      </c>
      <c r="P300" s="26">
        <f>(data[[#This Row],[LoadedMiles]]/data[[#This Row],[TotalMiles]])*100</f>
        <v>28.629579375848031</v>
      </c>
      <c r="Q300" s="25">
        <f>data[[#This Row],[ShippingCost]]/data[[#This Row],[TotalMiles]]</f>
        <v>0.35549525101763907</v>
      </c>
      <c r="R300" s="17">
        <v>262</v>
      </c>
      <c r="S300" s="25">
        <f>data[[#This Row],[Revenue]]/data[[#This Row],[TotalMiles]]</f>
        <v>7.2455902306648579</v>
      </c>
      <c r="T300" s="26">
        <f>data[[#This Row],[Revenue]]-data[[#This Row],[ShippingCost]]</f>
        <v>5078</v>
      </c>
      <c r="U300" s="17">
        <v>5340</v>
      </c>
      <c r="V300" s="17">
        <v>56</v>
      </c>
      <c r="W300" s="17" t="s">
        <v>68</v>
      </c>
      <c r="X300" s="17">
        <v>5</v>
      </c>
      <c r="Y300" s="17">
        <f>data[[#This Row],[DeliveryDate]]-data[[#This Row],[ShipDate]]</f>
        <v>6</v>
      </c>
      <c r="Z300" s="17" t="str">
        <f>IF(data[[#This Row],[Actual Delivery Days]]&gt;AD301,"Yes","No")</f>
        <v>Yes</v>
      </c>
    </row>
    <row r="301" spans="1:26">
      <c r="A301" s="17">
        <v>11170</v>
      </c>
      <c r="B301" s="17">
        <v>2</v>
      </c>
      <c r="C301" s="17">
        <v>6</v>
      </c>
      <c r="D301" s="17" t="s">
        <v>592</v>
      </c>
      <c r="E301" s="17" t="s">
        <v>231</v>
      </c>
      <c r="F301" s="17" t="str">
        <f>TEXT(data[[#This Row],[ShipDate]],"yyyy - mmmm")</f>
        <v>2016 - May</v>
      </c>
      <c r="G301" s="17" t="str">
        <f>data[[#This Row],[OriginCity]] &amp; " - "  &amp; data[[#This Row],[DestinationCity]]</f>
        <v>Chicago - Rockford</v>
      </c>
      <c r="H301" s="17" t="s">
        <v>39</v>
      </c>
      <c r="I301" s="17" t="s">
        <v>31</v>
      </c>
      <c r="J301" s="17">
        <v>8</v>
      </c>
      <c r="K301" s="17" t="s">
        <v>40</v>
      </c>
      <c r="L301" s="17" t="s">
        <v>31</v>
      </c>
      <c r="M301" s="17" t="s">
        <v>367</v>
      </c>
      <c r="N301" s="17">
        <v>358</v>
      </c>
      <c r="O301" s="17">
        <v>358</v>
      </c>
      <c r="P301" s="26">
        <f>(data[[#This Row],[LoadedMiles]]/data[[#This Row],[TotalMiles]])*100</f>
        <v>100</v>
      </c>
      <c r="Q301" s="25">
        <f>data[[#This Row],[ShippingCost]]/data[[#This Row],[TotalMiles]]</f>
        <v>22.558659217877096</v>
      </c>
      <c r="R301" s="17">
        <v>8076</v>
      </c>
      <c r="S301" s="25">
        <f>data[[#This Row],[Revenue]]/data[[#This Row],[TotalMiles]]</f>
        <v>24.354748603351954</v>
      </c>
      <c r="T301" s="26">
        <f>data[[#This Row],[Revenue]]-data[[#This Row],[ShippingCost]]</f>
        <v>643</v>
      </c>
      <c r="U301" s="17">
        <v>8719</v>
      </c>
      <c r="V301" s="17">
        <v>52</v>
      </c>
      <c r="W301" s="17" t="s">
        <v>68</v>
      </c>
      <c r="X301" s="17">
        <v>6</v>
      </c>
      <c r="Y301" s="17">
        <f>data[[#This Row],[DeliveryDate]]-data[[#This Row],[ShipDate]]</f>
        <v>6</v>
      </c>
      <c r="Z301" s="17" t="str">
        <f>IF(data[[#This Row],[Actual Delivery Days]]&gt;AD302,"Yes","No")</f>
        <v>Yes</v>
      </c>
    </row>
    <row r="302" spans="1:26">
      <c r="A302" s="17">
        <v>11190</v>
      </c>
      <c r="B302" s="17">
        <v>3</v>
      </c>
      <c r="C302" s="17">
        <v>2</v>
      </c>
      <c r="D302" s="17" t="s">
        <v>55</v>
      </c>
      <c r="E302" s="17" t="s">
        <v>447</v>
      </c>
      <c r="F302" s="17" t="str">
        <f>TEXT(data[[#This Row],[ShipDate]],"yyyy - mmmm")</f>
        <v>2016 - January</v>
      </c>
      <c r="G302" s="17" t="str">
        <f>data[[#This Row],[OriginCity]] &amp; " - "  &amp; data[[#This Row],[DestinationCity]]</f>
        <v>Davenport - Appleton</v>
      </c>
      <c r="H302" s="17" t="s">
        <v>105</v>
      </c>
      <c r="I302" s="17" t="s">
        <v>106</v>
      </c>
      <c r="J302" s="17">
        <v>8</v>
      </c>
      <c r="K302" s="17" t="s">
        <v>85</v>
      </c>
      <c r="L302" s="17" t="s">
        <v>29</v>
      </c>
      <c r="M302" s="17" t="s">
        <v>152</v>
      </c>
      <c r="N302" s="17">
        <v>814</v>
      </c>
      <c r="O302" s="17">
        <v>695</v>
      </c>
      <c r="P302" s="26">
        <f>(data[[#This Row],[LoadedMiles]]/data[[#This Row],[TotalMiles]])*100</f>
        <v>85.380835380835379</v>
      </c>
      <c r="Q302" s="25">
        <f>data[[#This Row],[ShippingCost]]/data[[#This Row],[TotalMiles]]</f>
        <v>9.5073710073710078</v>
      </c>
      <c r="R302" s="17">
        <v>7739</v>
      </c>
      <c r="S302" s="25">
        <f>data[[#This Row],[Revenue]]/data[[#This Row],[TotalMiles]]</f>
        <v>10.27027027027027</v>
      </c>
      <c r="T302" s="26">
        <f>data[[#This Row],[Revenue]]-data[[#This Row],[ShippingCost]]</f>
        <v>621</v>
      </c>
      <c r="U302" s="17">
        <v>8360</v>
      </c>
      <c r="V302" s="17">
        <v>64</v>
      </c>
      <c r="W302" s="17" t="s">
        <v>68</v>
      </c>
      <c r="X302" s="17">
        <v>4</v>
      </c>
      <c r="Y302" s="17">
        <f>data[[#This Row],[DeliveryDate]]-data[[#This Row],[ShipDate]]</f>
        <v>7</v>
      </c>
      <c r="Z302" s="17" t="str">
        <f>IF(data[[#This Row],[Actual Delivery Days]]&gt;AD303,"Yes","No")</f>
        <v>Yes</v>
      </c>
    </row>
    <row r="303" spans="1:26">
      <c r="A303" s="17">
        <v>11220</v>
      </c>
      <c r="B303" s="17">
        <v>3</v>
      </c>
      <c r="C303" s="17">
        <v>3</v>
      </c>
      <c r="D303" s="17" t="s">
        <v>159</v>
      </c>
      <c r="E303" s="17" t="s">
        <v>553</v>
      </c>
      <c r="F303" s="17" t="str">
        <f>TEXT(data[[#This Row],[ShipDate]],"yyyy - mmmm")</f>
        <v>2016 - July</v>
      </c>
      <c r="G303" s="17" t="str">
        <f>data[[#This Row],[OriginCity]] &amp; " - "  &amp; data[[#This Row],[DestinationCity]]</f>
        <v>Gary - Milwaukee</v>
      </c>
      <c r="H303" s="17" t="s">
        <v>57</v>
      </c>
      <c r="I303" s="17" t="s">
        <v>44</v>
      </c>
      <c r="J303" s="17">
        <v>8</v>
      </c>
      <c r="K303" s="17" t="s">
        <v>28</v>
      </c>
      <c r="L303" s="17" t="s">
        <v>29</v>
      </c>
      <c r="M303" s="17" t="s">
        <v>63</v>
      </c>
      <c r="N303" s="17">
        <v>729</v>
      </c>
      <c r="O303" s="17">
        <v>632</v>
      </c>
      <c r="P303" s="26">
        <f>(data[[#This Row],[LoadedMiles]]/data[[#This Row],[TotalMiles]])*100</f>
        <v>86.694101508916319</v>
      </c>
      <c r="Q303" s="25">
        <f>data[[#This Row],[ShippingCost]]/data[[#This Row],[TotalMiles]]</f>
        <v>6.9780521262002742</v>
      </c>
      <c r="R303" s="17">
        <v>5087</v>
      </c>
      <c r="S303" s="25">
        <f>data[[#This Row],[Revenue]]/data[[#This Row],[TotalMiles]]</f>
        <v>7.4320987654320989</v>
      </c>
      <c r="T303" s="26">
        <f>data[[#This Row],[Revenue]]-data[[#This Row],[ShippingCost]]</f>
        <v>331</v>
      </c>
      <c r="U303" s="17">
        <v>5418</v>
      </c>
      <c r="V303" s="17">
        <v>70</v>
      </c>
      <c r="W303" s="17" t="s">
        <v>68</v>
      </c>
      <c r="X303" s="17">
        <v>7</v>
      </c>
      <c r="Y303" s="17">
        <f>data[[#This Row],[DeliveryDate]]-data[[#This Row],[ShipDate]]</f>
        <v>8</v>
      </c>
      <c r="Z303" s="17" t="str">
        <f>IF(data[[#This Row],[Actual Delivery Days]]&gt;AD304,"Yes","No")</f>
        <v>Yes</v>
      </c>
    </row>
    <row r="304" spans="1:26">
      <c r="A304" s="17">
        <v>11227</v>
      </c>
      <c r="B304" s="17">
        <v>3</v>
      </c>
      <c r="C304" s="17">
        <v>1</v>
      </c>
      <c r="D304" s="17" t="s">
        <v>178</v>
      </c>
      <c r="E304" s="17" t="s">
        <v>399</v>
      </c>
      <c r="F304" s="17" t="str">
        <f>TEXT(data[[#This Row],[ShipDate]],"yyyy - mmmm")</f>
        <v>2016 - July</v>
      </c>
      <c r="G304" s="17" t="str">
        <f>data[[#This Row],[OriginCity]] &amp; " - "  &amp; data[[#This Row],[DestinationCity]]</f>
        <v>Cincinnati - Gary</v>
      </c>
      <c r="H304" s="17" t="s">
        <v>89</v>
      </c>
      <c r="I304" s="17" t="s">
        <v>23</v>
      </c>
      <c r="J304" s="17">
        <v>8</v>
      </c>
      <c r="K304" s="17" t="s">
        <v>57</v>
      </c>
      <c r="L304" s="17" t="s">
        <v>44</v>
      </c>
      <c r="M304" s="17" t="s">
        <v>19</v>
      </c>
      <c r="N304" s="17">
        <v>830</v>
      </c>
      <c r="O304" s="17">
        <v>647</v>
      </c>
      <c r="P304" s="26">
        <f>(data[[#This Row],[LoadedMiles]]/data[[#This Row],[TotalMiles]])*100</f>
        <v>77.951807228915655</v>
      </c>
      <c r="Q304" s="25">
        <f>data[[#This Row],[ShippingCost]]/data[[#This Row],[TotalMiles]]</f>
        <v>0.40963855421686746</v>
      </c>
      <c r="R304" s="17">
        <v>340</v>
      </c>
      <c r="S304" s="25">
        <f>data[[#This Row],[Revenue]]/data[[#This Row],[TotalMiles]]</f>
        <v>7.0096385542168678</v>
      </c>
      <c r="T304" s="26">
        <f>data[[#This Row],[Revenue]]-data[[#This Row],[ShippingCost]]</f>
        <v>5478</v>
      </c>
      <c r="U304" s="17">
        <v>5818</v>
      </c>
      <c r="V304" s="17">
        <v>58</v>
      </c>
      <c r="W304" s="17" t="s">
        <v>68</v>
      </c>
      <c r="X304" s="17">
        <v>10</v>
      </c>
      <c r="Y304" s="17">
        <f>data[[#This Row],[DeliveryDate]]-data[[#This Row],[ShipDate]]</f>
        <v>7</v>
      </c>
      <c r="Z304" s="17" t="str">
        <f>IF(data[[#This Row],[Actual Delivery Days]]&gt;AD305,"Yes","No")</f>
        <v>Yes</v>
      </c>
    </row>
    <row r="305" spans="1:26">
      <c r="A305" s="17">
        <v>11273</v>
      </c>
      <c r="B305" s="17">
        <v>3</v>
      </c>
      <c r="C305" s="17">
        <v>5</v>
      </c>
      <c r="D305" s="17" t="s">
        <v>287</v>
      </c>
      <c r="E305" s="17" t="s">
        <v>218</v>
      </c>
      <c r="F305" s="17" t="str">
        <f>TEXT(data[[#This Row],[ShipDate]],"yyyy - mmmm")</f>
        <v>2016 - May</v>
      </c>
      <c r="G305" s="17" t="str">
        <f>data[[#This Row],[OriginCity]] &amp; " - "  &amp; data[[#This Row],[DestinationCity]]</f>
        <v>Bangor - Davenport</v>
      </c>
      <c r="H305" s="17" t="s">
        <v>104</v>
      </c>
      <c r="I305" s="17" t="s">
        <v>21</v>
      </c>
      <c r="J305" s="17">
        <v>8</v>
      </c>
      <c r="K305" s="17" t="s">
        <v>105</v>
      </c>
      <c r="L305" s="17" t="s">
        <v>106</v>
      </c>
      <c r="M305" s="17" t="s">
        <v>350</v>
      </c>
      <c r="N305" s="17">
        <v>482</v>
      </c>
      <c r="O305" s="17">
        <v>481</v>
      </c>
      <c r="P305" s="26">
        <f>(data[[#This Row],[LoadedMiles]]/data[[#This Row],[TotalMiles]])*100</f>
        <v>99.792531120331944</v>
      </c>
      <c r="Q305" s="25">
        <f>data[[#This Row],[ShippingCost]]/data[[#This Row],[TotalMiles]]</f>
        <v>1.5394190871369295</v>
      </c>
      <c r="R305" s="17">
        <v>742</v>
      </c>
      <c r="S305" s="25">
        <f>data[[#This Row],[Revenue]]/data[[#This Row],[TotalMiles]]</f>
        <v>3.4834024896265561</v>
      </c>
      <c r="T305" s="26">
        <f>data[[#This Row],[Revenue]]-data[[#This Row],[ShippingCost]]</f>
        <v>937</v>
      </c>
      <c r="U305" s="17">
        <v>1679</v>
      </c>
      <c r="V305" s="17">
        <v>54</v>
      </c>
      <c r="W305" s="17" t="s">
        <v>68</v>
      </c>
      <c r="X305" s="17">
        <v>10</v>
      </c>
      <c r="Y305" s="17">
        <f>data[[#This Row],[DeliveryDate]]-data[[#This Row],[ShipDate]]</f>
        <v>8</v>
      </c>
      <c r="Z305" s="17" t="str">
        <f>IF(data[[#This Row],[Actual Delivery Days]]&gt;AD306,"Yes","No")</f>
        <v>Yes</v>
      </c>
    </row>
    <row r="306" spans="1:26">
      <c r="A306" s="17">
        <v>11274</v>
      </c>
      <c r="B306" s="17">
        <v>2</v>
      </c>
      <c r="C306" s="17">
        <v>6</v>
      </c>
      <c r="D306" s="17" t="s">
        <v>288</v>
      </c>
      <c r="E306" s="17" t="s">
        <v>109</v>
      </c>
      <c r="F306" s="17" t="str">
        <f>TEXT(data[[#This Row],[ShipDate]],"yyyy - mmmm")</f>
        <v>2016 - May</v>
      </c>
      <c r="G306" s="17" t="str">
        <f>data[[#This Row],[OriginCity]] &amp; " - "  &amp; data[[#This Row],[DestinationCity]]</f>
        <v>Elgin - Cincinnati</v>
      </c>
      <c r="H306" s="17" t="s">
        <v>94</v>
      </c>
      <c r="I306" s="17" t="s">
        <v>31</v>
      </c>
      <c r="J306" s="17">
        <v>8</v>
      </c>
      <c r="K306" s="17" t="s">
        <v>89</v>
      </c>
      <c r="L306" s="17" t="s">
        <v>23</v>
      </c>
      <c r="M306" s="17" t="s">
        <v>283</v>
      </c>
      <c r="N306" s="17">
        <v>484</v>
      </c>
      <c r="O306" s="17">
        <v>399</v>
      </c>
      <c r="P306" s="26">
        <f>(data[[#This Row],[LoadedMiles]]/data[[#This Row],[TotalMiles]])*100</f>
        <v>82.438016528925615</v>
      </c>
      <c r="Q306" s="25">
        <f>data[[#This Row],[ShippingCost]]/data[[#This Row],[TotalMiles]]</f>
        <v>6.7252066115702478</v>
      </c>
      <c r="R306" s="17">
        <v>3255</v>
      </c>
      <c r="S306" s="25">
        <f>data[[#This Row],[Revenue]]/data[[#This Row],[TotalMiles]]</f>
        <v>7.9028925619834709</v>
      </c>
      <c r="T306" s="26">
        <f>data[[#This Row],[Revenue]]-data[[#This Row],[ShippingCost]]</f>
        <v>570</v>
      </c>
      <c r="U306" s="17">
        <v>3825</v>
      </c>
      <c r="V306" s="17">
        <v>80</v>
      </c>
      <c r="W306" s="17" t="s">
        <v>68</v>
      </c>
      <c r="X306" s="17">
        <v>9</v>
      </c>
      <c r="Y306" s="17">
        <f>data[[#This Row],[DeliveryDate]]-data[[#This Row],[ShipDate]]</f>
        <v>8</v>
      </c>
      <c r="Z306" s="17" t="str">
        <f>IF(data[[#This Row],[Actual Delivery Days]]&gt;AD307,"Yes","No")</f>
        <v>Yes</v>
      </c>
    </row>
    <row r="307" spans="1:26">
      <c r="A307" s="17">
        <v>11275</v>
      </c>
      <c r="B307" s="17">
        <v>2</v>
      </c>
      <c r="C307" s="17">
        <v>1</v>
      </c>
      <c r="D307" s="17" t="s">
        <v>289</v>
      </c>
      <c r="E307" s="17" t="s">
        <v>184</v>
      </c>
      <c r="F307" s="17" t="str">
        <f>TEXT(data[[#This Row],[ShipDate]],"yyyy - mmmm")</f>
        <v>2016 - August</v>
      </c>
      <c r="G307" s="17" t="str">
        <f>data[[#This Row],[OriginCity]] &amp; " - "  &amp; data[[#This Row],[DestinationCity]]</f>
        <v>Skokie - Chicago</v>
      </c>
      <c r="H307" s="17" t="s">
        <v>35</v>
      </c>
      <c r="I307" s="17" t="s">
        <v>31</v>
      </c>
      <c r="J307" s="17">
        <v>8</v>
      </c>
      <c r="K307" s="17" t="s">
        <v>39</v>
      </c>
      <c r="L307" s="17" t="s">
        <v>31</v>
      </c>
      <c r="M307" s="17" t="s">
        <v>82</v>
      </c>
      <c r="N307" s="17">
        <v>700</v>
      </c>
      <c r="O307" s="17">
        <v>388</v>
      </c>
      <c r="P307" s="26">
        <f>(data[[#This Row],[LoadedMiles]]/data[[#This Row],[TotalMiles]])*100</f>
        <v>55.428571428571431</v>
      </c>
      <c r="Q307" s="25">
        <f>data[[#This Row],[ShippingCost]]/data[[#This Row],[TotalMiles]]</f>
        <v>3.907142857142857</v>
      </c>
      <c r="R307" s="17">
        <v>2735</v>
      </c>
      <c r="S307" s="25">
        <f>data[[#This Row],[Revenue]]/data[[#This Row],[TotalMiles]]</f>
        <v>10.767142857142858</v>
      </c>
      <c r="T307" s="26">
        <f>data[[#This Row],[Revenue]]-data[[#This Row],[ShippingCost]]</f>
        <v>4802</v>
      </c>
      <c r="U307" s="17">
        <v>7537</v>
      </c>
      <c r="V307" s="17">
        <v>96</v>
      </c>
      <c r="W307" s="17" t="s">
        <v>68</v>
      </c>
      <c r="X307" s="17">
        <v>3</v>
      </c>
      <c r="Y307" s="17">
        <f>data[[#This Row],[DeliveryDate]]-data[[#This Row],[ShipDate]]</f>
        <v>-138</v>
      </c>
      <c r="Z307" s="17" t="str">
        <f>IF(data[[#This Row],[Actual Delivery Days]]&gt;AD308,"Yes","No")</f>
        <v>No</v>
      </c>
    </row>
    <row r="308" spans="1:26">
      <c r="A308" s="17">
        <v>11290</v>
      </c>
      <c r="B308" s="17">
        <v>2</v>
      </c>
      <c r="C308" s="17">
        <v>3</v>
      </c>
      <c r="D308" s="17" t="s">
        <v>321</v>
      </c>
      <c r="E308" s="17" t="s">
        <v>365</v>
      </c>
      <c r="F308" s="17" t="str">
        <f>TEXT(data[[#This Row],[ShipDate]],"yyyy - mmmm")</f>
        <v>2016 - June</v>
      </c>
      <c r="G308" s="17" t="str">
        <f>data[[#This Row],[OriginCity]] &amp; " - "  &amp; data[[#This Row],[DestinationCity]]</f>
        <v>Rockford - Green Bay</v>
      </c>
      <c r="H308" s="17" t="s">
        <v>40</v>
      </c>
      <c r="I308" s="17" t="s">
        <v>31</v>
      </c>
      <c r="J308" s="17">
        <v>8</v>
      </c>
      <c r="K308" s="17" t="s">
        <v>75</v>
      </c>
      <c r="L308" s="17" t="s">
        <v>29</v>
      </c>
      <c r="M308" s="17" t="s">
        <v>78</v>
      </c>
      <c r="N308" s="17">
        <v>365</v>
      </c>
      <c r="O308" s="17">
        <v>333</v>
      </c>
      <c r="P308" s="26">
        <f>(data[[#This Row],[LoadedMiles]]/data[[#This Row],[TotalMiles]])*100</f>
        <v>91.232876712328775</v>
      </c>
      <c r="Q308" s="25">
        <f>data[[#This Row],[ShippingCost]]/data[[#This Row],[TotalMiles]]</f>
        <v>7.161643835616438</v>
      </c>
      <c r="R308" s="17">
        <v>2614</v>
      </c>
      <c r="S308" s="25">
        <f>data[[#This Row],[Revenue]]/data[[#This Row],[TotalMiles]]</f>
        <v>9.4767123287671229</v>
      </c>
      <c r="T308" s="26">
        <f>data[[#This Row],[Revenue]]-data[[#This Row],[ShippingCost]]</f>
        <v>845</v>
      </c>
      <c r="U308" s="17">
        <v>3459</v>
      </c>
      <c r="V308" s="17">
        <v>55</v>
      </c>
      <c r="W308" s="17" t="s">
        <v>68</v>
      </c>
      <c r="X308" s="17">
        <v>2</v>
      </c>
      <c r="Y308" s="17">
        <f>data[[#This Row],[DeliveryDate]]-data[[#This Row],[ShipDate]]</f>
        <v>8</v>
      </c>
      <c r="Z308" s="17" t="str">
        <f>IF(data[[#This Row],[Actual Delivery Days]]&gt;AD309,"Yes","No")</f>
        <v>Yes</v>
      </c>
    </row>
    <row r="309" spans="1:26">
      <c r="A309" s="17">
        <v>11292</v>
      </c>
      <c r="B309" s="17">
        <v>3</v>
      </c>
      <c r="C309" s="17">
        <v>3</v>
      </c>
      <c r="D309" s="17" t="s">
        <v>326</v>
      </c>
      <c r="E309" s="17" t="s">
        <v>460</v>
      </c>
      <c r="F309" s="17" t="str">
        <f>TEXT(data[[#This Row],[ShipDate]],"yyyy - mmmm")</f>
        <v>2016 - February</v>
      </c>
      <c r="G309" s="17" t="str">
        <f>data[[#This Row],[OriginCity]] &amp; " - "  &amp; data[[#This Row],[DestinationCity]]</f>
        <v>Toledo - Detriot</v>
      </c>
      <c r="H309" s="17" t="s">
        <v>22</v>
      </c>
      <c r="I309" s="17" t="s">
        <v>23</v>
      </c>
      <c r="J309" s="17">
        <v>8</v>
      </c>
      <c r="K309" s="17" t="s">
        <v>52</v>
      </c>
      <c r="L309" s="17" t="s">
        <v>21</v>
      </c>
      <c r="M309" s="17" t="s">
        <v>82</v>
      </c>
      <c r="N309" s="17">
        <v>883</v>
      </c>
      <c r="O309" s="17">
        <v>326</v>
      </c>
      <c r="P309" s="26">
        <f>(data[[#This Row],[LoadedMiles]]/data[[#This Row],[TotalMiles]])*100</f>
        <v>36.919592298980746</v>
      </c>
      <c r="Q309" s="25">
        <f>data[[#This Row],[ShippingCost]]/data[[#This Row],[TotalMiles]]</f>
        <v>5.2412231030577576</v>
      </c>
      <c r="R309" s="17">
        <v>4628</v>
      </c>
      <c r="S309" s="25">
        <f>data[[#This Row],[Revenue]]/data[[#This Row],[TotalMiles]]</f>
        <v>6.0011325028312568</v>
      </c>
      <c r="T309" s="26">
        <f>data[[#This Row],[Revenue]]-data[[#This Row],[ShippingCost]]</f>
        <v>671</v>
      </c>
      <c r="U309" s="17">
        <v>5299</v>
      </c>
      <c r="V309" s="17">
        <v>60</v>
      </c>
      <c r="W309" s="17" t="s">
        <v>68</v>
      </c>
      <c r="X309" s="17">
        <v>5</v>
      </c>
      <c r="Y309" s="17">
        <f>data[[#This Row],[DeliveryDate]]-data[[#This Row],[ShipDate]]</f>
        <v>25</v>
      </c>
      <c r="Z309" s="17" t="str">
        <f>IF(data[[#This Row],[Actual Delivery Days]]&gt;AD310,"Yes","No")</f>
        <v>Yes</v>
      </c>
    </row>
    <row r="310" spans="1:26">
      <c r="A310" s="17">
        <v>11298</v>
      </c>
      <c r="B310" s="17">
        <v>3</v>
      </c>
      <c r="C310" s="17">
        <v>3</v>
      </c>
      <c r="D310" s="17" t="s">
        <v>335</v>
      </c>
      <c r="E310" s="17" t="s">
        <v>108</v>
      </c>
      <c r="F310" s="17" t="str">
        <f>TEXT(data[[#This Row],[ShipDate]],"yyyy - mmmm")</f>
        <v>2016 - May</v>
      </c>
      <c r="G310" s="17" t="str">
        <f>data[[#This Row],[OriginCity]] &amp; " - "  &amp; data[[#This Row],[DestinationCity]]</f>
        <v>Davenport - Appleton</v>
      </c>
      <c r="H310" s="17" t="s">
        <v>105</v>
      </c>
      <c r="I310" s="17" t="s">
        <v>106</v>
      </c>
      <c r="J310" s="17">
        <v>8</v>
      </c>
      <c r="K310" s="17" t="s">
        <v>85</v>
      </c>
      <c r="L310" s="17" t="s">
        <v>29</v>
      </c>
      <c r="M310" s="17" t="s">
        <v>344</v>
      </c>
      <c r="N310" s="17">
        <v>457</v>
      </c>
      <c r="O310" s="17">
        <v>457</v>
      </c>
      <c r="P310" s="26">
        <f>(data[[#This Row],[LoadedMiles]]/data[[#This Row],[TotalMiles]])*100</f>
        <v>100</v>
      </c>
      <c r="Q310" s="25">
        <f>data[[#This Row],[ShippingCost]]/data[[#This Row],[TotalMiles]]</f>
        <v>3.551422319474836</v>
      </c>
      <c r="R310" s="17">
        <v>1623</v>
      </c>
      <c r="S310" s="25">
        <f>data[[#This Row],[Revenue]]/data[[#This Row],[TotalMiles]]</f>
        <v>4.3676148796498904</v>
      </c>
      <c r="T310" s="26">
        <f>data[[#This Row],[Revenue]]-data[[#This Row],[ShippingCost]]</f>
        <v>373</v>
      </c>
      <c r="U310" s="17">
        <v>1996</v>
      </c>
      <c r="V310" s="17">
        <v>56</v>
      </c>
      <c r="W310" s="17" t="s">
        <v>68</v>
      </c>
      <c r="X310" s="17">
        <v>7</v>
      </c>
      <c r="Y310" s="17">
        <f>data[[#This Row],[DeliveryDate]]-data[[#This Row],[ShipDate]]</f>
        <v>7</v>
      </c>
      <c r="Z310" s="17" t="str">
        <f>IF(data[[#This Row],[Actual Delivery Days]]&gt;AD311,"Yes","No")</f>
        <v>Yes</v>
      </c>
    </row>
    <row r="311" spans="1:26">
      <c r="A311" s="17">
        <v>11308</v>
      </c>
      <c r="B311" s="17">
        <v>2</v>
      </c>
      <c r="C311" s="17">
        <v>2</v>
      </c>
      <c r="D311" s="17" t="s">
        <v>351</v>
      </c>
      <c r="E311" s="17" t="s">
        <v>399</v>
      </c>
      <c r="F311" s="17" t="str">
        <f>TEXT(data[[#This Row],[ShipDate]],"yyyy - mmmm")</f>
        <v>2016 - July</v>
      </c>
      <c r="G311" s="17" t="str">
        <f>data[[#This Row],[OriginCity]] &amp; " - "  &amp; data[[#This Row],[DestinationCity]]</f>
        <v>Monon - Lansing</v>
      </c>
      <c r="H311" s="17" t="s">
        <v>53</v>
      </c>
      <c r="I311" s="17" t="s">
        <v>44</v>
      </c>
      <c r="J311" s="17">
        <v>8</v>
      </c>
      <c r="K311" s="17" t="s">
        <v>66</v>
      </c>
      <c r="L311" s="17" t="s">
        <v>21</v>
      </c>
      <c r="M311" s="17" t="s">
        <v>24</v>
      </c>
      <c r="N311" s="17">
        <v>641</v>
      </c>
      <c r="O311" s="17">
        <v>327</v>
      </c>
      <c r="P311" s="26">
        <f>(data[[#This Row],[LoadedMiles]]/data[[#This Row],[TotalMiles]])*100</f>
        <v>51.014040561622465</v>
      </c>
      <c r="Q311" s="25">
        <f>data[[#This Row],[ShippingCost]]/data[[#This Row],[TotalMiles]]</f>
        <v>12.566302652106085</v>
      </c>
      <c r="R311" s="17">
        <v>8055</v>
      </c>
      <c r="S311" s="25">
        <f>data[[#This Row],[Revenue]]/data[[#This Row],[TotalMiles]]</f>
        <v>12.840873634945398</v>
      </c>
      <c r="T311" s="26">
        <f>data[[#This Row],[Revenue]]-data[[#This Row],[ShippingCost]]</f>
        <v>176</v>
      </c>
      <c r="U311" s="17">
        <v>8231</v>
      </c>
      <c r="V311" s="17">
        <v>63</v>
      </c>
      <c r="W311" s="17" t="s">
        <v>68</v>
      </c>
      <c r="X311" s="17">
        <v>10</v>
      </c>
      <c r="Y311" s="17">
        <f>data[[#This Row],[DeliveryDate]]-data[[#This Row],[ShipDate]]</f>
        <v>8</v>
      </c>
      <c r="Z311" s="17" t="str">
        <f>IF(data[[#This Row],[Actual Delivery Days]]&gt;AD312,"Yes","No")</f>
        <v>Yes</v>
      </c>
    </row>
    <row r="312" spans="1:26">
      <c r="A312" s="17">
        <v>11327</v>
      </c>
      <c r="B312" s="17">
        <v>3</v>
      </c>
      <c r="C312" s="17">
        <v>2</v>
      </c>
      <c r="D312" s="17" t="s">
        <v>385</v>
      </c>
      <c r="E312" s="17" t="s">
        <v>309</v>
      </c>
      <c r="F312" s="17" t="str">
        <f>TEXT(data[[#This Row],[ShipDate]],"yyyy - mmmm")</f>
        <v>2016 - February</v>
      </c>
      <c r="G312" s="17" t="str">
        <f>data[[#This Row],[OriginCity]] &amp; " - "  &amp; data[[#This Row],[DestinationCity]]</f>
        <v>Gary - Milwaukee</v>
      </c>
      <c r="H312" s="17" t="s">
        <v>57</v>
      </c>
      <c r="I312" s="17" t="s">
        <v>44</v>
      </c>
      <c r="J312" s="17">
        <v>8</v>
      </c>
      <c r="K312" s="17" t="s">
        <v>28</v>
      </c>
      <c r="L312" s="17" t="s">
        <v>29</v>
      </c>
      <c r="M312" s="17" t="s">
        <v>522</v>
      </c>
      <c r="N312" s="17">
        <v>810</v>
      </c>
      <c r="O312" s="17">
        <v>212</v>
      </c>
      <c r="P312" s="26">
        <f>(data[[#This Row],[LoadedMiles]]/data[[#This Row],[TotalMiles]])*100</f>
        <v>26.172839506172842</v>
      </c>
      <c r="Q312" s="25">
        <f>data[[#This Row],[ShippingCost]]/data[[#This Row],[TotalMiles]]</f>
        <v>0.29259259259259257</v>
      </c>
      <c r="R312" s="17">
        <v>237</v>
      </c>
      <c r="S312" s="25">
        <f>data[[#This Row],[Revenue]]/data[[#This Row],[TotalMiles]]</f>
        <v>1.3407407407407408</v>
      </c>
      <c r="T312" s="26">
        <f>data[[#This Row],[Revenue]]-data[[#This Row],[ShippingCost]]</f>
        <v>849</v>
      </c>
      <c r="U312" s="17">
        <v>1086</v>
      </c>
      <c r="V312" s="17">
        <v>55</v>
      </c>
      <c r="W312" s="17" t="s">
        <v>68</v>
      </c>
      <c r="X312" s="17">
        <v>8</v>
      </c>
      <c r="Y312" s="17">
        <f>data[[#This Row],[DeliveryDate]]-data[[#This Row],[ShipDate]]</f>
        <v>8</v>
      </c>
      <c r="Z312" s="17" t="str">
        <f>IF(data[[#This Row],[Actual Delivery Days]]&gt;AD313,"Yes","No")</f>
        <v>Yes</v>
      </c>
    </row>
    <row r="313" spans="1:26">
      <c r="A313" s="17">
        <v>11365</v>
      </c>
      <c r="B313" s="17">
        <v>2</v>
      </c>
      <c r="C313" s="17">
        <v>5</v>
      </c>
      <c r="D313" s="17" t="s">
        <v>445</v>
      </c>
      <c r="E313" s="17" t="s">
        <v>98</v>
      </c>
      <c r="F313" s="17" t="str">
        <f>TEXT(data[[#This Row],[ShipDate]],"yyyy - mmmm")</f>
        <v>2016 - April</v>
      </c>
      <c r="G313" s="17" t="str">
        <f>data[[#This Row],[OriginCity]] &amp; " - "  &amp; data[[#This Row],[DestinationCity]]</f>
        <v>Skokie - Chicago</v>
      </c>
      <c r="H313" s="17" t="s">
        <v>35</v>
      </c>
      <c r="I313" s="17" t="s">
        <v>31</v>
      </c>
      <c r="J313" s="17">
        <v>8</v>
      </c>
      <c r="K313" s="17" t="s">
        <v>39</v>
      </c>
      <c r="L313" s="17" t="s">
        <v>31</v>
      </c>
      <c r="M313" s="17" t="s">
        <v>196</v>
      </c>
      <c r="N313" s="17">
        <v>339</v>
      </c>
      <c r="O313" s="17">
        <v>266</v>
      </c>
      <c r="P313" s="26">
        <f>(data[[#This Row],[LoadedMiles]]/data[[#This Row],[TotalMiles]])*100</f>
        <v>78.466076696165189</v>
      </c>
      <c r="Q313" s="25">
        <f>data[[#This Row],[ShippingCost]]/data[[#This Row],[TotalMiles]]</f>
        <v>19.466076696165192</v>
      </c>
      <c r="R313" s="17">
        <v>6599</v>
      </c>
      <c r="S313" s="25">
        <f>data[[#This Row],[Revenue]]/data[[#This Row],[TotalMiles]]</f>
        <v>21.820058997050147</v>
      </c>
      <c r="T313" s="26">
        <f>data[[#This Row],[Revenue]]-data[[#This Row],[ShippingCost]]</f>
        <v>798</v>
      </c>
      <c r="U313" s="17">
        <v>7397</v>
      </c>
      <c r="V313" s="17">
        <v>54</v>
      </c>
      <c r="W313" s="17" t="s">
        <v>68</v>
      </c>
      <c r="X313" s="17">
        <v>1</v>
      </c>
      <c r="Y313" s="17">
        <f>data[[#This Row],[DeliveryDate]]-data[[#This Row],[ShipDate]]</f>
        <v>8</v>
      </c>
      <c r="Z313" s="17" t="str">
        <f>IF(data[[#This Row],[Actual Delivery Days]]&gt;AD314,"Yes","No")</f>
        <v>Yes</v>
      </c>
    </row>
    <row r="314" spans="1:26">
      <c r="A314" s="17">
        <v>11369</v>
      </c>
      <c r="B314" s="17">
        <v>2</v>
      </c>
      <c r="C314" s="17">
        <v>6</v>
      </c>
      <c r="D314" s="17" t="s">
        <v>451</v>
      </c>
      <c r="E314" s="17" t="s">
        <v>183</v>
      </c>
      <c r="F314" s="17" t="str">
        <f>TEXT(data[[#This Row],[ShipDate]],"yyyy - mmmm")</f>
        <v>2016 - July</v>
      </c>
      <c r="G314" s="17" t="str">
        <f>data[[#This Row],[OriginCity]] &amp; " - "  &amp; data[[#This Row],[DestinationCity]]</f>
        <v>Milwaukee - Springfield</v>
      </c>
      <c r="H314" s="17" t="s">
        <v>28</v>
      </c>
      <c r="I314" s="17" t="s">
        <v>29</v>
      </c>
      <c r="J314" s="17">
        <v>8</v>
      </c>
      <c r="K314" s="17" t="s">
        <v>30</v>
      </c>
      <c r="L314" s="17" t="s">
        <v>31</v>
      </c>
      <c r="M314" s="17" t="s">
        <v>82</v>
      </c>
      <c r="N314" s="17">
        <v>1027</v>
      </c>
      <c r="O314" s="17">
        <v>658</v>
      </c>
      <c r="P314" s="26">
        <f>(data[[#This Row],[LoadedMiles]]/data[[#This Row],[TotalMiles]])*100</f>
        <v>64.070107108081785</v>
      </c>
      <c r="Q314" s="25">
        <f>data[[#This Row],[ShippingCost]]/data[[#This Row],[TotalMiles]]</f>
        <v>2.5063291139240507</v>
      </c>
      <c r="R314" s="17">
        <v>2574</v>
      </c>
      <c r="S314" s="25">
        <f>data[[#This Row],[Revenue]]/data[[#This Row],[TotalMiles]]</f>
        <v>3.0321324245374877</v>
      </c>
      <c r="T314" s="26">
        <f>data[[#This Row],[Revenue]]-data[[#This Row],[ShippingCost]]</f>
        <v>540</v>
      </c>
      <c r="U314" s="17">
        <v>3114</v>
      </c>
      <c r="V314" s="17">
        <v>66</v>
      </c>
      <c r="W314" s="17" t="s">
        <v>68</v>
      </c>
      <c r="X314" s="17">
        <v>1</v>
      </c>
      <c r="Y314" s="17">
        <f>data[[#This Row],[DeliveryDate]]-data[[#This Row],[ShipDate]]</f>
        <v>-128</v>
      </c>
      <c r="Z314" s="17" t="str">
        <f>IF(data[[#This Row],[Actual Delivery Days]]&gt;AD315,"Yes","No")</f>
        <v>No</v>
      </c>
    </row>
    <row r="315" spans="1:26">
      <c r="A315" s="17">
        <v>11385</v>
      </c>
      <c r="B315" s="17">
        <v>3</v>
      </c>
      <c r="C315" s="17">
        <v>5</v>
      </c>
      <c r="D315" s="17" t="s">
        <v>476</v>
      </c>
      <c r="E315" s="17" t="s">
        <v>160</v>
      </c>
      <c r="F315" s="17" t="str">
        <f>TEXT(data[[#This Row],[ShipDate]],"yyyy - mmmm")</f>
        <v>2016 - April</v>
      </c>
      <c r="G315" s="17" t="str">
        <f>data[[#This Row],[OriginCity]] &amp; " - "  &amp; data[[#This Row],[DestinationCity]]</f>
        <v>Lansing - Dayton</v>
      </c>
      <c r="H315" s="17" t="s">
        <v>66</v>
      </c>
      <c r="I315" s="17" t="s">
        <v>21</v>
      </c>
      <c r="J315" s="17">
        <v>8</v>
      </c>
      <c r="K315" s="17" t="s">
        <v>93</v>
      </c>
      <c r="L315" s="17" t="s">
        <v>23</v>
      </c>
      <c r="M315" s="17" t="s">
        <v>609</v>
      </c>
      <c r="N315" s="17">
        <v>590</v>
      </c>
      <c r="O315" s="17">
        <v>590</v>
      </c>
      <c r="P315" s="26">
        <f>(data[[#This Row],[LoadedMiles]]/data[[#This Row],[TotalMiles]])*100</f>
        <v>100</v>
      </c>
      <c r="Q315" s="25">
        <f>data[[#This Row],[ShippingCost]]/data[[#This Row],[TotalMiles]]</f>
        <v>10.31864406779661</v>
      </c>
      <c r="R315" s="17">
        <v>6088</v>
      </c>
      <c r="S315" s="25">
        <f>data[[#This Row],[Revenue]]/data[[#This Row],[TotalMiles]]</f>
        <v>10.505084745762712</v>
      </c>
      <c r="T315" s="26">
        <f>data[[#This Row],[Revenue]]-data[[#This Row],[ShippingCost]]</f>
        <v>110</v>
      </c>
      <c r="U315" s="17">
        <v>6198</v>
      </c>
      <c r="V315" s="17">
        <v>96</v>
      </c>
      <c r="W315" s="17" t="s">
        <v>68</v>
      </c>
      <c r="X315" s="17">
        <v>2</v>
      </c>
      <c r="Y315" s="17">
        <f>data[[#This Row],[DeliveryDate]]-data[[#This Row],[ShipDate]]</f>
        <v>8</v>
      </c>
      <c r="Z315" s="17" t="str">
        <f>IF(data[[#This Row],[Actual Delivery Days]]&gt;AD316,"Yes","No")</f>
        <v>Yes</v>
      </c>
    </row>
    <row r="316" spans="1:26">
      <c r="A316" s="17">
        <v>11410</v>
      </c>
      <c r="B316" s="17">
        <v>2</v>
      </c>
      <c r="C316" s="17">
        <v>2</v>
      </c>
      <c r="D316" s="17" t="s">
        <v>508</v>
      </c>
      <c r="E316" s="17" t="s">
        <v>391</v>
      </c>
      <c r="F316" s="17" t="str">
        <f>TEXT(data[[#This Row],[ShipDate]],"yyyy - mmmm")</f>
        <v>2016 - March</v>
      </c>
      <c r="G316" s="17" t="str">
        <f>data[[#This Row],[OriginCity]] &amp; " - "  &amp; data[[#This Row],[DestinationCity]]</f>
        <v>Kalamazoo - Bangor</v>
      </c>
      <c r="H316" s="17" t="s">
        <v>71</v>
      </c>
      <c r="I316" s="17" t="s">
        <v>21</v>
      </c>
      <c r="J316" s="17">
        <v>8</v>
      </c>
      <c r="K316" s="17" t="s">
        <v>104</v>
      </c>
      <c r="L316" s="17" t="s">
        <v>21</v>
      </c>
      <c r="M316" s="17" t="s">
        <v>238</v>
      </c>
      <c r="N316" s="17">
        <v>721</v>
      </c>
      <c r="O316" s="17">
        <v>419</v>
      </c>
      <c r="P316" s="26">
        <f>(data[[#This Row],[LoadedMiles]]/data[[#This Row],[TotalMiles]])*100</f>
        <v>58.113730929264904</v>
      </c>
      <c r="Q316" s="25">
        <f>data[[#This Row],[ShippingCost]]/data[[#This Row],[TotalMiles]]</f>
        <v>2.8030513176144245</v>
      </c>
      <c r="R316" s="17">
        <v>2021</v>
      </c>
      <c r="S316" s="25">
        <f>data[[#This Row],[Revenue]]/data[[#This Row],[TotalMiles]]</f>
        <v>3.4646324549237169</v>
      </c>
      <c r="T316" s="26">
        <f>data[[#This Row],[Revenue]]-data[[#This Row],[ShippingCost]]</f>
        <v>477</v>
      </c>
      <c r="U316" s="17">
        <v>2498</v>
      </c>
      <c r="V316" s="17">
        <v>80</v>
      </c>
      <c r="W316" s="17" t="s">
        <v>68</v>
      </c>
      <c r="X316" s="17">
        <v>10</v>
      </c>
      <c r="Y316" s="17">
        <f>data[[#This Row],[DeliveryDate]]-data[[#This Row],[ShipDate]]</f>
        <v>7</v>
      </c>
      <c r="Z316" s="17" t="str">
        <f>IF(data[[#This Row],[Actual Delivery Days]]&gt;AD317,"Yes","No")</f>
        <v>Yes</v>
      </c>
    </row>
    <row r="317" spans="1:26">
      <c r="A317" s="17">
        <v>11421</v>
      </c>
      <c r="B317" s="17">
        <v>2</v>
      </c>
      <c r="C317" s="17">
        <v>2</v>
      </c>
      <c r="D317" s="17" t="s">
        <v>525</v>
      </c>
      <c r="E317" s="17" t="s">
        <v>270</v>
      </c>
      <c r="F317" s="17" t="str">
        <f>TEXT(data[[#This Row],[ShipDate]],"yyyy - mmmm")</f>
        <v>2016 - April</v>
      </c>
      <c r="G317" s="17" t="str">
        <f>data[[#This Row],[OriginCity]] &amp; " - "  &amp; data[[#This Row],[DestinationCity]]</f>
        <v>Green Bay - Joliet</v>
      </c>
      <c r="H317" s="17" t="s">
        <v>75</v>
      </c>
      <c r="I317" s="17" t="s">
        <v>29</v>
      </c>
      <c r="J317" s="17">
        <v>8</v>
      </c>
      <c r="K317" s="17" t="s">
        <v>61</v>
      </c>
      <c r="L317" s="17" t="s">
        <v>31</v>
      </c>
      <c r="M317" s="17" t="s">
        <v>158</v>
      </c>
      <c r="N317" s="17">
        <v>811</v>
      </c>
      <c r="O317" s="17">
        <v>559</v>
      </c>
      <c r="P317" s="26">
        <f>(data[[#This Row],[LoadedMiles]]/data[[#This Row],[TotalMiles]])*100</f>
        <v>68.927250308261407</v>
      </c>
      <c r="Q317" s="25">
        <f>data[[#This Row],[ShippingCost]]/data[[#This Row],[TotalMiles]]</f>
        <v>10.410604192355118</v>
      </c>
      <c r="R317" s="17">
        <v>8443</v>
      </c>
      <c r="S317" s="25">
        <f>data[[#This Row],[Revenue]]/data[[#This Row],[TotalMiles]]</f>
        <v>11.018495684340321</v>
      </c>
      <c r="T317" s="26">
        <f>data[[#This Row],[Revenue]]-data[[#This Row],[ShippingCost]]</f>
        <v>493</v>
      </c>
      <c r="U317" s="17">
        <v>8936</v>
      </c>
      <c r="V317" s="17">
        <v>51</v>
      </c>
      <c r="W317" s="17" t="s">
        <v>68</v>
      </c>
      <c r="X317" s="17">
        <v>6</v>
      </c>
      <c r="Y317" s="17">
        <f>data[[#This Row],[DeliveryDate]]-data[[#This Row],[ShipDate]]</f>
        <v>8</v>
      </c>
      <c r="Z317" s="17" t="str">
        <f>IF(data[[#This Row],[Actual Delivery Days]]&gt;AD318,"Yes","No")</f>
        <v>Yes</v>
      </c>
    </row>
    <row r="318" spans="1:26">
      <c r="A318" s="17">
        <v>11445</v>
      </c>
      <c r="B318" s="17">
        <v>2</v>
      </c>
      <c r="C318" s="17">
        <v>3</v>
      </c>
      <c r="D318" s="17" t="s">
        <v>559</v>
      </c>
      <c r="E318" s="17" t="s">
        <v>415</v>
      </c>
      <c r="F318" s="17" t="str">
        <f>TEXT(data[[#This Row],[ShipDate]],"yyyy - mmmm")</f>
        <v>2016 - August</v>
      </c>
      <c r="G318" s="17" t="str">
        <f>data[[#This Row],[OriginCity]] &amp; " - "  &amp; data[[#This Row],[DestinationCity]]</f>
        <v>Appleton - Grand Rapids</v>
      </c>
      <c r="H318" s="17" t="s">
        <v>85</v>
      </c>
      <c r="I318" s="17" t="s">
        <v>29</v>
      </c>
      <c r="J318" s="17">
        <v>8</v>
      </c>
      <c r="K318" s="17" t="s">
        <v>20</v>
      </c>
      <c r="L318" s="17" t="s">
        <v>21</v>
      </c>
      <c r="M318" s="17" t="s">
        <v>212</v>
      </c>
      <c r="N318" s="17">
        <v>1127</v>
      </c>
      <c r="O318" s="17">
        <v>255</v>
      </c>
      <c r="P318" s="26">
        <f>(data[[#This Row],[LoadedMiles]]/data[[#This Row],[TotalMiles]])*100</f>
        <v>22.626441881100266</v>
      </c>
      <c r="Q318" s="25">
        <f>data[[#This Row],[ShippingCost]]/data[[#This Row],[TotalMiles]]</f>
        <v>7.4285714285714288</v>
      </c>
      <c r="R318" s="17">
        <v>8372</v>
      </c>
      <c r="S318" s="25">
        <f>data[[#This Row],[Revenue]]/data[[#This Row],[TotalMiles]]</f>
        <v>7.8606921029281276</v>
      </c>
      <c r="T318" s="26">
        <f>data[[#This Row],[Revenue]]-data[[#This Row],[ShippingCost]]</f>
        <v>487</v>
      </c>
      <c r="U318" s="17">
        <v>8859</v>
      </c>
      <c r="V318" s="17">
        <v>61</v>
      </c>
      <c r="W318" s="17" t="s">
        <v>68</v>
      </c>
      <c r="X318" s="17">
        <v>6</v>
      </c>
      <c r="Y318" s="17">
        <f>data[[#This Row],[DeliveryDate]]-data[[#This Row],[ShipDate]]</f>
        <v>7</v>
      </c>
      <c r="Z318" s="17" t="str">
        <f>IF(data[[#This Row],[Actual Delivery Days]]&gt;AD319,"Yes","No")</f>
        <v>Yes</v>
      </c>
    </row>
    <row r="319" spans="1:26">
      <c r="A319" s="17">
        <v>11474</v>
      </c>
      <c r="B319" s="17">
        <v>2</v>
      </c>
      <c r="C319" s="17">
        <v>2</v>
      </c>
      <c r="D319" s="17" t="s">
        <v>594</v>
      </c>
      <c r="E319" s="17" t="s">
        <v>327</v>
      </c>
      <c r="F319" s="17" t="str">
        <f>TEXT(data[[#This Row],[ShipDate]],"yyyy - mmmm")</f>
        <v>2016 - January</v>
      </c>
      <c r="G319" s="17" t="str">
        <f>data[[#This Row],[OriginCity]] &amp; " - "  &amp; data[[#This Row],[DestinationCity]]</f>
        <v>Skokie - Chicago</v>
      </c>
      <c r="H319" s="17" t="s">
        <v>35</v>
      </c>
      <c r="I319" s="17" t="s">
        <v>31</v>
      </c>
      <c r="J319" s="17">
        <v>8</v>
      </c>
      <c r="K319" s="17" t="s">
        <v>39</v>
      </c>
      <c r="L319" s="17" t="s">
        <v>31</v>
      </c>
      <c r="M319" s="17" t="s">
        <v>259</v>
      </c>
      <c r="N319" s="17">
        <v>1195</v>
      </c>
      <c r="O319" s="17">
        <v>798</v>
      </c>
      <c r="P319" s="26">
        <f>(data[[#This Row],[LoadedMiles]]/data[[#This Row],[TotalMiles]])*100</f>
        <v>66.778242677824267</v>
      </c>
      <c r="Q319" s="25">
        <f>data[[#This Row],[ShippingCost]]/data[[#This Row],[TotalMiles]]</f>
        <v>6.9481171548117153</v>
      </c>
      <c r="R319" s="17">
        <v>8303</v>
      </c>
      <c r="S319" s="25">
        <f>data[[#This Row],[Revenue]]/data[[#This Row],[TotalMiles]]</f>
        <v>7.0602510460251047</v>
      </c>
      <c r="T319" s="26">
        <f>data[[#This Row],[Revenue]]-data[[#This Row],[ShippingCost]]</f>
        <v>134</v>
      </c>
      <c r="U319" s="17">
        <v>8437</v>
      </c>
      <c r="V319" s="17">
        <v>61</v>
      </c>
      <c r="W319" s="17" t="s">
        <v>68</v>
      </c>
      <c r="X319" s="17">
        <v>6</v>
      </c>
      <c r="Y319" s="17">
        <f>data[[#This Row],[DeliveryDate]]-data[[#This Row],[ShipDate]]</f>
        <v>8</v>
      </c>
      <c r="Z319" s="17" t="str">
        <f>IF(data[[#This Row],[Actual Delivery Days]]&gt;AD320,"Yes","No")</f>
        <v>Yes</v>
      </c>
    </row>
    <row r="320" spans="1:26">
      <c r="A320" s="17">
        <v>11494</v>
      </c>
      <c r="B320" s="17">
        <v>3</v>
      </c>
      <c r="C320" s="17">
        <v>3</v>
      </c>
      <c r="D320" s="17" t="s">
        <v>73</v>
      </c>
      <c r="E320" s="17" t="s">
        <v>202</v>
      </c>
      <c r="F320" s="17" t="str">
        <f>TEXT(data[[#This Row],[ShipDate]],"yyyy - mmmm")</f>
        <v>2016 - February</v>
      </c>
      <c r="G320" s="17" t="str">
        <f>data[[#This Row],[OriginCity]] &amp; " - "  &amp; data[[#This Row],[DestinationCity]]</f>
        <v>Bangor - Davenport</v>
      </c>
      <c r="H320" s="17" t="s">
        <v>104</v>
      </c>
      <c r="I320" s="17" t="s">
        <v>21</v>
      </c>
      <c r="J320" s="17">
        <v>8</v>
      </c>
      <c r="K320" s="17" t="s">
        <v>105</v>
      </c>
      <c r="L320" s="17" t="s">
        <v>106</v>
      </c>
      <c r="M320" s="17" t="s">
        <v>352</v>
      </c>
      <c r="N320" s="17">
        <v>576</v>
      </c>
      <c r="O320" s="17">
        <v>299</v>
      </c>
      <c r="P320" s="26">
        <f>(data[[#This Row],[LoadedMiles]]/data[[#This Row],[TotalMiles]])*100</f>
        <v>51.909722222222221</v>
      </c>
      <c r="Q320" s="25">
        <f>data[[#This Row],[ShippingCost]]/data[[#This Row],[TotalMiles]]</f>
        <v>1.8663194444444444</v>
      </c>
      <c r="R320" s="17">
        <v>1075</v>
      </c>
      <c r="S320" s="25">
        <f>data[[#This Row],[Revenue]]/data[[#This Row],[TotalMiles]]</f>
        <v>2.5138888888888888</v>
      </c>
      <c r="T320" s="26">
        <f>data[[#This Row],[Revenue]]-data[[#This Row],[ShippingCost]]</f>
        <v>373</v>
      </c>
      <c r="U320" s="17">
        <v>1448</v>
      </c>
      <c r="V320" s="17">
        <v>53</v>
      </c>
      <c r="W320" s="17" t="s">
        <v>68</v>
      </c>
      <c r="X320" s="17">
        <v>7</v>
      </c>
      <c r="Y320" s="17">
        <f>data[[#This Row],[DeliveryDate]]-data[[#This Row],[ShipDate]]</f>
        <v>10</v>
      </c>
      <c r="Z320" s="17" t="str">
        <f>IF(data[[#This Row],[Actual Delivery Days]]&gt;AD321,"Yes","No")</f>
        <v>Yes</v>
      </c>
    </row>
    <row r="321" spans="1:26">
      <c r="A321" s="17">
        <v>11496</v>
      </c>
      <c r="B321" s="17">
        <v>2</v>
      </c>
      <c r="C321" s="17">
        <v>1</v>
      </c>
      <c r="D321" s="17" t="s">
        <v>80</v>
      </c>
      <c r="E321" s="17" t="s">
        <v>218</v>
      </c>
      <c r="F321" s="17" t="str">
        <f>TEXT(data[[#This Row],[ShipDate]],"yyyy - mmmm")</f>
        <v>2016 - May</v>
      </c>
      <c r="G321" s="17" t="str">
        <f>data[[#This Row],[OriginCity]] &amp; " - "  &amp; data[[#This Row],[DestinationCity]]</f>
        <v>Skokie - Chicago</v>
      </c>
      <c r="H321" s="17" t="s">
        <v>35</v>
      </c>
      <c r="I321" s="17" t="s">
        <v>31</v>
      </c>
      <c r="J321" s="17">
        <v>8</v>
      </c>
      <c r="K321" s="17" t="s">
        <v>39</v>
      </c>
      <c r="L321" s="17" t="s">
        <v>31</v>
      </c>
      <c r="M321" s="17" t="s">
        <v>82</v>
      </c>
      <c r="N321" s="17">
        <v>543</v>
      </c>
      <c r="O321" s="17">
        <v>229</v>
      </c>
      <c r="P321" s="26">
        <f>(data[[#This Row],[LoadedMiles]]/data[[#This Row],[TotalMiles]])*100</f>
        <v>42.173112338858196</v>
      </c>
      <c r="Q321" s="25">
        <f>data[[#This Row],[ShippingCost]]/data[[#This Row],[TotalMiles]]</f>
        <v>11.049723756906078</v>
      </c>
      <c r="R321" s="17">
        <v>6000</v>
      </c>
      <c r="S321" s="25">
        <f>data[[#This Row],[Revenue]]/data[[#This Row],[TotalMiles]]</f>
        <v>19.600368324125231</v>
      </c>
      <c r="T321" s="26">
        <f>data[[#This Row],[Revenue]]-data[[#This Row],[ShippingCost]]</f>
        <v>4643</v>
      </c>
      <c r="U321" s="17">
        <v>10643</v>
      </c>
      <c r="V321" s="17">
        <v>89</v>
      </c>
      <c r="W321" s="17" t="s">
        <v>68</v>
      </c>
      <c r="X321" s="17">
        <v>6</v>
      </c>
      <c r="Y321" s="17">
        <f>data[[#This Row],[DeliveryDate]]-data[[#This Row],[ShipDate]]</f>
        <v>-49</v>
      </c>
      <c r="Z321" s="17" t="str">
        <f>IF(data[[#This Row],[Actual Delivery Days]]&gt;AD322,"Yes","No")</f>
        <v>No</v>
      </c>
    </row>
    <row r="322" spans="1:26">
      <c r="A322" s="17">
        <v>11511</v>
      </c>
      <c r="B322" s="17">
        <v>3</v>
      </c>
      <c r="C322" s="17">
        <v>6</v>
      </c>
      <c r="D322" s="17" t="s">
        <v>131</v>
      </c>
      <c r="E322" s="17" t="s">
        <v>614</v>
      </c>
      <c r="F322" s="17" t="str">
        <f>TEXT(data[[#This Row],[ShipDate]],"yyyy - mmmm")</f>
        <v>2016 - July</v>
      </c>
      <c r="G322" s="17" t="str">
        <f>data[[#This Row],[OriginCity]] &amp; " - "  &amp; data[[#This Row],[DestinationCity]]</f>
        <v>Rockford - Green Bay</v>
      </c>
      <c r="H322" s="17" t="s">
        <v>40</v>
      </c>
      <c r="I322" s="17" t="s">
        <v>31</v>
      </c>
      <c r="J322" s="17">
        <v>8</v>
      </c>
      <c r="K322" s="17" t="s">
        <v>75</v>
      </c>
      <c r="L322" s="17" t="s">
        <v>29</v>
      </c>
      <c r="M322" s="17" t="s">
        <v>60</v>
      </c>
      <c r="N322" s="17">
        <v>793</v>
      </c>
      <c r="O322" s="17">
        <v>793</v>
      </c>
      <c r="P322" s="26">
        <f>(data[[#This Row],[LoadedMiles]]/data[[#This Row],[TotalMiles]])*100</f>
        <v>100</v>
      </c>
      <c r="Q322" s="25">
        <f>data[[#This Row],[ShippingCost]]/data[[#This Row],[TotalMiles]]</f>
        <v>2.0630517023959647</v>
      </c>
      <c r="R322" s="17">
        <v>1636</v>
      </c>
      <c r="S322" s="25">
        <f>data[[#This Row],[Revenue]]/data[[#This Row],[TotalMiles]]</f>
        <v>3.1210592686002521</v>
      </c>
      <c r="T322" s="26">
        <f>data[[#This Row],[Revenue]]-data[[#This Row],[ShippingCost]]</f>
        <v>839</v>
      </c>
      <c r="U322" s="17">
        <v>2475</v>
      </c>
      <c r="V322" s="17">
        <v>51</v>
      </c>
      <c r="W322" s="17" t="s">
        <v>68</v>
      </c>
      <c r="X322" s="17">
        <v>5</v>
      </c>
      <c r="Y322" s="17">
        <f>data[[#This Row],[DeliveryDate]]-data[[#This Row],[ShipDate]]</f>
        <v>9</v>
      </c>
      <c r="Z322" s="17" t="str">
        <f>IF(data[[#This Row],[Actual Delivery Days]]&gt;AD323,"Yes","No")</f>
        <v>Yes</v>
      </c>
    </row>
    <row r="323" spans="1:26">
      <c r="A323" s="17">
        <v>11515</v>
      </c>
      <c r="B323" s="17">
        <v>3</v>
      </c>
      <c r="C323" s="17">
        <v>5</v>
      </c>
      <c r="D323" s="17" t="s">
        <v>143</v>
      </c>
      <c r="E323" s="17" t="s">
        <v>136</v>
      </c>
      <c r="F323" s="17" t="str">
        <f>TEXT(data[[#This Row],[ShipDate]],"yyyy - mmmm")</f>
        <v>2016 - June</v>
      </c>
      <c r="G323" s="17" t="str">
        <f>data[[#This Row],[OriginCity]] &amp; " - "  &amp; data[[#This Row],[DestinationCity]]</f>
        <v>Toledo - Detriot</v>
      </c>
      <c r="H323" s="17" t="s">
        <v>22</v>
      </c>
      <c r="I323" s="17" t="s">
        <v>23</v>
      </c>
      <c r="J323" s="17">
        <v>8</v>
      </c>
      <c r="K323" s="17" t="s">
        <v>52</v>
      </c>
      <c r="L323" s="17" t="s">
        <v>21</v>
      </c>
      <c r="M323" s="17" t="s">
        <v>82</v>
      </c>
      <c r="N323" s="17">
        <v>905</v>
      </c>
      <c r="O323" s="17">
        <v>370</v>
      </c>
      <c r="P323" s="26">
        <f>(data[[#This Row],[LoadedMiles]]/data[[#This Row],[TotalMiles]])*100</f>
        <v>40.883977900552487</v>
      </c>
      <c r="Q323" s="25">
        <f>data[[#This Row],[ShippingCost]]/data[[#This Row],[TotalMiles]]</f>
        <v>6.2740331491712711</v>
      </c>
      <c r="R323" s="17">
        <v>5678</v>
      </c>
      <c r="S323" s="25">
        <f>data[[#This Row],[Revenue]]/data[[#This Row],[TotalMiles]]</f>
        <v>7.183425414364641</v>
      </c>
      <c r="T323" s="26">
        <f>data[[#This Row],[Revenue]]-data[[#This Row],[ShippingCost]]</f>
        <v>823</v>
      </c>
      <c r="U323" s="17">
        <v>6501</v>
      </c>
      <c r="V323" s="17">
        <v>90</v>
      </c>
      <c r="W323" s="17" t="s">
        <v>68</v>
      </c>
      <c r="X323" s="17">
        <v>10</v>
      </c>
      <c r="Y323" s="17">
        <f>data[[#This Row],[DeliveryDate]]-data[[#This Row],[ShipDate]]</f>
        <v>-84</v>
      </c>
      <c r="Z323" s="17" t="str">
        <f>IF(data[[#This Row],[Actual Delivery Days]]&gt;AD324,"Yes","No")</f>
        <v>No</v>
      </c>
    </row>
    <row r="324" spans="1:26">
      <c r="A324" s="17">
        <v>11533</v>
      </c>
      <c r="B324" s="17">
        <v>3</v>
      </c>
      <c r="C324" s="17">
        <v>1</v>
      </c>
      <c r="D324" s="17" t="s">
        <v>187</v>
      </c>
      <c r="E324" s="17" t="s">
        <v>95</v>
      </c>
      <c r="F324" s="17" t="str">
        <f>TEXT(data[[#This Row],[ShipDate]],"yyyy - mmmm")</f>
        <v>2016 - February</v>
      </c>
      <c r="G324" s="17" t="str">
        <f>data[[#This Row],[OriginCity]] &amp; " - "  &amp; data[[#This Row],[DestinationCity]]</f>
        <v>Green Bay - Joliet</v>
      </c>
      <c r="H324" s="17" t="s">
        <v>75</v>
      </c>
      <c r="I324" s="17" t="s">
        <v>29</v>
      </c>
      <c r="J324" s="17">
        <v>8</v>
      </c>
      <c r="K324" s="17" t="s">
        <v>61</v>
      </c>
      <c r="L324" s="17" t="s">
        <v>31</v>
      </c>
      <c r="M324" s="17" t="s">
        <v>435</v>
      </c>
      <c r="N324" s="17">
        <v>612</v>
      </c>
      <c r="O324" s="17">
        <v>389</v>
      </c>
      <c r="P324" s="26">
        <f>(data[[#This Row],[LoadedMiles]]/data[[#This Row],[TotalMiles]])*100</f>
        <v>63.562091503267972</v>
      </c>
      <c r="Q324" s="25">
        <f>data[[#This Row],[ShippingCost]]/data[[#This Row],[TotalMiles]]</f>
        <v>13.263071895424837</v>
      </c>
      <c r="R324" s="17">
        <v>8117</v>
      </c>
      <c r="S324" s="25">
        <f>data[[#This Row],[Revenue]]/data[[#This Row],[TotalMiles]]</f>
        <v>21.040849673202615</v>
      </c>
      <c r="T324" s="26">
        <f>data[[#This Row],[Revenue]]-data[[#This Row],[ShippingCost]]</f>
        <v>4760</v>
      </c>
      <c r="U324" s="17">
        <v>12877</v>
      </c>
      <c r="V324" s="17">
        <v>64</v>
      </c>
      <c r="W324" s="17" t="s">
        <v>68</v>
      </c>
      <c r="X324" s="17">
        <v>2</v>
      </c>
      <c r="Y324" s="17">
        <f>data[[#This Row],[DeliveryDate]]-data[[#This Row],[ShipDate]]</f>
        <v>11</v>
      </c>
      <c r="Z324" s="17" t="str">
        <f>IF(data[[#This Row],[Actual Delivery Days]]&gt;AD325,"Yes","No")</f>
        <v>Yes</v>
      </c>
    </row>
    <row r="325" spans="1:26">
      <c r="A325" s="17">
        <v>11569</v>
      </c>
      <c r="B325" s="17">
        <v>2</v>
      </c>
      <c r="C325" s="17">
        <v>6</v>
      </c>
      <c r="D325" s="17" t="s">
        <v>267</v>
      </c>
      <c r="E325" s="17" t="s">
        <v>426</v>
      </c>
      <c r="F325" s="17" t="str">
        <f>TEXT(data[[#This Row],[ShipDate]],"yyyy - mmmm")</f>
        <v>2016 - July</v>
      </c>
      <c r="G325" s="17" t="str">
        <f>data[[#This Row],[OriginCity]] &amp; " - "  &amp; data[[#This Row],[DestinationCity]]</f>
        <v>Milwaukee - Springfield</v>
      </c>
      <c r="H325" s="17" t="s">
        <v>28</v>
      </c>
      <c r="I325" s="17" t="s">
        <v>29</v>
      </c>
      <c r="J325" s="17">
        <v>8</v>
      </c>
      <c r="K325" s="17" t="s">
        <v>30</v>
      </c>
      <c r="L325" s="17" t="s">
        <v>31</v>
      </c>
      <c r="M325" s="17" t="s">
        <v>150</v>
      </c>
      <c r="N325" s="17">
        <v>1134</v>
      </c>
      <c r="O325" s="17">
        <v>370</v>
      </c>
      <c r="P325" s="26">
        <f>(data[[#This Row],[LoadedMiles]]/data[[#This Row],[TotalMiles]])*100</f>
        <v>32.627865961199291</v>
      </c>
      <c r="Q325" s="25">
        <f>data[[#This Row],[ShippingCost]]/data[[#This Row],[TotalMiles]]</f>
        <v>6.2619047619047619</v>
      </c>
      <c r="R325" s="17">
        <v>7101</v>
      </c>
      <c r="S325" s="25">
        <f>data[[#This Row],[Revenue]]/data[[#This Row],[TotalMiles]]</f>
        <v>6.9611992945326282</v>
      </c>
      <c r="T325" s="26">
        <f>data[[#This Row],[Revenue]]-data[[#This Row],[ShippingCost]]</f>
        <v>793</v>
      </c>
      <c r="U325" s="17">
        <v>7894</v>
      </c>
      <c r="V325" s="17">
        <v>53</v>
      </c>
      <c r="W325" s="17" t="s">
        <v>68</v>
      </c>
      <c r="X325" s="17">
        <v>8</v>
      </c>
      <c r="Y325" s="17">
        <f>data[[#This Row],[DeliveryDate]]-data[[#This Row],[ShipDate]]</f>
        <v>9</v>
      </c>
      <c r="Z325" s="17" t="str">
        <f>IF(data[[#This Row],[Actual Delivery Days]]&gt;AD326,"Yes","No")</f>
        <v>Yes</v>
      </c>
    </row>
    <row r="326" spans="1:26">
      <c r="A326" s="17">
        <v>11638</v>
      </c>
      <c r="B326" s="17">
        <v>3</v>
      </c>
      <c r="C326" s="17">
        <v>5</v>
      </c>
      <c r="D326" s="17" t="s">
        <v>401</v>
      </c>
      <c r="E326" s="17" t="s">
        <v>422</v>
      </c>
      <c r="F326" s="17" t="str">
        <f>TEXT(data[[#This Row],[ShipDate]],"yyyy - mmmm")</f>
        <v>2016 - August</v>
      </c>
      <c r="G326" s="17" t="str">
        <f>data[[#This Row],[OriginCity]] &amp; " - "  &amp; data[[#This Row],[DestinationCity]]</f>
        <v>Monon - Lansing</v>
      </c>
      <c r="H326" s="17" t="s">
        <v>53</v>
      </c>
      <c r="I326" s="17" t="s">
        <v>44</v>
      </c>
      <c r="J326" s="17">
        <v>8</v>
      </c>
      <c r="K326" s="17" t="s">
        <v>66</v>
      </c>
      <c r="L326" s="17" t="s">
        <v>21</v>
      </c>
      <c r="M326" s="17" t="s">
        <v>341</v>
      </c>
      <c r="N326" s="17">
        <v>245</v>
      </c>
      <c r="O326" s="17">
        <v>245</v>
      </c>
      <c r="P326" s="26">
        <f>(data[[#This Row],[LoadedMiles]]/data[[#This Row],[TotalMiles]])*100</f>
        <v>100</v>
      </c>
      <c r="Q326" s="25">
        <f>data[[#This Row],[ShippingCost]]/data[[#This Row],[TotalMiles]]</f>
        <v>24.685714285714287</v>
      </c>
      <c r="R326" s="17">
        <v>6048</v>
      </c>
      <c r="S326" s="25">
        <f>data[[#This Row],[Revenue]]/data[[#This Row],[TotalMiles]]</f>
        <v>27.665306122448978</v>
      </c>
      <c r="T326" s="26">
        <f>data[[#This Row],[Revenue]]-data[[#This Row],[ShippingCost]]</f>
        <v>730</v>
      </c>
      <c r="U326" s="17">
        <v>6778</v>
      </c>
      <c r="V326" s="17">
        <v>67</v>
      </c>
      <c r="W326" s="17" t="s">
        <v>68</v>
      </c>
      <c r="X326" s="17">
        <v>1</v>
      </c>
      <c r="Y326" s="17">
        <f>data[[#This Row],[DeliveryDate]]-data[[#This Row],[ShipDate]]</f>
        <v>8</v>
      </c>
      <c r="Z326" s="17" t="str">
        <f>IF(data[[#This Row],[Actual Delivery Days]]&gt;AD327,"Yes","No")</f>
        <v>Yes</v>
      </c>
    </row>
    <row r="327" spans="1:26">
      <c r="A327" s="17">
        <v>11639</v>
      </c>
      <c r="B327" s="17">
        <v>2</v>
      </c>
      <c r="C327" s="17">
        <v>1</v>
      </c>
      <c r="D327" s="17" t="s">
        <v>402</v>
      </c>
      <c r="E327" s="17" t="s">
        <v>146</v>
      </c>
      <c r="F327" s="17" t="str">
        <f>TEXT(data[[#This Row],[ShipDate]],"yyyy - mmmm")</f>
        <v>2016 - June</v>
      </c>
      <c r="G327" s="17" t="str">
        <f>data[[#This Row],[OriginCity]] &amp; " - "  &amp; data[[#This Row],[DestinationCity]]</f>
        <v>Madison - Kalamazoo</v>
      </c>
      <c r="H327" s="17" t="s">
        <v>62</v>
      </c>
      <c r="I327" s="17" t="s">
        <v>29</v>
      </c>
      <c r="J327" s="17">
        <v>8</v>
      </c>
      <c r="K327" s="17" t="s">
        <v>71</v>
      </c>
      <c r="L327" s="17" t="s">
        <v>21</v>
      </c>
      <c r="M327" s="17" t="s">
        <v>473</v>
      </c>
      <c r="N327" s="17">
        <v>452</v>
      </c>
      <c r="O327" s="17">
        <v>380</v>
      </c>
      <c r="P327" s="26">
        <f>(data[[#This Row],[LoadedMiles]]/data[[#This Row],[TotalMiles]])*100</f>
        <v>84.070796460176993</v>
      </c>
      <c r="Q327" s="25">
        <f>data[[#This Row],[ShippingCost]]/data[[#This Row],[TotalMiles]]</f>
        <v>17.342920353982301</v>
      </c>
      <c r="R327" s="17">
        <v>7839</v>
      </c>
      <c r="S327" s="25">
        <f>data[[#This Row],[Revenue]]/data[[#This Row],[TotalMiles]]</f>
        <v>28.752212389380531</v>
      </c>
      <c r="T327" s="26">
        <f>data[[#This Row],[Revenue]]-data[[#This Row],[ShippingCost]]</f>
        <v>5157</v>
      </c>
      <c r="U327" s="17">
        <v>12996</v>
      </c>
      <c r="V327" s="17">
        <v>53</v>
      </c>
      <c r="W327" s="17" t="s">
        <v>68</v>
      </c>
      <c r="X327" s="17">
        <v>6</v>
      </c>
      <c r="Y327" s="17">
        <f>data[[#This Row],[DeliveryDate]]-data[[#This Row],[ShipDate]]</f>
        <v>8</v>
      </c>
      <c r="Z327" s="17" t="str">
        <f>IF(data[[#This Row],[Actual Delivery Days]]&gt;AD328,"Yes","No")</f>
        <v>Yes</v>
      </c>
    </row>
    <row r="328" spans="1:26">
      <c r="A328" s="17">
        <v>11640</v>
      </c>
      <c r="B328" s="17">
        <v>3</v>
      </c>
      <c r="C328" s="17">
        <v>1</v>
      </c>
      <c r="D328" s="17" t="s">
        <v>403</v>
      </c>
      <c r="E328" s="17" t="s">
        <v>206</v>
      </c>
      <c r="F328" s="17" t="str">
        <f>TEXT(data[[#This Row],[ShipDate]],"yyyy - mmmm")</f>
        <v>2016 - February</v>
      </c>
      <c r="G328" s="17" t="str">
        <f>data[[#This Row],[OriginCity]] &amp; " - "  &amp; data[[#This Row],[DestinationCity]]</f>
        <v>Green Bay - Joliet</v>
      </c>
      <c r="H328" s="17" t="s">
        <v>75</v>
      </c>
      <c r="I328" s="17" t="s">
        <v>29</v>
      </c>
      <c r="J328" s="17">
        <v>8</v>
      </c>
      <c r="K328" s="17" t="s">
        <v>61</v>
      </c>
      <c r="L328" s="17" t="s">
        <v>31</v>
      </c>
      <c r="M328" s="17" t="s">
        <v>76</v>
      </c>
      <c r="N328" s="17">
        <v>429</v>
      </c>
      <c r="O328" s="17">
        <v>391</v>
      </c>
      <c r="P328" s="26">
        <f>(data[[#This Row],[LoadedMiles]]/data[[#This Row],[TotalMiles]])*100</f>
        <v>91.142191142191137</v>
      </c>
      <c r="Q328" s="25">
        <f>data[[#This Row],[ShippingCost]]/data[[#This Row],[TotalMiles]]</f>
        <v>4.4708624708624711</v>
      </c>
      <c r="R328" s="17">
        <v>1918</v>
      </c>
      <c r="S328" s="25">
        <f>data[[#This Row],[Revenue]]/data[[#This Row],[TotalMiles]]</f>
        <v>12.501165501165501</v>
      </c>
      <c r="T328" s="26">
        <f>data[[#This Row],[Revenue]]-data[[#This Row],[ShippingCost]]</f>
        <v>3445</v>
      </c>
      <c r="U328" s="17">
        <v>5363</v>
      </c>
      <c r="V328" s="17">
        <v>84</v>
      </c>
      <c r="W328" s="17" t="s">
        <v>68</v>
      </c>
      <c r="X328" s="17">
        <v>7</v>
      </c>
      <c r="Y328" s="17">
        <f>data[[#This Row],[DeliveryDate]]-data[[#This Row],[ShipDate]]</f>
        <v>8</v>
      </c>
      <c r="Z328" s="17" t="str">
        <f>IF(data[[#This Row],[Actual Delivery Days]]&gt;AD329,"Yes","No")</f>
        <v>Yes</v>
      </c>
    </row>
    <row r="329" spans="1:26">
      <c r="A329" s="17">
        <v>11642</v>
      </c>
      <c r="B329" s="17">
        <v>3</v>
      </c>
      <c r="C329" s="17">
        <v>5</v>
      </c>
      <c r="D329" s="17" t="s">
        <v>407</v>
      </c>
      <c r="E329" s="17" t="s">
        <v>447</v>
      </c>
      <c r="F329" s="17" t="str">
        <f>TEXT(data[[#This Row],[ShipDate]],"yyyy - mmmm")</f>
        <v>2016 - January</v>
      </c>
      <c r="G329" s="17" t="str">
        <f>data[[#This Row],[OriginCity]] &amp; " - "  &amp; data[[#This Row],[DestinationCity]]</f>
        <v>Rockford - Green Bay</v>
      </c>
      <c r="H329" s="17" t="s">
        <v>40</v>
      </c>
      <c r="I329" s="17" t="s">
        <v>31</v>
      </c>
      <c r="J329" s="17">
        <v>8</v>
      </c>
      <c r="K329" s="17" t="s">
        <v>75</v>
      </c>
      <c r="L329" s="17" t="s">
        <v>29</v>
      </c>
      <c r="M329" s="17" t="s">
        <v>82</v>
      </c>
      <c r="N329" s="17">
        <v>790</v>
      </c>
      <c r="O329" s="17">
        <v>501</v>
      </c>
      <c r="P329" s="26">
        <f>(data[[#This Row],[LoadedMiles]]/data[[#This Row],[TotalMiles]])*100</f>
        <v>63.417721518987349</v>
      </c>
      <c r="Q329" s="25">
        <f>data[[#This Row],[ShippingCost]]/data[[#This Row],[TotalMiles]]</f>
        <v>10.088607594936709</v>
      </c>
      <c r="R329" s="17">
        <v>7970</v>
      </c>
      <c r="S329" s="25">
        <f>data[[#This Row],[Revenue]]/data[[#This Row],[TotalMiles]]</f>
        <v>10.649367088607596</v>
      </c>
      <c r="T329" s="26">
        <f>data[[#This Row],[Revenue]]-data[[#This Row],[ShippingCost]]</f>
        <v>443</v>
      </c>
      <c r="U329" s="17">
        <v>8413</v>
      </c>
      <c r="V329" s="17">
        <v>89</v>
      </c>
      <c r="W329" s="17" t="s">
        <v>68</v>
      </c>
      <c r="X329" s="17">
        <v>1</v>
      </c>
      <c r="Y329" s="17">
        <f>data[[#This Row],[DeliveryDate]]-data[[#This Row],[ShipDate]]</f>
        <v>57</v>
      </c>
      <c r="Z329" s="17" t="str">
        <f>IF(data[[#This Row],[Actual Delivery Days]]&gt;AD330,"Yes","No")</f>
        <v>Yes</v>
      </c>
    </row>
    <row r="330" spans="1:26">
      <c r="A330" s="17">
        <v>11657</v>
      </c>
      <c r="B330" s="17">
        <v>3</v>
      </c>
      <c r="C330" s="17">
        <v>2</v>
      </c>
      <c r="D330" s="17" t="s">
        <v>436</v>
      </c>
      <c r="E330" s="17" t="s">
        <v>114</v>
      </c>
      <c r="F330" s="17" t="str">
        <f>TEXT(data[[#This Row],[ShipDate]],"yyyy - mmmm")</f>
        <v>2016 - April</v>
      </c>
      <c r="G330" s="17" t="str">
        <f>data[[#This Row],[OriginCity]] &amp; " - "  &amp; data[[#This Row],[DestinationCity]]</f>
        <v>Gary - Milwaukee</v>
      </c>
      <c r="H330" s="17" t="s">
        <v>57</v>
      </c>
      <c r="I330" s="17" t="s">
        <v>44</v>
      </c>
      <c r="J330" s="17">
        <v>8</v>
      </c>
      <c r="K330" s="17" t="s">
        <v>28</v>
      </c>
      <c r="L330" s="17" t="s">
        <v>29</v>
      </c>
      <c r="M330" s="17" t="s">
        <v>626</v>
      </c>
      <c r="N330" s="17">
        <v>405</v>
      </c>
      <c r="O330" s="17">
        <v>405</v>
      </c>
      <c r="P330" s="26">
        <f>(data[[#This Row],[LoadedMiles]]/data[[#This Row],[TotalMiles]])*100</f>
        <v>100</v>
      </c>
      <c r="Q330" s="25">
        <f>data[[#This Row],[ShippingCost]]/data[[#This Row],[TotalMiles]]</f>
        <v>6.261728395061728</v>
      </c>
      <c r="R330" s="17">
        <v>2536</v>
      </c>
      <c r="S330" s="25">
        <f>data[[#This Row],[Revenue]]/data[[#This Row],[TotalMiles]]</f>
        <v>7.1876543209876544</v>
      </c>
      <c r="T330" s="26">
        <f>data[[#This Row],[Revenue]]-data[[#This Row],[ShippingCost]]</f>
        <v>375</v>
      </c>
      <c r="U330" s="17">
        <v>2911</v>
      </c>
      <c r="V330" s="17">
        <v>75</v>
      </c>
      <c r="W330" s="17" t="s">
        <v>68</v>
      </c>
      <c r="X330" s="17">
        <v>3</v>
      </c>
      <c r="Y330" s="17">
        <f>data[[#This Row],[DeliveryDate]]-data[[#This Row],[ShipDate]]</f>
        <v>8</v>
      </c>
      <c r="Z330" s="17" t="str">
        <f>IF(data[[#This Row],[Actual Delivery Days]]&gt;AD331,"Yes","No")</f>
        <v>Yes</v>
      </c>
    </row>
    <row r="331" spans="1:26">
      <c r="A331" s="17">
        <v>11658</v>
      </c>
      <c r="B331" s="17">
        <v>3</v>
      </c>
      <c r="C331" s="17">
        <v>2</v>
      </c>
      <c r="D331" s="17" t="s">
        <v>438</v>
      </c>
      <c r="E331" s="17" t="s">
        <v>168</v>
      </c>
      <c r="F331" s="17" t="str">
        <f>TEXT(data[[#This Row],[ShipDate]],"yyyy - mmmm")</f>
        <v>2016 - February</v>
      </c>
      <c r="G331" s="17" t="str">
        <f>data[[#This Row],[OriginCity]] &amp; " - "  &amp; data[[#This Row],[DestinationCity]]</f>
        <v>Joliet - Madison</v>
      </c>
      <c r="H331" s="17" t="s">
        <v>61</v>
      </c>
      <c r="I331" s="17" t="s">
        <v>31</v>
      </c>
      <c r="J331" s="17">
        <v>8</v>
      </c>
      <c r="K331" s="17" t="s">
        <v>62</v>
      </c>
      <c r="L331" s="17" t="s">
        <v>29</v>
      </c>
      <c r="M331" s="17" t="s">
        <v>352</v>
      </c>
      <c r="N331" s="17">
        <v>918</v>
      </c>
      <c r="O331" s="17">
        <v>470</v>
      </c>
      <c r="P331" s="26">
        <f>(data[[#This Row],[LoadedMiles]]/data[[#This Row],[TotalMiles]])*100</f>
        <v>51.19825708061002</v>
      </c>
      <c r="Q331" s="25">
        <f>data[[#This Row],[ShippingCost]]/data[[#This Row],[TotalMiles]]</f>
        <v>3.0925925925925926</v>
      </c>
      <c r="R331" s="17">
        <v>2839</v>
      </c>
      <c r="S331" s="25">
        <f>data[[#This Row],[Revenue]]/data[[#This Row],[TotalMiles]]</f>
        <v>3.8169934640522878</v>
      </c>
      <c r="T331" s="26">
        <f>data[[#This Row],[Revenue]]-data[[#This Row],[ShippingCost]]</f>
        <v>665</v>
      </c>
      <c r="U331" s="17">
        <v>3504</v>
      </c>
      <c r="V331" s="17">
        <v>67</v>
      </c>
      <c r="W331" s="17" t="s">
        <v>68</v>
      </c>
      <c r="X331" s="17">
        <v>9</v>
      </c>
      <c r="Y331" s="17">
        <f>data[[#This Row],[DeliveryDate]]-data[[#This Row],[ShipDate]]</f>
        <v>8</v>
      </c>
      <c r="Z331" s="17" t="str">
        <f>IF(data[[#This Row],[Actual Delivery Days]]&gt;AD332,"Yes","No")</f>
        <v>Yes</v>
      </c>
    </row>
    <row r="332" spans="1:26">
      <c r="A332" s="17">
        <v>11674</v>
      </c>
      <c r="B332" s="17">
        <v>2</v>
      </c>
      <c r="C332" s="17">
        <v>5</v>
      </c>
      <c r="D332" s="17" t="s">
        <v>465</v>
      </c>
      <c r="E332" s="17" t="s">
        <v>617</v>
      </c>
      <c r="F332" s="17" t="str">
        <f>TEXT(data[[#This Row],[ShipDate]],"yyyy - mmmm")</f>
        <v>2016 - June</v>
      </c>
      <c r="G332" s="17" t="str">
        <f>data[[#This Row],[OriginCity]] &amp; " - "  &amp; data[[#This Row],[DestinationCity]]</f>
        <v>Chicago - Rockford</v>
      </c>
      <c r="H332" s="17" t="s">
        <v>39</v>
      </c>
      <c r="I332" s="17" t="s">
        <v>31</v>
      </c>
      <c r="J332" s="17">
        <v>8</v>
      </c>
      <c r="K332" s="17" t="s">
        <v>40</v>
      </c>
      <c r="L332" s="17" t="s">
        <v>31</v>
      </c>
      <c r="M332" s="17" t="s">
        <v>293</v>
      </c>
      <c r="N332" s="17">
        <v>751</v>
      </c>
      <c r="O332" s="17">
        <v>529</v>
      </c>
      <c r="P332" s="26">
        <f>(data[[#This Row],[LoadedMiles]]/data[[#This Row],[TotalMiles]])*100</f>
        <v>70.43941411451398</v>
      </c>
      <c r="Q332" s="25">
        <f>data[[#This Row],[ShippingCost]]/data[[#This Row],[TotalMiles]]</f>
        <v>8.8854860186418101</v>
      </c>
      <c r="R332" s="17">
        <v>6673</v>
      </c>
      <c r="S332" s="25">
        <f>data[[#This Row],[Revenue]]/data[[#This Row],[TotalMiles]]</f>
        <v>9.7177097203728362</v>
      </c>
      <c r="T332" s="26">
        <f>data[[#This Row],[Revenue]]-data[[#This Row],[ShippingCost]]</f>
        <v>625</v>
      </c>
      <c r="U332" s="17">
        <v>7298</v>
      </c>
      <c r="V332" s="17">
        <v>69</v>
      </c>
      <c r="W332" s="17" t="s">
        <v>68</v>
      </c>
      <c r="X332" s="17">
        <v>3</v>
      </c>
      <c r="Y332" s="17">
        <f>data[[#This Row],[DeliveryDate]]-data[[#This Row],[ShipDate]]</f>
        <v>8</v>
      </c>
      <c r="Z332" s="17" t="str">
        <f>IF(data[[#This Row],[Actual Delivery Days]]&gt;AD333,"Yes","No")</f>
        <v>Yes</v>
      </c>
    </row>
    <row r="333" spans="1:26">
      <c r="A333" s="17">
        <v>11687</v>
      </c>
      <c r="B333" s="17">
        <v>3</v>
      </c>
      <c r="C333" s="17">
        <v>2</v>
      </c>
      <c r="D333" s="17" t="s">
        <v>488</v>
      </c>
      <c r="E333" s="17" t="s">
        <v>248</v>
      </c>
      <c r="F333" s="17" t="str">
        <f>TEXT(data[[#This Row],[ShipDate]],"yyyy - mmmm")</f>
        <v>2016 - May</v>
      </c>
      <c r="G333" s="17" t="str">
        <f>data[[#This Row],[OriginCity]] &amp; " - "  &amp; data[[#This Row],[DestinationCity]]</f>
        <v>Skokie - Chicago</v>
      </c>
      <c r="H333" s="17" t="s">
        <v>35</v>
      </c>
      <c r="I333" s="17" t="s">
        <v>31</v>
      </c>
      <c r="J333" s="17">
        <v>8</v>
      </c>
      <c r="K333" s="17" t="s">
        <v>39</v>
      </c>
      <c r="L333" s="17" t="s">
        <v>31</v>
      </c>
      <c r="M333" s="17" t="s">
        <v>27</v>
      </c>
      <c r="N333" s="17">
        <v>606</v>
      </c>
      <c r="O333" s="17">
        <v>588</v>
      </c>
      <c r="P333" s="26">
        <f>(data[[#This Row],[LoadedMiles]]/data[[#This Row],[TotalMiles]])*100</f>
        <v>97.029702970297024</v>
      </c>
      <c r="Q333" s="25">
        <f>data[[#This Row],[ShippingCost]]/data[[#This Row],[TotalMiles]]</f>
        <v>8.4009900990099009</v>
      </c>
      <c r="R333" s="17">
        <v>5091</v>
      </c>
      <c r="S333" s="25">
        <f>data[[#This Row],[Revenue]]/data[[#This Row],[TotalMiles]]</f>
        <v>9.4158415841584162</v>
      </c>
      <c r="T333" s="26">
        <f>data[[#This Row],[Revenue]]-data[[#This Row],[ShippingCost]]</f>
        <v>615</v>
      </c>
      <c r="U333" s="17">
        <v>5706</v>
      </c>
      <c r="V333" s="17">
        <v>88</v>
      </c>
      <c r="W333" s="17" t="s">
        <v>68</v>
      </c>
      <c r="X333" s="17">
        <v>9</v>
      </c>
      <c r="Y333" s="17">
        <f>data[[#This Row],[DeliveryDate]]-data[[#This Row],[ShipDate]]</f>
        <v>8</v>
      </c>
      <c r="Z333" s="17" t="str">
        <f>IF(data[[#This Row],[Actual Delivery Days]]&gt;AD334,"Yes","No")</f>
        <v>Yes</v>
      </c>
    </row>
    <row r="334" spans="1:26">
      <c r="A334" s="17">
        <v>11688</v>
      </c>
      <c r="B334" s="17">
        <v>2</v>
      </c>
      <c r="C334" s="17">
        <v>6</v>
      </c>
      <c r="D334" s="17" t="s">
        <v>489</v>
      </c>
      <c r="E334" s="17" t="s">
        <v>132</v>
      </c>
      <c r="F334" s="17" t="str">
        <f>TEXT(data[[#This Row],[ShipDate]],"yyyy - mmmm")</f>
        <v>2016 - February</v>
      </c>
      <c r="G334" s="17" t="str">
        <f>data[[#This Row],[OriginCity]] &amp; " - "  &amp; data[[#This Row],[DestinationCity]]</f>
        <v>Kalamazoo - Bangor</v>
      </c>
      <c r="H334" s="17" t="s">
        <v>71</v>
      </c>
      <c r="I334" s="17" t="s">
        <v>21</v>
      </c>
      <c r="J334" s="17">
        <v>8</v>
      </c>
      <c r="K334" s="17" t="s">
        <v>104</v>
      </c>
      <c r="L334" s="17" t="s">
        <v>21</v>
      </c>
      <c r="M334" s="17" t="s">
        <v>353</v>
      </c>
      <c r="N334" s="17">
        <v>1158</v>
      </c>
      <c r="O334" s="17">
        <v>319</v>
      </c>
      <c r="P334" s="26">
        <f>(data[[#This Row],[LoadedMiles]]/data[[#This Row],[TotalMiles]])*100</f>
        <v>27.547495682210709</v>
      </c>
      <c r="Q334" s="25">
        <f>data[[#This Row],[ShippingCost]]/data[[#This Row],[TotalMiles]]</f>
        <v>6.5129533678756477</v>
      </c>
      <c r="R334" s="17">
        <v>7542</v>
      </c>
      <c r="S334" s="25">
        <f>data[[#This Row],[Revenue]]/data[[#This Row],[TotalMiles]]</f>
        <v>6.8696027633851466</v>
      </c>
      <c r="T334" s="26">
        <f>data[[#This Row],[Revenue]]-data[[#This Row],[ShippingCost]]</f>
        <v>413</v>
      </c>
      <c r="U334" s="17">
        <v>7955</v>
      </c>
      <c r="V334" s="17">
        <v>76</v>
      </c>
      <c r="W334" s="17" t="s">
        <v>68</v>
      </c>
      <c r="X334" s="17">
        <v>6</v>
      </c>
      <c r="Y334" s="17">
        <f>data[[#This Row],[DeliveryDate]]-data[[#This Row],[ShipDate]]</f>
        <v>8</v>
      </c>
      <c r="Z334" s="17" t="str">
        <f>IF(data[[#This Row],[Actual Delivery Days]]&gt;AD335,"Yes","No")</f>
        <v>Yes</v>
      </c>
    </row>
    <row r="335" spans="1:26">
      <c r="A335" s="17">
        <v>11690</v>
      </c>
      <c r="B335" s="17">
        <v>2</v>
      </c>
      <c r="C335" s="17">
        <v>2</v>
      </c>
      <c r="D335" s="17" t="s">
        <v>491</v>
      </c>
      <c r="E335" s="17" t="s">
        <v>315</v>
      </c>
      <c r="F335" s="17" t="str">
        <f>TEXT(data[[#This Row],[ShipDate]],"yyyy - mmmm")</f>
        <v>2016 - June</v>
      </c>
      <c r="G335" s="17" t="str">
        <f>data[[#This Row],[OriginCity]] &amp; " - "  &amp; data[[#This Row],[DestinationCity]]</f>
        <v>Grand Rapids - Toledo</v>
      </c>
      <c r="H335" s="17" t="s">
        <v>20</v>
      </c>
      <c r="I335" s="17" t="s">
        <v>21</v>
      </c>
      <c r="J335" s="17">
        <v>8</v>
      </c>
      <c r="K335" s="17" t="s">
        <v>22</v>
      </c>
      <c r="L335" s="17" t="s">
        <v>23</v>
      </c>
      <c r="M335" s="17" t="s">
        <v>278</v>
      </c>
      <c r="N335" s="17">
        <v>744</v>
      </c>
      <c r="O335" s="17">
        <v>464</v>
      </c>
      <c r="P335" s="26">
        <f>(data[[#This Row],[LoadedMiles]]/data[[#This Row],[TotalMiles]])*100</f>
        <v>62.365591397849464</v>
      </c>
      <c r="Q335" s="25">
        <f>data[[#This Row],[ShippingCost]]/data[[#This Row],[TotalMiles]]</f>
        <v>3.8938172043010755</v>
      </c>
      <c r="R335" s="17">
        <v>2897</v>
      </c>
      <c r="S335" s="25">
        <f>data[[#This Row],[Revenue]]/data[[#This Row],[TotalMiles]]</f>
        <v>4.508064516129032</v>
      </c>
      <c r="T335" s="26">
        <f>data[[#This Row],[Revenue]]-data[[#This Row],[ShippingCost]]</f>
        <v>457</v>
      </c>
      <c r="U335" s="17">
        <v>3354</v>
      </c>
      <c r="V335" s="17">
        <v>65</v>
      </c>
      <c r="W335" s="17" t="s">
        <v>68</v>
      </c>
      <c r="X335" s="17">
        <v>8</v>
      </c>
      <c r="Y335" s="17">
        <f>data[[#This Row],[DeliveryDate]]-data[[#This Row],[ShipDate]]</f>
        <v>8</v>
      </c>
      <c r="Z335" s="17" t="str">
        <f>IF(data[[#This Row],[Actual Delivery Days]]&gt;AD336,"Yes","No")</f>
        <v>Yes</v>
      </c>
    </row>
    <row r="336" spans="1:26">
      <c r="A336" s="17">
        <v>11727</v>
      </c>
      <c r="B336" s="17">
        <v>3</v>
      </c>
      <c r="C336" s="17">
        <v>4</v>
      </c>
      <c r="D336" s="17" t="s">
        <v>544</v>
      </c>
      <c r="E336" s="17" t="s">
        <v>49</v>
      </c>
      <c r="F336" s="17" t="str">
        <f>TEXT(data[[#This Row],[ShipDate]],"yyyy - mmmm")</f>
        <v>2016 - April</v>
      </c>
      <c r="G336" s="17" t="str">
        <f>data[[#This Row],[OriginCity]] &amp; " - "  &amp; data[[#This Row],[DestinationCity]]</f>
        <v>Dayton - Elgin</v>
      </c>
      <c r="H336" s="17" t="s">
        <v>93</v>
      </c>
      <c r="I336" s="17" t="s">
        <v>23</v>
      </c>
      <c r="J336" s="17">
        <v>8</v>
      </c>
      <c r="K336" s="17" t="s">
        <v>94</v>
      </c>
      <c r="L336" s="17" t="s">
        <v>31</v>
      </c>
      <c r="M336" s="17" t="s">
        <v>197</v>
      </c>
      <c r="N336" s="17">
        <v>555</v>
      </c>
      <c r="O336" s="17">
        <v>207</v>
      </c>
      <c r="P336" s="26">
        <f>(data[[#This Row],[LoadedMiles]]/data[[#This Row],[TotalMiles]])*100</f>
        <v>37.297297297297298</v>
      </c>
      <c r="Q336" s="25">
        <f>data[[#This Row],[ShippingCost]]/data[[#This Row],[TotalMiles]]</f>
        <v>11.911711711711712</v>
      </c>
      <c r="R336" s="17">
        <v>6611</v>
      </c>
      <c r="S336" s="25">
        <f>data[[#This Row],[Revenue]]/data[[#This Row],[TotalMiles]]</f>
        <v>7.8090090090090092</v>
      </c>
      <c r="T336" s="26">
        <f>data[[#This Row],[Revenue]]-data[[#This Row],[ShippingCost]]</f>
        <v>-2277</v>
      </c>
      <c r="U336" s="17">
        <v>4334</v>
      </c>
      <c r="V336" s="17">
        <v>61</v>
      </c>
      <c r="W336" s="17" t="s">
        <v>68</v>
      </c>
      <c r="X336" s="17">
        <v>8</v>
      </c>
      <c r="Y336" s="17">
        <f>data[[#This Row],[DeliveryDate]]-data[[#This Row],[ShipDate]]</f>
        <v>8</v>
      </c>
      <c r="Z336" s="17" t="str">
        <f>IF(data[[#This Row],[Actual Delivery Days]]&gt;AD337,"Yes","No")</f>
        <v>Yes</v>
      </c>
    </row>
    <row r="337" spans="1:26">
      <c r="A337" s="17">
        <v>11728</v>
      </c>
      <c r="B337" s="17">
        <v>2</v>
      </c>
      <c r="C337" s="17">
        <v>5</v>
      </c>
      <c r="D337" s="17" t="s">
        <v>545</v>
      </c>
      <c r="E337" s="17" t="s">
        <v>332</v>
      </c>
      <c r="F337" s="17" t="str">
        <f>TEXT(data[[#This Row],[ShipDate]],"yyyy - mmmm")</f>
        <v>2016 - February</v>
      </c>
      <c r="G337" s="17" t="str">
        <f>data[[#This Row],[OriginCity]] &amp; " - "  &amp; data[[#This Row],[DestinationCity]]</f>
        <v>Toledo - Detriot</v>
      </c>
      <c r="H337" s="17" t="s">
        <v>22</v>
      </c>
      <c r="I337" s="17" t="s">
        <v>23</v>
      </c>
      <c r="J337" s="17">
        <v>8</v>
      </c>
      <c r="K337" s="17" t="s">
        <v>52</v>
      </c>
      <c r="L337" s="17" t="s">
        <v>21</v>
      </c>
      <c r="M337" s="17" t="s">
        <v>82</v>
      </c>
      <c r="N337" s="17">
        <v>521</v>
      </c>
      <c r="O337" s="17">
        <v>521</v>
      </c>
      <c r="P337" s="26">
        <f>(data[[#This Row],[LoadedMiles]]/data[[#This Row],[TotalMiles]])*100</f>
        <v>100</v>
      </c>
      <c r="Q337" s="25">
        <f>data[[#This Row],[ShippingCost]]/data[[#This Row],[TotalMiles]]</f>
        <v>4.8944337811900196</v>
      </c>
      <c r="R337" s="17">
        <v>2550</v>
      </c>
      <c r="S337" s="25">
        <f>data[[#This Row],[Revenue]]/data[[#This Row],[TotalMiles]]</f>
        <v>5.3992322456813824</v>
      </c>
      <c r="T337" s="26">
        <f>data[[#This Row],[Revenue]]-data[[#This Row],[ShippingCost]]</f>
        <v>263</v>
      </c>
      <c r="U337" s="17">
        <v>2813</v>
      </c>
      <c r="V337" s="17">
        <v>55</v>
      </c>
      <c r="W337" s="17" t="s">
        <v>68</v>
      </c>
      <c r="X337" s="17">
        <v>3</v>
      </c>
      <c r="Y337" s="17">
        <f>data[[#This Row],[DeliveryDate]]-data[[#This Row],[ShipDate]]</f>
        <v>35</v>
      </c>
      <c r="Z337" s="17" t="str">
        <f>IF(data[[#This Row],[Actual Delivery Days]]&gt;AD338,"Yes","No")</f>
        <v>Yes</v>
      </c>
    </row>
    <row r="338" spans="1:26">
      <c r="A338" s="17">
        <v>11733</v>
      </c>
      <c r="B338" s="17">
        <v>3</v>
      </c>
      <c r="C338" s="17">
        <v>6</v>
      </c>
      <c r="D338" s="17" t="s">
        <v>550</v>
      </c>
      <c r="E338" s="17" t="s">
        <v>171</v>
      </c>
      <c r="F338" s="17" t="str">
        <f>TEXT(data[[#This Row],[ShipDate]],"yyyy - mmmm")</f>
        <v>2016 - April</v>
      </c>
      <c r="G338" s="17" t="str">
        <f>data[[#This Row],[OriginCity]] &amp; " - "  &amp; data[[#This Row],[DestinationCity]]</f>
        <v>Kalamazoo - Bangor</v>
      </c>
      <c r="H338" s="17" t="s">
        <v>71</v>
      </c>
      <c r="I338" s="17" t="s">
        <v>21</v>
      </c>
      <c r="J338" s="17">
        <v>8</v>
      </c>
      <c r="K338" s="17" t="s">
        <v>104</v>
      </c>
      <c r="L338" s="17" t="s">
        <v>21</v>
      </c>
      <c r="M338" s="17" t="s">
        <v>480</v>
      </c>
      <c r="N338" s="17">
        <v>230</v>
      </c>
      <c r="O338" s="17">
        <v>230</v>
      </c>
      <c r="P338" s="26">
        <f>(data[[#This Row],[LoadedMiles]]/data[[#This Row],[TotalMiles]])*100</f>
        <v>100</v>
      </c>
      <c r="Q338" s="25">
        <f>data[[#This Row],[ShippingCost]]/data[[#This Row],[TotalMiles]]</f>
        <v>38.047826086956519</v>
      </c>
      <c r="R338" s="17">
        <v>8751</v>
      </c>
      <c r="S338" s="25">
        <f>data[[#This Row],[Revenue]]/data[[#This Row],[TotalMiles]]</f>
        <v>38.565217391304351</v>
      </c>
      <c r="T338" s="26">
        <f>data[[#This Row],[Revenue]]-data[[#This Row],[ShippingCost]]</f>
        <v>119</v>
      </c>
      <c r="U338" s="17">
        <v>8870</v>
      </c>
      <c r="V338" s="17">
        <v>52</v>
      </c>
      <c r="W338" s="17" t="s">
        <v>68</v>
      </c>
      <c r="X338" s="17">
        <v>2</v>
      </c>
      <c r="Y338" s="17">
        <f>data[[#This Row],[DeliveryDate]]-data[[#This Row],[ShipDate]]</f>
        <v>6</v>
      </c>
      <c r="Z338" s="17" t="str">
        <f>IF(data[[#This Row],[Actual Delivery Days]]&gt;AD339,"Yes","No")</f>
        <v>Yes</v>
      </c>
    </row>
    <row r="339" spans="1:26">
      <c r="A339" s="17">
        <v>11783</v>
      </c>
      <c r="B339" s="17">
        <v>3</v>
      </c>
      <c r="C339" s="17">
        <v>6</v>
      </c>
      <c r="D339" s="17" t="s">
        <v>33</v>
      </c>
      <c r="E339" s="17" t="s">
        <v>240</v>
      </c>
      <c r="F339" s="17" t="str">
        <f>TEXT(data[[#This Row],[ShipDate]],"yyyy - mmmm")</f>
        <v>2016 - August</v>
      </c>
      <c r="G339" s="17" t="str">
        <f>data[[#This Row],[OriginCity]] &amp; " - "  &amp; data[[#This Row],[DestinationCity]]</f>
        <v>Springfield - Skokie</v>
      </c>
      <c r="H339" s="17" t="s">
        <v>30</v>
      </c>
      <c r="I339" s="17" t="s">
        <v>31</v>
      </c>
      <c r="J339" s="17">
        <v>8</v>
      </c>
      <c r="K339" s="17" t="s">
        <v>35</v>
      </c>
      <c r="L339" s="17" t="s">
        <v>31</v>
      </c>
      <c r="M339" s="17" t="s">
        <v>628</v>
      </c>
      <c r="N339" s="17">
        <v>881</v>
      </c>
      <c r="O339" s="17">
        <v>456</v>
      </c>
      <c r="P339" s="26">
        <f>(data[[#This Row],[LoadedMiles]]/data[[#This Row],[TotalMiles]])*100</f>
        <v>51.759364358683314</v>
      </c>
      <c r="Q339" s="25">
        <f>data[[#This Row],[ShippingCost]]/data[[#This Row],[TotalMiles]]</f>
        <v>2.8217934165720773</v>
      </c>
      <c r="R339" s="17">
        <v>2486</v>
      </c>
      <c r="S339" s="25">
        <f>data[[#This Row],[Revenue]]/data[[#This Row],[TotalMiles]]</f>
        <v>3.8036322360953463</v>
      </c>
      <c r="T339" s="26">
        <f>data[[#This Row],[Revenue]]-data[[#This Row],[ShippingCost]]</f>
        <v>865</v>
      </c>
      <c r="U339" s="17">
        <v>3351</v>
      </c>
      <c r="V339" s="17">
        <v>75</v>
      </c>
      <c r="W339" s="17" t="s">
        <v>68</v>
      </c>
      <c r="X339" s="17">
        <v>8</v>
      </c>
      <c r="Y339" s="17">
        <f>data[[#This Row],[DeliveryDate]]-data[[#This Row],[ShipDate]]</f>
        <v>8</v>
      </c>
      <c r="Z339" s="17" t="str">
        <f>IF(data[[#This Row],[Actual Delivery Days]]&gt;AD340,"Yes","No")</f>
        <v>Yes</v>
      </c>
    </row>
    <row r="340" spans="1:26">
      <c r="A340" s="17">
        <v>11786</v>
      </c>
      <c r="B340" s="17">
        <v>2</v>
      </c>
      <c r="C340" s="17">
        <v>2</v>
      </c>
      <c r="D340" s="17" t="s">
        <v>46</v>
      </c>
      <c r="E340" s="17" t="s">
        <v>207</v>
      </c>
      <c r="F340" s="17" t="str">
        <f>TEXT(data[[#This Row],[ShipDate]],"yyyy - mmmm")</f>
        <v>2016 - March</v>
      </c>
      <c r="G340" s="17" t="str">
        <f>data[[#This Row],[OriginCity]] &amp; " - "  &amp; data[[#This Row],[DestinationCity]]</f>
        <v>Northbrook - Naperville</v>
      </c>
      <c r="H340" s="17" t="s">
        <v>45</v>
      </c>
      <c r="I340" s="17" t="s">
        <v>31</v>
      </c>
      <c r="J340" s="17">
        <v>8</v>
      </c>
      <c r="K340" s="17" t="s">
        <v>48</v>
      </c>
      <c r="L340" s="17" t="s">
        <v>31</v>
      </c>
      <c r="M340" s="17" t="s">
        <v>82</v>
      </c>
      <c r="N340" s="17">
        <v>862</v>
      </c>
      <c r="O340" s="17">
        <v>773</v>
      </c>
      <c r="P340" s="26">
        <f>(data[[#This Row],[LoadedMiles]]/data[[#This Row],[TotalMiles]])*100</f>
        <v>89.675174013921108</v>
      </c>
      <c r="Q340" s="25">
        <f>data[[#This Row],[ShippingCost]]/data[[#This Row],[TotalMiles]]</f>
        <v>6.1728538283062644</v>
      </c>
      <c r="R340" s="17">
        <v>5321</v>
      </c>
      <c r="S340" s="25">
        <f>data[[#This Row],[Revenue]]/data[[#This Row],[TotalMiles]]</f>
        <v>7.3027842227378192</v>
      </c>
      <c r="T340" s="26">
        <f>data[[#This Row],[Revenue]]-data[[#This Row],[ShippingCost]]</f>
        <v>974</v>
      </c>
      <c r="U340" s="17">
        <v>6295</v>
      </c>
      <c r="V340" s="17">
        <v>90</v>
      </c>
      <c r="W340" s="17" t="s">
        <v>68</v>
      </c>
      <c r="X340" s="17">
        <v>10</v>
      </c>
      <c r="Y340" s="17">
        <f>data[[#This Row],[DeliveryDate]]-data[[#This Row],[ShipDate]]</f>
        <v>15</v>
      </c>
      <c r="Z340" s="17" t="str">
        <f>IF(data[[#This Row],[Actual Delivery Days]]&gt;AD341,"Yes","No")</f>
        <v>Yes</v>
      </c>
    </row>
    <row r="341" spans="1:26">
      <c r="A341" s="17">
        <v>10027</v>
      </c>
      <c r="B341" s="17">
        <v>1</v>
      </c>
      <c r="C341" s="17">
        <v>5</v>
      </c>
      <c r="D341" s="17" t="s">
        <v>134</v>
      </c>
      <c r="E341" s="17" t="s">
        <v>135</v>
      </c>
      <c r="F341" s="17" t="str">
        <f>TEXT(data[[#This Row],[ShipDate]],"yyyy - mmmm")</f>
        <v>2016 - June</v>
      </c>
      <c r="G341" s="17" t="str">
        <f>data[[#This Row],[OriginCity]] &amp; " - "  &amp; data[[#This Row],[DestinationCity]]</f>
        <v>Detriot - Monon</v>
      </c>
      <c r="H341" s="17" t="s">
        <v>52</v>
      </c>
      <c r="I341" s="17" t="s">
        <v>21</v>
      </c>
      <c r="J341" s="17">
        <v>7</v>
      </c>
      <c r="K341" s="17" t="s">
        <v>53</v>
      </c>
      <c r="L341" s="17" t="s">
        <v>44</v>
      </c>
      <c r="M341" s="17" t="s">
        <v>136</v>
      </c>
      <c r="N341" s="17">
        <v>694</v>
      </c>
      <c r="O341" s="17">
        <v>243</v>
      </c>
      <c r="P341" s="26">
        <f>(data[[#This Row],[LoadedMiles]]/data[[#This Row],[TotalMiles]])*100</f>
        <v>35.014409221902014</v>
      </c>
      <c r="Q341" s="25">
        <f>data[[#This Row],[ShippingCost]]/data[[#This Row],[TotalMiles]]</f>
        <v>7.4048991354466862</v>
      </c>
      <c r="R341" s="17">
        <v>5139</v>
      </c>
      <c r="S341" s="25">
        <f>data[[#This Row],[Revenue]]/data[[#This Row],[TotalMiles]]</f>
        <v>8.7896253602305467</v>
      </c>
      <c r="T341" s="26">
        <f>data[[#This Row],[Revenue]]-data[[#This Row],[ShippingCost]]</f>
        <v>961</v>
      </c>
      <c r="U341" s="17">
        <v>6100</v>
      </c>
      <c r="V341" s="17">
        <v>68</v>
      </c>
      <c r="W341" s="17" t="s">
        <v>68</v>
      </c>
      <c r="X341" s="17">
        <v>10</v>
      </c>
      <c r="Y341" s="17">
        <f>data[[#This Row],[DeliveryDate]]-data[[#This Row],[ShipDate]]</f>
        <v>7</v>
      </c>
      <c r="Z341" s="17" t="str">
        <f>IF(data[[#This Row],[Actual Delivery Days]]&gt;AD342,"Yes","No")</f>
        <v>Yes</v>
      </c>
    </row>
    <row r="342" spans="1:26">
      <c r="A342" s="17">
        <v>10033</v>
      </c>
      <c r="B342" s="17">
        <v>1</v>
      </c>
      <c r="C342" s="17">
        <v>7</v>
      </c>
      <c r="D342" s="17" t="s">
        <v>157</v>
      </c>
      <c r="E342" s="17" t="s">
        <v>158</v>
      </c>
      <c r="F342" s="17" t="str">
        <f>TEXT(data[[#This Row],[ShipDate]],"yyyy - mmmm")</f>
        <v>2016 - April</v>
      </c>
      <c r="G342" s="17" t="str">
        <f>data[[#This Row],[OriginCity]] &amp; " - "  &amp; data[[#This Row],[DestinationCity]]</f>
        <v>Appleton - Grand Rapids</v>
      </c>
      <c r="H342" s="17" t="s">
        <v>85</v>
      </c>
      <c r="I342" s="17" t="s">
        <v>29</v>
      </c>
      <c r="J342" s="17">
        <v>7</v>
      </c>
      <c r="K342" s="17" t="s">
        <v>20</v>
      </c>
      <c r="L342" s="17" t="s">
        <v>21</v>
      </c>
      <c r="M342" s="17" t="s">
        <v>67</v>
      </c>
      <c r="N342" s="17">
        <v>435</v>
      </c>
      <c r="O342" s="17">
        <v>435</v>
      </c>
      <c r="P342" s="26">
        <f>(data[[#This Row],[LoadedMiles]]/data[[#This Row],[TotalMiles]])*100</f>
        <v>100</v>
      </c>
      <c r="Q342" s="25">
        <f>data[[#This Row],[ShippingCost]]/data[[#This Row],[TotalMiles]]</f>
        <v>4.0505747126436784</v>
      </c>
      <c r="R342" s="17">
        <v>1762</v>
      </c>
      <c r="S342" s="25">
        <f>data[[#This Row],[Revenue]]/data[[#This Row],[TotalMiles]]</f>
        <v>5.3839080459770114</v>
      </c>
      <c r="T342" s="26">
        <f>data[[#This Row],[Revenue]]-data[[#This Row],[ShippingCost]]</f>
        <v>580</v>
      </c>
      <c r="U342" s="17">
        <v>2342</v>
      </c>
      <c r="V342" s="17">
        <v>89</v>
      </c>
      <c r="W342" s="17" t="s">
        <v>68</v>
      </c>
      <c r="X342" s="17">
        <v>2</v>
      </c>
      <c r="Y342" s="17">
        <f>data[[#This Row],[DeliveryDate]]-data[[#This Row],[ShipDate]]</f>
        <v>5</v>
      </c>
      <c r="Z342" s="17" t="str">
        <f>IF(data[[#This Row],[Actual Delivery Days]]&gt;AD343,"Yes","No")</f>
        <v>Yes</v>
      </c>
    </row>
    <row r="343" spans="1:26">
      <c r="A343" s="17">
        <v>10034</v>
      </c>
      <c r="B343" s="17">
        <v>1</v>
      </c>
      <c r="C343" s="17">
        <v>5</v>
      </c>
      <c r="D343" s="17" t="s">
        <v>159</v>
      </c>
      <c r="E343" s="17" t="s">
        <v>160</v>
      </c>
      <c r="F343" s="17" t="str">
        <f>TEXT(data[[#This Row],[ShipDate]],"yyyy - mmmm")</f>
        <v>2016 - April</v>
      </c>
      <c r="G343" s="17" t="str">
        <f>data[[#This Row],[OriginCity]] &amp; " - "  &amp; data[[#This Row],[DestinationCity]]</f>
        <v>Cincinnati - Gary</v>
      </c>
      <c r="H343" s="17" t="s">
        <v>89</v>
      </c>
      <c r="I343" s="17" t="s">
        <v>23</v>
      </c>
      <c r="J343" s="17">
        <v>7</v>
      </c>
      <c r="K343" s="17" t="s">
        <v>57</v>
      </c>
      <c r="L343" s="17" t="s">
        <v>44</v>
      </c>
      <c r="M343" s="17" t="s">
        <v>161</v>
      </c>
      <c r="N343" s="17">
        <v>220</v>
      </c>
      <c r="O343" s="17">
        <v>220</v>
      </c>
      <c r="P343" s="26">
        <f>(data[[#This Row],[LoadedMiles]]/data[[#This Row],[TotalMiles]])*100</f>
        <v>100</v>
      </c>
      <c r="Q343" s="25">
        <f>data[[#This Row],[ShippingCost]]/data[[#This Row],[TotalMiles]]</f>
        <v>22.654545454545456</v>
      </c>
      <c r="R343" s="17">
        <v>4984</v>
      </c>
      <c r="S343" s="25">
        <f>data[[#This Row],[Revenue]]/data[[#This Row],[TotalMiles]]</f>
        <v>24.640909090909091</v>
      </c>
      <c r="T343" s="26">
        <f>data[[#This Row],[Revenue]]-data[[#This Row],[ShippingCost]]</f>
        <v>437</v>
      </c>
      <c r="U343" s="17">
        <v>5421</v>
      </c>
      <c r="V343" s="17">
        <v>71</v>
      </c>
      <c r="W343" s="17" t="s">
        <v>68</v>
      </c>
      <c r="X343" s="17">
        <v>5</v>
      </c>
      <c r="Y343" s="17">
        <f>data[[#This Row],[DeliveryDate]]-data[[#This Row],[ShipDate]]</f>
        <v>5</v>
      </c>
      <c r="Z343" s="17" t="str">
        <f>IF(data[[#This Row],[Actual Delivery Days]]&gt;AD344,"Yes","No")</f>
        <v>Yes</v>
      </c>
    </row>
    <row r="344" spans="1:26">
      <c r="A344" s="17">
        <v>10043</v>
      </c>
      <c r="B344" s="17">
        <v>2</v>
      </c>
      <c r="C344" s="17">
        <v>4</v>
      </c>
      <c r="D344" s="17" t="s">
        <v>185</v>
      </c>
      <c r="E344" s="17" t="s">
        <v>186</v>
      </c>
      <c r="F344" s="17" t="str">
        <f>TEXT(data[[#This Row],[ShipDate]],"yyyy - mmmm")</f>
        <v>2016 - April</v>
      </c>
      <c r="G344" s="17" t="str">
        <f>data[[#This Row],[OriginCity]] &amp; " - "  &amp; data[[#This Row],[DestinationCity]]</f>
        <v>Springfield - Skokie</v>
      </c>
      <c r="H344" s="17" t="s">
        <v>30</v>
      </c>
      <c r="I344" s="17" t="s">
        <v>31</v>
      </c>
      <c r="J344" s="17">
        <v>7</v>
      </c>
      <c r="K344" s="17" t="s">
        <v>35</v>
      </c>
      <c r="L344" s="17" t="s">
        <v>31</v>
      </c>
      <c r="M344" s="17" t="s">
        <v>160</v>
      </c>
      <c r="N344" s="17">
        <v>1187</v>
      </c>
      <c r="O344" s="17">
        <v>742</v>
      </c>
      <c r="P344" s="26">
        <f>(data[[#This Row],[LoadedMiles]]/data[[#This Row],[TotalMiles]])*100</f>
        <v>62.510530749789382</v>
      </c>
      <c r="Q344" s="25">
        <f>data[[#This Row],[ShippingCost]]/data[[#This Row],[TotalMiles]]</f>
        <v>5.090985678180286</v>
      </c>
      <c r="R344" s="17">
        <v>6043</v>
      </c>
      <c r="S344" s="25">
        <f>data[[#This Row],[Revenue]]/data[[#This Row],[TotalMiles]]</f>
        <v>3.5846672283066554</v>
      </c>
      <c r="T344" s="26">
        <f>data[[#This Row],[Revenue]]-data[[#This Row],[ShippingCost]]</f>
        <v>-1788</v>
      </c>
      <c r="U344" s="17">
        <v>4255</v>
      </c>
      <c r="V344" s="17">
        <v>52</v>
      </c>
      <c r="W344" s="17" t="s">
        <v>68</v>
      </c>
      <c r="X344" s="17">
        <v>2</v>
      </c>
      <c r="Y344" s="17">
        <f>data[[#This Row],[DeliveryDate]]-data[[#This Row],[ShipDate]]</f>
        <v>7</v>
      </c>
      <c r="Z344" s="17" t="str">
        <f>IF(data[[#This Row],[Actual Delivery Days]]&gt;AD345,"Yes","No")</f>
        <v>Yes</v>
      </c>
    </row>
    <row r="345" spans="1:26">
      <c r="A345" s="17">
        <v>10063</v>
      </c>
      <c r="B345" s="17">
        <v>2</v>
      </c>
      <c r="C345" s="17">
        <v>4</v>
      </c>
      <c r="D345" s="17" t="s">
        <v>235</v>
      </c>
      <c r="E345" s="17" t="s">
        <v>236</v>
      </c>
      <c r="F345" s="17" t="str">
        <f>TEXT(data[[#This Row],[ShipDate]],"yyyy - mmmm")</f>
        <v>2016 - January</v>
      </c>
      <c r="G345" s="17" t="str">
        <f>data[[#This Row],[OriginCity]] &amp; " - "  &amp; data[[#This Row],[DestinationCity]]</f>
        <v>Milwaukee - Springfield</v>
      </c>
      <c r="H345" s="17" t="s">
        <v>28</v>
      </c>
      <c r="I345" s="17" t="s">
        <v>29</v>
      </c>
      <c r="J345" s="17">
        <v>7</v>
      </c>
      <c r="K345" s="17" t="s">
        <v>30</v>
      </c>
      <c r="L345" s="17" t="s">
        <v>31</v>
      </c>
      <c r="M345" s="17" t="s">
        <v>82</v>
      </c>
      <c r="N345" s="17">
        <v>239</v>
      </c>
      <c r="O345" s="17">
        <v>239</v>
      </c>
      <c r="P345" s="26">
        <f>(data[[#This Row],[LoadedMiles]]/data[[#This Row],[TotalMiles]])*100</f>
        <v>100</v>
      </c>
      <c r="Q345" s="25">
        <f>data[[#This Row],[ShippingCost]]/data[[#This Row],[TotalMiles]]</f>
        <v>9.6861924686192467</v>
      </c>
      <c r="R345" s="17">
        <v>2315</v>
      </c>
      <c r="S345" s="25">
        <f>data[[#This Row],[Revenue]]/data[[#This Row],[TotalMiles]]</f>
        <v>2.4309623430962342</v>
      </c>
      <c r="T345" s="26">
        <f>data[[#This Row],[Revenue]]-data[[#This Row],[ShippingCost]]</f>
        <v>-1734</v>
      </c>
      <c r="U345" s="17">
        <v>581</v>
      </c>
      <c r="V345" s="17">
        <v>58</v>
      </c>
      <c r="W345" s="17" t="s">
        <v>68</v>
      </c>
      <c r="X345" s="17">
        <v>6</v>
      </c>
      <c r="Y345" s="17">
        <f>data[[#This Row],[DeliveryDate]]-data[[#This Row],[ShipDate]]</f>
        <v>53</v>
      </c>
      <c r="Z345" s="17" t="str">
        <f>IF(data[[#This Row],[Actual Delivery Days]]&gt;AD346,"Yes","No")</f>
        <v>Yes</v>
      </c>
    </row>
    <row r="346" spans="1:26">
      <c r="A346" s="17">
        <v>10075</v>
      </c>
      <c r="B346" s="17">
        <v>1</v>
      </c>
      <c r="C346" s="17">
        <v>7</v>
      </c>
      <c r="D346" s="17" t="s">
        <v>271</v>
      </c>
      <c r="E346" s="17" t="s">
        <v>272</v>
      </c>
      <c r="F346" s="17" t="str">
        <f>TEXT(data[[#This Row],[ShipDate]],"yyyy - mmmm")</f>
        <v>2016 - March</v>
      </c>
      <c r="G346" s="17" t="str">
        <f>data[[#This Row],[OriginCity]] &amp; " - "  &amp; data[[#This Row],[DestinationCity]]</f>
        <v>Bangor - Davenport</v>
      </c>
      <c r="H346" s="17" t="s">
        <v>104</v>
      </c>
      <c r="I346" s="17" t="s">
        <v>21</v>
      </c>
      <c r="J346" s="17">
        <v>7</v>
      </c>
      <c r="K346" s="17" t="s">
        <v>105</v>
      </c>
      <c r="L346" s="17" t="s">
        <v>106</v>
      </c>
      <c r="M346" s="17" t="s">
        <v>253</v>
      </c>
      <c r="N346" s="17">
        <v>400</v>
      </c>
      <c r="O346" s="17">
        <v>400</v>
      </c>
      <c r="P346" s="26">
        <f>(data[[#This Row],[LoadedMiles]]/data[[#This Row],[TotalMiles]])*100</f>
        <v>100</v>
      </c>
      <c r="Q346" s="25">
        <f>data[[#This Row],[ShippingCost]]/data[[#This Row],[TotalMiles]]</f>
        <v>17.352499999999999</v>
      </c>
      <c r="R346" s="17">
        <v>6941</v>
      </c>
      <c r="S346" s="25">
        <f>data[[#This Row],[Revenue]]/data[[#This Row],[TotalMiles]]</f>
        <v>17.7575</v>
      </c>
      <c r="T346" s="26">
        <f>data[[#This Row],[Revenue]]-data[[#This Row],[ShippingCost]]</f>
        <v>162</v>
      </c>
      <c r="U346" s="17">
        <v>7103</v>
      </c>
      <c r="V346" s="17">
        <v>74</v>
      </c>
      <c r="W346" s="17" t="s">
        <v>68</v>
      </c>
      <c r="X346" s="17">
        <v>2</v>
      </c>
      <c r="Y346" s="17">
        <f>data[[#This Row],[DeliveryDate]]-data[[#This Row],[ShipDate]]</f>
        <v>7</v>
      </c>
      <c r="Z346" s="17" t="str">
        <f>IF(data[[#This Row],[Actual Delivery Days]]&gt;AD347,"Yes","No")</f>
        <v>Yes</v>
      </c>
    </row>
    <row r="347" spans="1:26">
      <c r="A347" s="17">
        <v>10102</v>
      </c>
      <c r="B347" s="17">
        <v>1</v>
      </c>
      <c r="C347" s="17">
        <v>5</v>
      </c>
      <c r="D347" s="17" t="s">
        <v>323</v>
      </c>
      <c r="E347" s="17" t="s">
        <v>207</v>
      </c>
      <c r="F347" s="17" t="str">
        <f>TEXT(data[[#This Row],[ShipDate]],"yyyy - mmmm")</f>
        <v>2016 - March</v>
      </c>
      <c r="G347" s="17" t="str">
        <f>data[[#This Row],[OriginCity]] &amp; " - "  &amp; data[[#This Row],[DestinationCity]]</f>
        <v>Davenport - Appleton</v>
      </c>
      <c r="H347" s="17" t="s">
        <v>105</v>
      </c>
      <c r="I347" s="17" t="s">
        <v>106</v>
      </c>
      <c r="J347" s="17">
        <v>7</v>
      </c>
      <c r="K347" s="17" t="s">
        <v>85</v>
      </c>
      <c r="L347" s="17" t="s">
        <v>29</v>
      </c>
      <c r="M347" s="17" t="s">
        <v>324</v>
      </c>
      <c r="N347" s="17">
        <v>988</v>
      </c>
      <c r="O347" s="17">
        <v>333</v>
      </c>
      <c r="P347" s="26">
        <f>(data[[#This Row],[LoadedMiles]]/data[[#This Row],[TotalMiles]])*100</f>
        <v>33.704453441295549</v>
      </c>
      <c r="Q347" s="25">
        <f>data[[#This Row],[ShippingCost]]/data[[#This Row],[TotalMiles]]</f>
        <v>0.30971659919028338</v>
      </c>
      <c r="R347" s="17">
        <v>306</v>
      </c>
      <c r="S347" s="25">
        <f>data[[#This Row],[Revenue]]/data[[#This Row],[TotalMiles]]</f>
        <v>0.92813765182186236</v>
      </c>
      <c r="T347" s="26">
        <f>data[[#This Row],[Revenue]]-data[[#This Row],[ShippingCost]]</f>
        <v>611</v>
      </c>
      <c r="U347" s="17">
        <v>917</v>
      </c>
      <c r="V347" s="17">
        <v>80</v>
      </c>
      <c r="W347" s="17" t="s">
        <v>68</v>
      </c>
      <c r="X347" s="17">
        <v>2</v>
      </c>
      <c r="Y347" s="17">
        <f>data[[#This Row],[DeliveryDate]]-data[[#This Row],[ShipDate]]</f>
        <v>4</v>
      </c>
      <c r="Z347" s="17" t="str">
        <f>IF(data[[#This Row],[Actual Delivery Days]]&gt;AD348,"Yes","No")</f>
        <v>Yes</v>
      </c>
    </row>
    <row r="348" spans="1:26">
      <c r="A348" s="17">
        <v>10112</v>
      </c>
      <c r="B348" s="17">
        <v>1</v>
      </c>
      <c r="C348" s="17">
        <v>4</v>
      </c>
      <c r="D348" s="17" t="s">
        <v>343</v>
      </c>
      <c r="E348" s="17" t="s">
        <v>108</v>
      </c>
      <c r="F348" s="17" t="str">
        <f>TEXT(data[[#This Row],[ShipDate]],"yyyy - mmmm")</f>
        <v>2016 - May</v>
      </c>
      <c r="G348" s="17" t="str">
        <f>data[[#This Row],[OriginCity]] &amp; " - "  &amp; data[[#This Row],[DestinationCity]]</f>
        <v>Naperville - Indianapolis</v>
      </c>
      <c r="H348" s="17" t="s">
        <v>48</v>
      </c>
      <c r="I348" s="17" t="s">
        <v>31</v>
      </c>
      <c r="J348" s="17">
        <v>7</v>
      </c>
      <c r="K348" s="17" t="s">
        <v>43</v>
      </c>
      <c r="L348" s="17" t="s">
        <v>44</v>
      </c>
      <c r="M348" s="17" t="s">
        <v>344</v>
      </c>
      <c r="N348" s="17">
        <v>322</v>
      </c>
      <c r="O348" s="17">
        <v>322</v>
      </c>
      <c r="P348" s="26">
        <f>(data[[#This Row],[LoadedMiles]]/data[[#This Row],[TotalMiles]])*100</f>
        <v>100</v>
      </c>
      <c r="Q348" s="25">
        <f>data[[#This Row],[ShippingCost]]/data[[#This Row],[TotalMiles]]</f>
        <v>7.6770186335403725</v>
      </c>
      <c r="R348" s="17">
        <v>2472</v>
      </c>
      <c r="S348" s="25">
        <f>data[[#This Row],[Revenue]]/data[[#This Row],[TotalMiles]]</f>
        <v>1.9006211180124224</v>
      </c>
      <c r="T348" s="26">
        <f>data[[#This Row],[Revenue]]-data[[#This Row],[ShippingCost]]</f>
        <v>-1860</v>
      </c>
      <c r="U348" s="17">
        <v>612</v>
      </c>
      <c r="V348" s="17">
        <v>63</v>
      </c>
      <c r="W348" s="17" t="s">
        <v>68</v>
      </c>
      <c r="X348" s="17">
        <v>7</v>
      </c>
      <c r="Y348" s="17">
        <f>data[[#This Row],[DeliveryDate]]-data[[#This Row],[ShipDate]]</f>
        <v>7</v>
      </c>
      <c r="Z348" s="17" t="str">
        <f>IF(data[[#This Row],[Actual Delivery Days]]&gt;AD349,"Yes","No")</f>
        <v>Yes</v>
      </c>
    </row>
    <row r="349" spans="1:26">
      <c r="A349" s="17">
        <v>10130</v>
      </c>
      <c r="B349" s="17">
        <v>2</v>
      </c>
      <c r="C349" s="17">
        <v>7</v>
      </c>
      <c r="D349" s="17" t="s">
        <v>372</v>
      </c>
      <c r="E349" s="17" t="s">
        <v>367</v>
      </c>
      <c r="F349" s="17" t="str">
        <f>TEXT(data[[#This Row],[ShipDate]],"yyyy - mmmm")</f>
        <v>2016 - May</v>
      </c>
      <c r="G349" s="17" t="str">
        <f>data[[#This Row],[OriginCity]] &amp; " - "  &amp; data[[#This Row],[DestinationCity]]</f>
        <v>Detriot - Monon</v>
      </c>
      <c r="H349" s="17" t="s">
        <v>52</v>
      </c>
      <c r="I349" s="17" t="s">
        <v>21</v>
      </c>
      <c r="J349" s="17">
        <v>7</v>
      </c>
      <c r="K349" s="17" t="s">
        <v>53</v>
      </c>
      <c r="L349" s="17" t="s">
        <v>44</v>
      </c>
      <c r="M349" s="17" t="s">
        <v>373</v>
      </c>
      <c r="N349" s="17">
        <v>1114</v>
      </c>
      <c r="O349" s="17">
        <v>294</v>
      </c>
      <c r="P349" s="26">
        <f>(data[[#This Row],[LoadedMiles]]/data[[#This Row],[TotalMiles]])*100</f>
        <v>26.391382405745063</v>
      </c>
      <c r="Q349" s="25">
        <f>data[[#This Row],[ShippingCost]]/data[[#This Row],[TotalMiles]]</f>
        <v>7.2208258527827649</v>
      </c>
      <c r="R349" s="17">
        <v>8044</v>
      </c>
      <c r="S349" s="25">
        <f>data[[#This Row],[Revenue]]/data[[#This Row],[TotalMiles]]</f>
        <v>7.3698384201077198</v>
      </c>
      <c r="T349" s="26">
        <f>data[[#This Row],[Revenue]]-data[[#This Row],[ShippingCost]]</f>
        <v>166</v>
      </c>
      <c r="U349" s="17">
        <v>8210</v>
      </c>
      <c r="V349" s="17">
        <v>68</v>
      </c>
      <c r="W349" s="17" t="s">
        <v>68</v>
      </c>
      <c r="X349" s="17">
        <v>2</v>
      </c>
      <c r="Y349" s="17">
        <f>data[[#This Row],[DeliveryDate]]-data[[#This Row],[ShipDate]]</f>
        <v>7</v>
      </c>
      <c r="Z349" s="17" t="str">
        <f>IF(data[[#This Row],[Actual Delivery Days]]&gt;AD350,"Yes","No")</f>
        <v>Yes</v>
      </c>
    </row>
    <row r="350" spans="1:26">
      <c r="A350" s="17">
        <v>10131</v>
      </c>
      <c r="B350" s="17">
        <v>2</v>
      </c>
      <c r="C350" s="17">
        <v>8</v>
      </c>
      <c r="D350" s="17" t="s">
        <v>375</v>
      </c>
      <c r="E350" s="17" t="s">
        <v>240</v>
      </c>
      <c r="F350" s="17" t="str">
        <f>TEXT(data[[#This Row],[ShipDate]],"yyyy - mmmm")</f>
        <v>2016 - August</v>
      </c>
      <c r="G350" s="17" t="str">
        <f>data[[#This Row],[OriginCity]] &amp; " - "  &amp; data[[#This Row],[DestinationCity]]</f>
        <v>Joliet - Madison</v>
      </c>
      <c r="H350" s="17" t="s">
        <v>61</v>
      </c>
      <c r="I350" s="17" t="s">
        <v>31</v>
      </c>
      <c r="J350" s="17">
        <v>7</v>
      </c>
      <c r="K350" s="17" t="s">
        <v>62</v>
      </c>
      <c r="L350" s="17" t="s">
        <v>29</v>
      </c>
      <c r="M350" s="17" t="s">
        <v>376</v>
      </c>
      <c r="N350" s="17">
        <v>801</v>
      </c>
      <c r="O350" s="17">
        <v>427</v>
      </c>
      <c r="P350" s="26">
        <f>(data[[#This Row],[LoadedMiles]]/data[[#This Row],[TotalMiles]])*100</f>
        <v>53.308364544319595</v>
      </c>
      <c r="Q350" s="25">
        <f>data[[#This Row],[ShippingCost]]/data[[#This Row],[TotalMiles]]</f>
        <v>2.7702871410736578</v>
      </c>
      <c r="R350" s="17">
        <v>2219</v>
      </c>
      <c r="S350" s="25">
        <f>data[[#This Row],[Revenue]]/data[[#This Row],[TotalMiles]]</f>
        <v>3.303370786516854</v>
      </c>
      <c r="T350" s="26">
        <f>data[[#This Row],[Revenue]]-data[[#This Row],[ShippingCost]]</f>
        <v>427</v>
      </c>
      <c r="U350" s="17">
        <v>2646</v>
      </c>
      <c r="V350" s="17">
        <v>84</v>
      </c>
      <c r="W350" s="17" t="s">
        <v>68</v>
      </c>
      <c r="X350" s="17">
        <v>7</v>
      </c>
      <c r="Y350" s="17">
        <f>data[[#This Row],[DeliveryDate]]-data[[#This Row],[ShipDate]]</f>
        <v>7</v>
      </c>
      <c r="Z350" s="17" t="str">
        <f>IF(data[[#This Row],[Actual Delivery Days]]&gt;AD351,"Yes","No")</f>
        <v>Yes</v>
      </c>
    </row>
    <row r="351" spans="1:26">
      <c r="A351" s="17">
        <v>10132</v>
      </c>
      <c r="B351" s="17">
        <v>1</v>
      </c>
      <c r="C351" s="17">
        <v>4</v>
      </c>
      <c r="D351" s="17" t="s">
        <v>377</v>
      </c>
      <c r="E351" s="17" t="s">
        <v>238</v>
      </c>
      <c r="F351" s="17" t="str">
        <f>TEXT(data[[#This Row],[ShipDate]],"yyyy - mmmm")</f>
        <v>2016 - March</v>
      </c>
      <c r="G351" s="17" t="str">
        <f>data[[#This Row],[OriginCity]] &amp; " - "  &amp; data[[#This Row],[DestinationCity]]</f>
        <v>Monon - Lansing</v>
      </c>
      <c r="H351" s="17" t="s">
        <v>53</v>
      </c>
      <c r="I351" s="17" t="s">
        <v>44</v>
      </c>
      <c r="J351" s="17">
        <v>7</v>
      </c>
      <c r="K351" s="17" t="s">
        <v>66</v>
      </c>
      <c r="L351" s="17" t="s">
        <v>21</v>
      </c>
      <c r="M351" s="17" t="s">
        <v>82</v>
      </c>
      <c r="N351" s="17">
        <v>697</v>
      </c>
      <c r="O351" s="17">
        <v>495</v>
      </c>
      <c r="P351" s="26">
        <f>(data[[#This Row],[LoadedMiles]]/data[[#This Row],[TotalMiles]])*100</f>
        <v>71.018651362984215</v>
      </c>
      <c r="Q351" s="25">
        <f>data[[#This Row],[ShippingCost]]/data[[#This Row],[TotalMiles]]</f>
        <v>3.7216642754662841</v>
      </c>
      <c r="R351" s="17">
        <v>2594</v>
      </c>
      <c r="S351" s="25">
        <f>data[[#This Row],[Revenue]]/data[[#This Row],[TotalMiles]]</f>
        <v>1.2697274031563845</v>
      </c>
      <c r="T351" s="26">
        <f>data[[#This Row],[Revenue]]-data[[#This Row],[ShippingCost]]</f>
        <v>-1709</v>
      </c>
      <c r="U351" s="17">
        <v>885</v>
      </c>
      <c r="V351" s="17">
        <v>56</v>
      </c>
      <c r="W351" s="17" t="s">
        <v>68</v>
      </c>
      <c r="X351" s="17">
        <v>4</v>
      </c>
      <c r="Y351" s="17">
        <f>data[[#This Row],[DeliveryDate]]-data[[#This Row],[ShipDate]]</f>
        <v>10</v>
      </c>
      <c r="Z351" s="17" t="str">
        <f>IF(data[[#This Row],[Actual Delivery Days]]&gt;AD352,"Yes","No")</f>
        <v>Yes</v>
      </c>
    </row>
    <row r="352" spans="1:26">
      <c r="A352" s="17">
        <v>10149</v>
      </c>
      <c r="B352" s="17">
        <v>2</v>
      </c>
      <c r="C352" s="17">
        <v>4</v>
      </c>
      <c r="D352" s="17" t="s">
        <v>406</v>
      </c>
      <c r="E352" s="17" t="s">
        <v>353</v>
      </c>
      <c r="F352" s="17" t="str">
        <f>TEXT(data[[#This Row],[ShipDate]],"yyyy - mmmm")</f>
        <v>2016 - March</v>
      </c>
      <c r="G352" s="17" t="str">
        <f>data[[#This Row],[OriginCity]] &amp; " - "  &amp; data[[#This Row],[DestinationCity]]</f>
        <v>Indianapolis - Northbrook</v>
      </c>
      <c r="H352" s="17" t="s">
        <v>43</v>
      </c>
      <c r="I352" s="17" t="s">
        <v>44</v>
      </c>
      <c r="J352" s="17">
        <v>7</v>
      </c>
      <c r="K352" s="17" t="s">
        <v>45</v>
      </c>
      <c r="L352" s="17" t="s">
        <v>31</v>
      </c>
      <c r="M352" s="17" t="s">
        <v>125</v>
      </c>
      <c r="N352" s="17">
        <v>393</v>
      </c>
      <c r="O352" s="17">
        <v>379</v>
      </c>
      <c r="P352" s="26">
        <f>(data[[#This Row],[LoadedMiles]]/data[[#This Row],[TotalMiles]])*100</f>
        <v>96.437659033078887</v>
      </c>
      <c r="Q352" s="25">
        <f>data[[#This Row],[ShippingCost]]/data[[#This Row],[TotalMiles]]</f>
        <v>4.9007633587786259</v>
      </c>
      <c r="R352" s="17">
        <v>1926</v>
      </c>
      <c r="S352" s="25">
        <f>data[[#This Row],[Revenue]]/data[[#This Row],[TotalMiles]]</f>
        <v>0.361323155216285</v>
      </c>
      <c r="T352" s="26">
        <f>data[[#This Row],[Revenue]]-data[[#This Row],[ShippingCost]]</f>
        <v>-1784</v>
      </c>
      <c r="U352" s="17">
        <v>142</v>
      </c>
      <c r="V352" s="17">
        <v>52</v>
      </c>
      <c r="W352" s="17" t="s">
        <v>68</v>
      </c>
      <c r="X352" s="17">
        <v>3</v>
      </c>
      <c r="Y352" s="17">
        <f>data[[#This Row],[DeliveryDate]]-data[[#This Row],[ShipDate]]</f>
        <v>7</v>
      </c>
      <c r="Z352" s="17" t="str">
        <f>IF(data[[#This Row],[Actual Delivery Days]]&gt;AD353,"Yes","No")</f>
        <v>Yes</v>
      </c>
    </row>
    <row r="353" spans="1:26">
      <c r="A353" s="17">
        <v>10150</v>
      </c>
      <c r="B353" s="17">
        <v>1</v>
      </c>
      <c r="C353" s="17">
        <v>4</v>
      </c>
      <c r="D353" s="17" t="s">
        <v>407</v>
      </c>
      <c r="E353" s="17" t="s">
        <v>408</v>
      </c>
      <c r="F353" s="17" t="str">
        <f>TEXT(data[[#This Row],[ShipDate]],"yyyy - mmmm")</f>
        <v>2016 - August</v>
      </c>
      <c r="G353" s="17" t="str">
        <f>data[[#This Row],[OriginCity]] &amp; " - "  &amp; data[[#This Row],[DestinationCity]]</f>
        <v>Northbrook - Naperville</v>
      </c>
      <c r="H353" s="17" t="s">
        <v>45</v>
      </c>
      <c r="I353" s="17" t="s">
        <v>31</v>
      </c>
      <c r="J353" s="17">
        <v>7</v>
      </c>
      <c r="K353" s="17" t="s">
        <v>48</v>
      </c>
      <c r="L353" s="17" t="s">
        <v>31</v>
      </c>
      <c r="M353" s="17" t="s">
        <v>82</v>
      </c>
      <c r="N353" s="17">
        <v>1146</v>
      </c>
      <c r="O353" s="17">
        <v>787</v>
      </c>
      <c r="P353" s="26">
        <f>(data[[#This Row],[LoadedMiles]]/data[[#This Row],[TotalMiles]])*100</f>
        <v>68.673647469458984</v>
      </c>
      <c r="Q353" s="25">
        <f>data[[#This Row],[ShippingCost]]/data[[#This Row],[TotalMiles]]</f>
        <v>1.9930191972076789</v>
      </c>
      <c r="R353" s="17">
        <v>2284</v>
      </c>
      <c r="S353" s="25">
        <f>data[[#This Row],[Revenue]]/data[[#This Row],[TotalMiles]]</f>
        <v>0.76265270506108207</v>
      </c>
      <c r="T353" s="26">
        <f>data[[#This Row],[Revenue]]-data[[#This Row],[ShippingCost]]</f>
        <v>-1410</v>
      </c>
      <c r="U353" s="17">
        <v>874</v>
      </c>
      <c r="V353" s="17">
        <v>98</v>
      </c>
      <c r="W353" s="17" t="s">
        <v>68</v>
      </c>
      <c r="X353" s="17">
        <v>10</v>
      </c>
      <c r="Y353" s="17">
        <f>data[[#This Row],[DeliveryDate]]-data[[#This Row],[ShipDate]]</f>
        <v>-145</v>
      </c>
      <c r="Z353" s="17" t="str">
        <f>IF(data[[#This Row],[Actual Delivery Days]]&gt;AD354,"Yes","No")</f>
        <v>No</v>
      </c>
    </row>
    <row r="354" spans="1:26">
      <c r="A354" s="17">
        <v>10155</v>
      </c>
      <c r="B354" s="17">
        <v>1</v>
      </c>
      <c r="C354" s="17">
        <v>5</v>
      </c>
      <c r="D354" s="17" t="s">
        <v>419</v>
      </c>
      <c r="E354" s="17" t="s">
        <v>253</v>
      </c>
      <c r="F354" s="17" t="str">
        <f>TEXT(data[[#This Row],[ShipDate]],"yyyy - mmmm")</f>
        <v>2016 - April</v>
      </c>
      <c r="G354" s="17" t="str">
        <f>data[[#This Row],[OriginCity]] &amp; " - "  &amp; data[[#This Row],[DestinationCity]]</f>
        <v>Green Bay - Joliet</v>
      </c>
      <c r="H354" s="17" t="s">
        <v>75</v>
      </c>
      <c r="I354" s="17" t="s">
        <v>29</v>
      </c>
      <c r="J354" s="17">
        <v>7</v>
      </c>
      <c r="K354" s="17" t="s">
        <v>61</v>
      </c>
      <c r="L354" s="17" t="s">
        <v>31</v>
      </c>
      <c r="M354" s="17" t="s">
        <v>122</v>
      </c>
      <c r="N354" s="17">
        <v>329</v>
      </c>
      <c r="O354" s="17">
        <v>329</v>
      </c>
      <c r="P354" s="26">
        <f>(data[[#This Row],[LoadedMiles]]/data[[#This Row],[TotalMiles]])*100</f>
        <v>100</v>
      </c>
      <c r="Q354" s="25">
        <f>data[[#This Row],[ShippingCost]]/data[[#This Row],[TotalMiles]]</f>
        <v>13.541033434650457</v>
      </c>
      <c r="R354" s="17">
        <v>4455</v>
      </c>
      <c r="S354" s="25">
        <f>data[[#This Row],[Revenue]]/data[[#This Row],[TotalMiles]]</f>
        <v>16.580547112462007</v>
      </c>
      <c r="T354" s="26">
        <f>data[[#This Row],[Revenue]]-data[[#This Row],[ShippingCost]]</f>
        <v>1000</v>
      </c>
      <c r="U354" s="17">
        <v>5455</v>
      </c>
      <c r="V354" s="17">
        <v>90</v>
      </c>
      <c r="W354" s="17" t="s">
        <v>68</v>
      </c>
      <c r="X354" s="17">
        <v>2</v>
      </c>
      <c r="Y354" s="17">
        <f>data[[#This Row],[DeliveryDate]]-data[[#This Row],[ShipDate]]</f>
        <v>5</v>
      </c>
      <c r="Z354" s="17" t="str">
        <f>IF(data[[#This Row],[Actual Delivery Days]]&gt;AD355,"Yes","No")</f>
        <v>Yes</v>
      </c>
    </row>
    <row r="355" spans="1:26">
      <c r="A355" s="17">
        <v>10181</v>
      </c>
      <c r="B355" s="17">
        <v>1</v>
      </c>
      <c r="C355" s="17">
        <v>7</v>
      </c>
      <c r="D355" s="17" t="s">
        <v>465</v>
      </c>
      <c r="E355" s="17" t="s">
        <v>381</v>
      </c>
      <c r="F355" s="17" t="str">
        <f>TEXT(data[[#This Row],[ShipDate]],"yyyy - mmmm")</f>
        <v>2016 - March</v>
      </c>
      <c r="G355" s="17" t="str">
        <f>data[[#This Row],[OriginCity]] &amp; " - "  &amp; data[[#This Row],[DestinationCity]]</f>
        <v>Bangor - Davenport</v>
      </c>
      <c r="H355" s="17" t="s">
        <v>104</v>
      </c>
      <c r="I355" s="17" t="s">
        <v>21</v>
      </c>
      <c r="J355" s="17">
        <v>7</v>
      </c>
      <c r="K355" s="17" t="s">
        <v>105</v>
      </c>
      <c r="L355" s="17" t="s">
        <v>106</v>
      </c>
      <c r="M355" s="17" t="s">
        <v>270</v>
      </c>
      <c r="N355" s="17">
        <v>211</v>
      </c>
      <c r="O355" s="17">
        <v>211</v>
      </c>
      <c r="P355" s="26">
        <f>(data[[#This Row],[LoadedMiles]]/data[[#This Row],[TotalMiles]])*100</f>
        <v>100</v>
      </c>
      <c r="Q355" s="25">
        <f>data[[#This Row],[ShippingCost]]/data[[#This Row],[TotalMiles]]</f>
        <v>29.014218009478672</v>
      </c>
      <c r="R355" s="17">
        <v>6122</v>
      </c>
      <c r="S355" s="25">
        <f>data[[#This Row],[Revenue]]/data[[#This Row],[TotalMiles]]</f>
        <v>33.639810426540286</v>
      </c>
      <c r="T355" s="26">
        <f>data[[#This Row],[Revenue]]-data[[#This Row],[ShippingCost]]</f>
        <v>976</v>
      </c>
      <c r="U355" s="17">
        <v>7098</v>
      </c>
      <c r="V355" s="17">
        <v>53</v>
      </c>
      <c r="W355" s="17" t="s">
        <v>68</v>
      </c>
      <c r="X355" s="17">
        <v>2</v>
      </c>
      <c r="Y355" s="17">
        <f>data[[#This Row],[DeliveryDate]]-data[[#This Row],[ShipDate]]</f>
        <v>7</v>
      </c>
      <c r="Z355" s="17" t="str">
        <f>IF(data[[#This Row],[Actual Delivery Days]]&gt;AD356,"Yes","No")</f>
        <v>Yes</v>
      </c>
    </row>
    <row r="356" spans="1:26">
      <c r="A356" s="17">
        <v>10188</v>
      </c>
      <c r="B356" s="17">
        <v>2</v>
      </c>
      <c r="C356" s="17">
        <v>6</v>
      </c>
      <c r="D356" s="17" t="s">
        <v>476</v>
      </c>
      <c r="E356" s="17" t="s">
        <v>47</v>
      </c>
      <c r="F356" s="17" t="str">
        <f>TEXT(data[[#This Row],[ShipDate]],"yyyy - mmmm")</f>
        <v>2016 - April</v>
      </c>
      <c r="G356" s="17" t="str">
        <f>data[[#This Row],[OriginCity]] &amp; " - "  &amp; data[[#This Row],[DestinationCity]]</f>
        <v>Springfield - Skokie</v>
      </c>
      <c r="H356" s="17" t="s">
        <v>30</v>
      </c>
      <c r="I356" s="17" t="s">
        <v>31</v>
      </c>
      <c r="J356" s="17">
        <v>7</v>
      </c>
      <c r="K356" s="17" t="s">
        <v>35</v>
      </c>
      <c r="L356" s="17" t="s">
        <v>31</v>
      </c>
      <c r="M356" s="17" t="s">
        <v>285</v>
      </c>
      <c r="N356" s="17">
        <v>735</v>
      </c>
      <c r="O356" s="17">
        <v>735</v>
      </c>
      <c r="P356" s="26">
        <f>(data[[#This Row],[LoadedMiles]]/data[[#This Row],[TotalMiles]])*100</f>
        <v>100</v>
      </c>
      <c r="Q356" s="25">
        <f>data[[#This Row],[ShippingCost]]/data[[#This Row],[TotalMiles]]</f>
        <v>1.1183673469387756</v>
      </c>
      <c r="R356" s="17">
        <v>822</v>
      </c>
      <c r="S356" s="25">
        <f>data[[#This Row],[Revenue]]/data[[#This Row],[TotalMiles]]</f>
        <v>2.3469387755102042</v>
      </c>
      <c r="T356" s="26">
        <f>data[[#This Row],[Revenue]]-data[[#This Row],[ShippingCost]]</f>
        <v>903</v>
      </c>
      <c r="U356" s="17">
        <v>1725</v>
      </c>
      <c r="V356" s="17">
        <v>78</v>
      </c>
      <c r="W356" s="17" t="s">
        <v>68</v>
      </c>
      <c r="X356" s="17">
        <v>7</v>
      </c>
      <c r="Y356" s="17">
        <f>data[[#This Row],[DeliveryDate]]-data[[#This Row],[ShipDate]]</f>
        <v>6</v>
      </c>
      <c r="Z356" s="17" t="str">
        <f>IF(data[[#This Row],[Actual Delivery Days]]&gt;AD357,"Yes","No")</f>
        <v>Yes</v>
      </c>
    </row>
    <row r="357" spans="1:26">
      <c r="A357" s="17">
        <v>10200</v>
      </c>
      <c r="B357" s="17">
        <v>1</v>
      </c>
      <c r="C357" s="17">
        <v>5</v>
      </c>
      <c r="D357" s="17" t="s">
        <v>493</v>
      </c>
      <c r="E357" s="17" t="s">
        <v>147</v>
      </c>
      <c r="F357" s="17" t="str">
        <f>TEXT(data[[#This Row],[ShipDate]],"yyyy - mmmm")</f>
        <v>2016 - June</v>
      </c>
      <c r="G357" s="17" t="str">
        <f>data[[#This Row],[OriginCity]] &amp; " - "  &amp; data[[#This Row],[DestinationCity]]</f>
        <v>Toledo - Detriot</v>
      </c>
      <c r="H357" s="17" t="s">
        <v>22</v>
      </c>
      <c r="I357" s="17" t="s">
        <v>23</v>
      </c>
      <c r="J357" s="17">
        <v>7</v>
      </c>
      <c r="K357" s="17" t="s">
        <v>52</v>
      </c>
      <c r="L357" s="17" t="s">
        <v>21</v>
      </c>
      <c r="M357" s="17" t="s">
        <v>82</v>
      </c>
      <c r="N357" s="17">
        <v>1146</v>
      </c>
      <c r="O357" s="17">
        <v>670</v>
      </c>
      <c r="P357" s="26">
        <f>(data[[#This Row],[LoadedMiles]]/data[[#This Row],[TotalMiles]])*100</f>
        <v>58.464223385689351</v>
      </c>
      <c r="Q357" s="25">
        <f>data[[#This Row],[ShippingCost]]/data[[#This Row],[TotalMiles]]</f>
        <v>5.9930191972076789</v>
      </c>
      <c r="R357" s="17">
        <v>6868</v>
      </c>
      <c r="S357" s="25">
        <f>data[[#This Row],[Revenue]]/data[[#This Row],[TotalMiles]]</f>
        <v>6.2251308900523563</v>
      </c>
      <c r="T357" s="26">
        <f>data[[#This Row],[Revenue]]-data[[#This Row],[ShippingCost]]</f>
        <v>266</v>
      </c>
      <c r="U357" s="17">
        <v>7134</v>
      </c>
      <c r="V357" s="17">
        <v>92</v>
      </c>
      <c r="W357" s="17" t="s">
        <v>68</v>
      </c>
      <c r="X357" s="17">
        <v>2</v>
      </c>
      <c r="Y357" s="17">
        <f>data[[#This Row],[DeliveryDate]]-data[[#This Row],[ShipDate]]</f>
        <v>-79</v>
      </c>
      <c r="Z357" s="17" t="str">
        <f>IF(data[[#This Row],[Actual Delivery Days]]&gt;AD358,"Yes","No")</f>
        <v>No</v>
      </c>
    </row>
    <row r="358" spans="1:26">
      <c r="A358" s="17">
        <v>10217</v>
      </c>
      <c r="B358" s="17">
        <v>2</v>
      </c>
      <c r="C358" s="17">
        <v>8</v>
      </c>
      <c r="D358" s="17" t="s">
        <v>515</v>
      </c>
      <c r="E358" s="17" t="s">
        <v>437</v>
      </c>
      <c r="F358" s="17" t="str">
        <f>TEXT(data[[#This Row],[ShipDate]],"yyyy - mmmm")</f>
        <v>2016 - May</v>
      </c>
      <c r="G358" s="17" t="str">
        <f>data[[#This Row],[OriginCity]] &amp; " - "  &amp; data[[#This Row],[DestinationCity]]</f>
        <v>Green Bay - Joliet</v>
      </c>
      <c r="H358" s="17" t="s">
        <v>75</v>
      </c>
      <c r="I358" s="17" t="s">
        <v>29</v>
      </c>
      <c r="J358" s="17">
        <v>7</v>
      </c>
      <c r="K358" s="17" t="s">
        <v>61</v>
      </c>
      <c r="L358" s="17" t="s">
        <v>31</v>
      </c>
      <c r="M358" s="17" t="s">
        <v>135</v>
      </c>
      <c r="N358" s="17">
        <v>489</v>
      </c>
      <c r="O358" s="17">
        <v>437</v>
      </c>
      <c r="P358" s="26">
        <f>(data[[#This Row],[LoadedMiles]]/data[[#This Row],[TotalMiles]])*100</f>
        <v>89.366053169734144</v>
      </c>
      <c r="Q358" s="25">
        <f>data[[#This Row],[ShippingCost]]/data[[#This Row],[TotalMiles]]</f>
        <v>3.1676891615541924</v>
      </c>
      <c r="R358" s="17">
        <v>1549</v>
      </c>
      <c r="S358" s="25">
        <f>data[[#This Row],[Revenue]]/data[[#This Row],[TotalMiles]]</f>
        <v>3.7648261758691208</v>
      </c>
      <c r="T358" s="26">
        <f>data[[#This Row],[Revenue]]-data[[#This Row],[ShippingCost]]</f>
        <v>292</v>
      </c>
      <c r="U358" s="17">
        <v>1841</v>
      </c>
      <c r="V358" s="17">
        <v>100</v>
      </c>
      <c r="W358" s="17" t="s">
        <v>68</v>
      </c>
      <c r="X358" s="17">
        <v>5</v>
      </c>
      <c r="Y358" s="17">
        <f>data[[#This Row],[DeliveryDate]]-data[[#This Row],[ShipDate]]</f>
        <v>7</v>
      </c>
      <c r="Z358" s="17" t="str">
        <f>IF(data[[#This Row],[Actual Delivery Days]]&gt;AD359,"Yes","No")</f>
        <v>Yes</v>
      </c>
    </row>
    <row r="359" spans="1:26">
      <c r="A359" s="17">
        <v>10232</v>
      </c>
      <c r="B359" s="17">
        <v>1</v>
      </c>
      <c r="C359" s="17">
        <v>8</v>
      </c>
      <c r="D359" s="17" t="s">
        <v>541</v>
      </c>
      <c r="E359" s="17" t="s">
        <v>279</v>
      </c>
      <c r="F359" s="17" t="str">
        <f>TEXT(data[[#This Row],[ShipDate]],"yyyy - mmmm")</f>
        <v>2016 - June</v>
      </c>
      <c r="G359" s="17" t="str">
        <f>data[[#This Row],[OriginCity]] &amp; " - "  &amp; data[[#This Row],[DestinationCity]]</f>
        <v>Detriot - Monon</v>
      </c>
      <c r="H359" s="17" t="s">
        <v>52</v>
      </c>
      <c r="I359" s="17" t="s">
        <v>21</v>
      </c>
      <c r="J359" s="17">
        <v>7</v>
      </c>
      <c r="K359" s="17" t="s">
        <v>53</v>
      </c>
      <c r="L359" s="17" t="s">
        <v>44</v>
      </c>
      <c r="M359" s="17" t="s">
        <v>542</v>
      </c>
      <c r="N359" s="17">
        <v>658</v>
      </c>
      <c r="O359" s="17">
        <v>658</v>
      </c>
      <c r="P359" s="26">
        <f>(data[[#This Row],[LoadedMiles]]/data[[#This Row],[TotalMiles]])*100</f>
        <v>100</v>
      </c>
      <c r="Q359" s="25">
        <f>data[[#This Row],[ShippingCost]]/data[[#This Row],[TotalMiles]]</f>
        <v>7.9984802431610946</v>
      </c>
      <c r="R359" s="17">
        <v>5263</v>
      </c>
      <c r="S359" s="25">
        <f>data[[#This Row],[Revenue]]/data[[#This Row],[TotalMiles]]</f>
        <v>8.9255319148936163</v>
      </c>
      <c r="T359" s="26">
        <f>data[[#This Row],[Revenue]]-data[[#This Row],[ShippingCost]]</f>
        <v>610</v>
      </c>
      <c r="U359" s="17">
        <v>5873</v>
      </c>
      <c r="V359" s="17">
        <v>77</v>
      </c>
      <c r="W359" s="17" t="s">
        <v>68</v>
      </c>
      <c r="X359" s="17">
        <v>6</v>
      </c>
      <c r="Y359" s="17">
        <f>data[[#This Row],[DeliveryDate]]-data[[#This Row],[ShipDate]]</f>
        <v>7</v>
      </c>
      <c r="Z359" s="17" t="str">
        <f>IF(data[[#This Row],[Actual Delivery Days]]&gt;AD360,"Yes","No")</f>
        <v>Yes</v>
      </c>
    </row>
    <row r="360" spans="1:26">
      <c r="A360" s="17">
        <v>10321</v>
      </c>
      <c r="B360" s="17">
        <v>2</v>
      </c>
      <c r="C360" s="17">
        <v>4</v>
      </c>
      <c r="D360" s="17" t="s">
        <v>165</v>
      </c>
      <c r="E360" s="17" t="s">
        <v>174</v>
      </c>
      <c r="F360" s="17" t="str">
        <f>TEXT(data[[#This Row],[ShipDate]],"yyyy - mmmm")</f>
        <v>2016 - January</v>
      </c>
      <c r="G360" s="17" t="str">
        <f>data[[#This Row],[OriginCity]] &amp; " - "  &amp; data[[#This Row],[DestinationCity]]</f>
        <v>Monon - Lansing</v>
      </c>
      <c r="H360" s="17" t="s">
        <v>53</v>
      </c>
      <c r="I360" s="17" t="s">
        <v>44</v>
      </c>
      <c r="J360" s="17">
        <v>7</v>
      </c>
      <c r="K360" s="17" t="s">
        <v>66</v>
      </c>
      <c r="L360" s="17" t="s">
        <v>21</v>
      </c>
      <c r="M360" s="17" t="s">
        <v>424</v>
      </c>
      <c r="N360" s="17">
        <v>352</v>
      </c>
      <c r="O360" s="17">
        <v>352</v>
      </c>
      <c r="P360" s="26">
        <f>(data[[#This Row],[LoadedMiles]]/data[[#This Row],[TotalMiles]])*100</f>
        <v>100</v>
      </c>
      <c r="Q360" s="25">
        <f>data[[#This Row],[ShippingCost]]/data[[#This Row],[TotalMiles]]</f>
        <v>13.838068181818182</v>
      </c>
      <c r="R360" s="17">
        <v>4871</v>
      </c>
      <c r="S360" s="25">
        <f>data[[#This Row],[Revenue]]/data[[#This Row],[TotalMiles]]</f>
        <v>8.6818181818181817</v>
      </c>
      <c r="T360" s="26">
        <f>data[[#This Row],[Revenue]]-data[[#This Row],[ShippingCost]]</f>
        <v>-1815</v>
      </c>
      <c r="U360" s="17">
        <v>3056</v>
      </c>
      <c r="V360" s="17">
        <v>62</v>
      </c>
      <c r="W360" s="17" t="s">
        <v>68</v>
      </c>
      <c r="X360" s="17">
        <v>10</v>
      </c>
      <c r="Y360" s="17">
        <f>data[[#This Row],[DeliveryDate]]-data[[#This Row],[ShipDate]]</f>
        <v>7</v>
      </c>
      <c r="Z360" s="17" t="str">
        <f>IF(data[[#This Row],[Actual Delivery Days]]&gt;AD361,"Yes","No")</f>
        <v>Yes</v>
      </c>
    </row>
    <row r="361" spans="1:26">
      <c r="A361" s="17">
        <v>10324</v>
      </c>
      <c r="B361" s="17">
        <v>1</v>
      </c>
      <c r="C361" s="17">
        <v>6</v>
      </c>
      <c r="D361" s="17" t="s">
        <v>172</v>
      </c>
      <c r="E361" s="17" t="s">
        <v>587</v>
      </c>
      <c r="F361" s="17" t="str">
        <f>TEXT(data[[#This Row],[ShipDate]],"yyyy - mmmm")</f>
        <v>2016 - August</v>
      </c>
      <c r="G361" s="17" t="str">
        <f>data[[#This Row],[OriginCity]] &amp; " - "  &amp; data[[#This Row],[DestinationCity]]</f>
        <v>Naperville - Indianapolis</v>
      </c>
      <c r="H361" s="17" t="s">
        <v>48</v>
      </c>
      <c r="I361" s="17" t="s">
        <v>31</v>
      </c>
      <c r="J361" s="17">
        <v>7</v>
      </c>
      <c r="K361" s="17" t="s">
        <v>43</v>
      </c>
      <c r="L361" s="17" t="s">
        <v>44</v>
      </c>
      <c r="M361" s="17" t="s">
        <v>241</v>
      </c>
      <c r="N361" s="17">
        <v>575</v>
      </c>
      <c r="O361" s="17">
        <v>575</v>
      </c>
      <c r="P361" s="26">
        <f>(data[[#This Row],[LoadedMiles]]/data[[#This Row],[TotalMiles]])*100</f>
        <v>100</v>
      </c>
      <c r="Q361" s="25">
        <f>data[[#This Row],[ShippingCost]]/data[[#This Row],[TotalMiles]]</f>
        <v>4.8660869565217393</v>
      </c>
      <c r="R361" s="17">
        <v>2798</v>
      </c>
      <c r="S361" s="25">
        <f>data[[#This Row],[Revenue]]/data[[#This Row],[TotalMiles]]</f>
        <v>6.4521739130434783</v>
      </c>
      <c r="T361" s="26">
        <f>data[[#This Row],[Revenue]]-data[[#This Row],[ShippingCost]]</f>
        <v>912</v>
      </c>
      <c r="U361" s="17">
        <v>3710</v>
      </c>
      <c r="V361" s="17">
        <v>55</v>
      </c>
      <c r="W361" s="17" t="s">
        <v>68</v>
      </c>
      <c r="X361" s="17">
        <v>2</v>
      </c>
      <c r="Y361" s="17">
        <f>data[[#This Row],[DeliveryDate]]-data[[#This Row],[ShipDate]]</f>
        <v>7</v>
      </c>
      <c r="Z361" s="17" t="str">
        <f>IF(data[[#This Row],[Actual Delivery Days]]&gt;AD362,"Yes","No")</f>
        <v>Yes</v>
      </c>
    </row>
    <row r="362" spans="1:26">
      <c r="A362" s="17">
        <v>10342</v>
      </c>
      <c r="B362" s="17">
        <v>2</v>
      </c>
      <c r="C362" s="17">
        <v>6</v>
      </c>
      <c r="D362" s="17" t="s">
        <v>217</v>
      </c>
      <c r="E362" s="17" t="s">
        <v>499</v>
      </c>
      <c r="F362" s="17" t="str">
        <f>TEXT(data[[#This Row],[ShipDate]],"yyyy - mmmm")</f>
        <v>2016 - July</v>
      </c>
      <c r="G362" s="17" t="str">
        <f>data[[#This Row],[OriginCity]] &amp; " - "  &amp; data[[#This Row],[DestinationCity]]</f>
        <v>Joliet - Madison</v>
      </c>
      <c r="H362" s="17" t="s">
        <v>61</v>
      </c>
      <c r="I362" s="17" t="s">
        <v>31</v>
      </c>
      <c r="J362" s="17">
        <v>7</v>
      </c>
      <c r="K362" s="17" t="s">
        <v>62</v>
      </c>
      <c r="L362" s="17" t="s">
        <v>29</v>
      </c>
      <c r="M362" s="17" t="s">
        <v>179</v>
      </c>
      <c r="N362" s="17">
        <v>464</v>
      </c>
      <c r="O362" s="17">
        <v>275</v>
      </c>
      <c r="P362" s="26">
        <f>(data[[#This Row],[LoadedMiles]]/data[[#This Row],[TotalMiles]])*100</f>
        <v>59.267241379310342</v>
      </c>
      <c r="Q362" s="25">
        <f>data[[#This Row],[ShippingCost]]/data[[#This Row],[TotalMiles]]</f>
        <v>2.896551724137931</v>
      </c>
      <c r="R362" s="17">
        <v>1344</v>
      </c>
      <c r="S362" s="25">
        <f>data[[#This Row],[Revenue]]/data[[#This Row],[TotalMiles]]</f>
        <v>3.6120689655172415</v>
      </c>
      <c r="T362" s="26">
        <f>data[[#This Row],[Revenue]]-data[[#This Row],[ShippingCost]]</f>
        <v>332</v>
      </c>
      <c r="U362" s="17">
        <v>1676</v>
      </c>
      <c r="V362" s="17">
        <v>100</v>
      </c>
      <c r="W362" s="17" t="s">
        <v>68</v>
      </c>
      <c r="X362" s="17">
        <v>9</v>
      </c>
      <c r="Y362" s="17">
        <f>data[[#This Row],[DeliveryDate]]-data[[#This Row],[ShipDate]]</f>
        <v>7</v>
      </c>
      <c r="Z362" s="17" t="str">
        <f>IF(data[[#This Row],[Actual Delivery Days]]&gt;AD363,"Yes","No")</f>
        <v>Yes</v>
      </c>
    </row>
    <row r="363" spans="1:26">
      <c r="A363" s="17">
        <v>10376</v>
      </c>
      <c r="B363" s="17">
        <v>2</v>
      </c>
      <c r="C363" s="17">
        <v>7</v>
      </c>
      <c r="D363" s="17" t="s">
        <v>289</v>
      </c>
      <c r="E363" s="17" t="s">
        <v>67</v>
      </c>
      <c r="F363" s="17" t="str">
        <f>TEXT(data[[#This Row],[ShipDate]],"yyyy - mmmm")</f>
        <v>2016 - April</v>
      </c>
      <c r="G363" s="17" t="str">
        <f>data[[#This Row],[OriginCity]] &amp; " - "  &amp; data[[#This Row],[DestinationCity]]</f>
        <v>Skokie - Chicago</v>
      </c>
      <c r="H363" s="17" t="s">
        <v>35</v>
      </c>
      <c r="I363" s="17" t="s">
        <v>31</v>
      </c>
      <c r="J363" s="17">
        <v>7</v>
      </c>
      <c r="K363" s="17" t="s">
        <v>39</v>
      </c>
      <c r="L363" s="17" t="s">
        <v>31</v>
      </c>
      <c r="M363" s="17" t="s">
        <v>47</v>
      </c>
      <c r="N363" s="17">
        <v>834</v>
      </c>
      <c r="O363" s="17">
        <v>569</v>
      </c>
      <c r="P363" s="26">
        <f>(data[[#This Row],[LoadedMiles]]/data[[#This Row],[TotalMiles]])*100</f>
        <v>68.225419664268586</v>
      </c>
      <c r="Q363" s="25">
        <f>data[[#This Row],[ShippingCost]]/data[[#This Row],[TotalMiles]]</f>
        <v>0.684652278177458</v>
      </c>
      <c r="R363" s="17">
        <v>571</v>
      </c>
      <c r="S363" s="25">
        <f>data[[#This Row],[Revenue]]/data[[#This Row],[TotalMiles]]</f>
        <v>1.6726618705035972</v>
      </c>
      <c r="T363" s="26">
        <f>data[[#This Row],[Revenue]]-data[[#This Row],[ShippingCost]]</f>
        <v>824</v>
      </c>
      <c r="U363" s="17">
        <v>1395</v>
      </c>
      <c r="V363" s="17">
        <v>95</v>
      </c>
      <c r="W363" s="17" t="s">
        <v>68</v>
      </c>
      <c r="X363" s="17">
        <v>7</v>
      </c>
      <c r="Y363" s="17">
        <f>data[[#This Row],[DeliveryDate]]-data[[#This Row],[ShipDate]]</f>
        <v>7</v>
      </c>
      <c r="Z363" s="17" t="str">
        <f>IF(data[[#This Row],[Actual Delivery Days]]&gt;AD364,"Yes","No")</f>
        <v>Yes</v>
      </c>
    </row>
    <row r="364" spans="1:26">
      <c r="A364" s="17">
        <v>10377</v>
      </c>
      <c r="B364" s="17">
        <v>2</v>
      </c>
      <c r="C364" s="17">
        <v>4</v>
      </c>
      <c r="D364" s="17" t="s">
        <v>292</v>
      </c>
      <c r="E364" s="17" t="s">
        <v>261</v>
      </c>
      <c r="F364" s="17" t="str">
        <f>TEXT(data[[#This Row],[ShipDate]],"yyyy - mmmm")</f>
        <v>2016 - May</v>
      </c>
      <c r="G364" s="17" t="str">
        <f>data[[#This Row],[OriginCity]] &amp; " - "  &amp; data[[#This Row],[DestinationCity]]</f>
        <v>Kalamazoo - Bangor</v>
      </c>
      <c r="H364" s="17" t="s">
        <v>71</v>
      </c>
      <c r="I364" s="17" t="s">
        <v>21</v>
      </c>
      <c r="J364" s="17">
        <v>7</v>
      </c>
      <c r="K364" s="17" t="s">
        <v>104</v>
      </c>
      <c r="L364" s="17" t="s">
        <v>21</v>
      </c>
      <c r="M364" s="17" t="s">
        <v>58</v>
      </c>
      <c r="N364" s="17">
        <v>297</v>
      </c>
      <c r="O364" s="17">
        <v>297</v>
      </c>
      <c r="P364" s="26">
        <f>(data[[#This Row],[LoadedMiles]]/data[[#This Row],[TotalMiles]])*100</f>
        <v>100</v>
      </c>
      <c r="Q364" s="25">
        <f>data[[#This Row],[ShippingCost]]/data[[#This Row],[TotalMiles]]</f>
        <v>14.218855218855218</v>
      </c>
      <c r="R364" s="17">
        <v>4223</v>
      </c>
      <c r="S364" s="25">
        <f>data[[#This Row],[Revenue]]/data[[#This Row],[TotalMiles]]</f>
        <v>7.9090909090909092</v>
      </c>
      <c r="T364" s="26">
        <f>data[[#This Row],[Revenue]]-data[[#This Row],[ShippingCost]]</f>
        <v>-1874</v>
      </c>
      <c r="U364" s="17">
        <v>2349</v>
      </c>
      <c r="V364" s="17">
        <v>68</v>
      </c>
      <c r="W364" s="17" t="s">
        <v>68</v>
      </c>
      <c r="X364" s="17">
        <v>8</v>
      </c>
      <c r="Y364" s="17">
        <f>data[[#This Row],[DeliveryDate]]-data[[#This Row],[ShipDate]]</f>
        <v>7</v>
      </c>
      <c r="Z364" s="17" t="str">
        <f>IF(data[[#This Row],[Actual Delivery Days]]&gt;AD365,"Yes","No")</f>
        <v>Yes</v>
      </c>
    </row>
    <row r="365" spans="1:26">
      <c r="A365" s="17">
        <v>10379</v>
      </c>
      <c r="B365" s="17">
        <v>1</v>
      </c>
      <c r="C365" s="17">
        <v>7</v>
      </c>
      <c r="D365" s="17" t="s">
        <v>295</v>
      </c>
      <c r="E365" s="17" t="s">
        <v>616</v>
      </c>
      <c r="F365" s="17" t="str">
        <f>TEXT(data[[#This Row],[ShipDate]],"yyyy - mmmm")</f>
        <v>2016 - May</v>
      </c>
      <c r="G365" s="17" t="str">
        <f>data[[#This Row],[OriginCity]] &amp; " - "  &amp; data[[#This Row],[DestinationCity]]</f>
        <v>Grand Rapids - Toledo</v>
      </c>
      <c r="H365" s="17" t="s">
        <v>20</v>
      </c>
      <c r="I365" s="17" t="s">
        <v>21</v>
      </c>
      <c r="J365" s="17">
        <v>7</v>
      </c>
      <c r="K365" s="17" t="s">
        <v>22</v>
      </c>
      <c r="L365" s="17" t="s">
        <v>23</v>
      </c>
      <c r="M365" s="17" t="s">
        <v>365</v>
      </c>
      <c r="N365" s="17">
        <v>200</v>
      </c>
      <c r="O365" s="17">
        <v>200</v>
      </c>
      <c r="P365" s="26">
        <f>(data[[#This Row],[LoadedMiles]]/data[[#This Row],[TotalMiles]])*100</f>
        <v>100</v>
      </c>
      <c r="Q365" s="25">
        <f>data[[#This Row],[ShippingCost]]/data[[#This Row],[TotalMiles]]</f>
        <v>10.11</v>
      </c>
      <c r="R365" s="17">
        <v>2022</v>
      </c>
      <c r="S365" s="25">
        <f>data[[#This Row],[Revenue]]/data[[#This Row],[TotalMiles]]</f>
        <v>12.695</v>
      </c>
      <c r="T365" s="26">
        <f>data[[#This Row],[Revenue]]-data[[#This Row],[ShippingCost]]</f>
        <v>517</v>
      </c>
      <c r="U365" s="17">
        <v>2539</v>
      </c>
      <c r="V365" s="17">
        <v>92</v>
      </c>
      <c r="W365" s="17" t="s">
        <v>68</v>
      </c>
      <c r="X365" s="17">
        <v>2</v>
      </c>
      <c r="Y365" s="17">
        <f>data[[#This Row],[DeliveryDate]]-data[[#This Row],[ShipDate]]</f>
        <v>7</v>
      </c>
      <c r="Z365" s="17" t="str">
        <f>IF(data[[#This Row],[Actual Delivery Days]]&gt;AD366,"Yes","No")</f>
        <v>Yes</v>
      </c>
    </row>
    <row r="366" spans="1:26">
      <c r="A366" s="17">
        <v>10385</v>
      </c>
      <c r="B366" s="17">
        <v>1</v>
      </c>
      <c r="C366" s="17">
        <v>4</v>
      </c>
      <c r="D366" s="17" t="s">
        <v>308</v>
      </c>
      <c r="E366" s="17" t="s">
        <v>614</v>
      </c>
      <c r="F366" s="17" t="str">
        <f>TEXT(data[[#This Row],[ShipDate]],"yyyy - mmmm")</f>
        <v>2016 - July</v>
      </c>
      <c r="G366" s="17" t="str">
        <f>data[[#This Row],[OriginCity]] &amp; " - "  &amp; data[[#This Row],[DestinationCity]]</f>
        <v>Detriot - Monon</v>
      </c>
      <c r="H366" s="17" t="s">
        <v>52</v>
      </c>
      <c r="I366" s="17" t="s">
        <v>21</v>
      </c>
      <c r="J366" s="17">
        <v>7</v>
      </c>
      <c r="K366" s="17" t="s">
        <v>53</v>
      </c>
      <c r="L366" s="17" t="s">
        <v>44</v>
      </c>
      <c r="M366" s="17" t="s">
        <v>426</v>
      </c>
      <c r="N366" s="17">
        <v>835</v>
      </c>
      <c r="O366" s="17">
        <v>497</v>
      </c>
      <c r="P366" s="26">
        <f>(data[[#This Row],[LoadedMiles]]/data[[#This Row],[TotalMiles]])*100</f>
        <v>59.520958083832333</v>
      </c>
      <c r="Q366" s="25">
        <f>data[[#This Row],[ShippingCost]]/data[[#This Row],[TotalMiles]]</f>
        <v>5.5365269461077844</v>
      </c>
      <c r="R366" s="17">
        <v>4623</v>
      </c>
      <c r="S366" s="25">
        <f>data[[#This Row],[Revenue]]/data[[#This Row],[TotalMiles]]</f>
        <v>3.1185628742514968</v>
      </c>
      <c r="T366" s="26">
        <f>data[[#This Row],[Revenue]]-data[[#This Row],[ShippingCost]]</f>
        <v>-2019</v>
      </c>
      <c r="U366" s="17">
        <v>2604</v>
      </c>
      <c r="V366" s="17">
        <v>98</v>
      </c>
      <c r="W366" s="17" t="s">
        <v>68</v>
      </c>
      <c r="X366" s="17">
        <v>10</v>
      </c>
      <c r="Y366" s="17">
        <f>data[[#This Row],[DeliveryDate]]-data[[#This Row],[ShipDate]]</f>
        <v>5</v>
      </c>
      <c r="Z366" s="17" t="str">
        <f>IF(data[[#This Row],[Actual Delivery Days]]&gt;AD367,"Yes","No")</f>
        <v>Yes</v>
      </c>
    </row>
    <row r="367" spans="1:26">
      <c r="A367" s="17">
        <v>10397</v>
      </c>
      <c r="B367" s="17">
        <v>1</v>
      </c>
      <c r="C367" s="17">
        <v>4</v>
      </c>
      <c r="D367" s="17" t="s">
        <v>328</v>
      </c>
      <c r="E367" s="17" t="s">
        <v>164</v>
      </c>
      <c r="F367" s="17" t="str">
        <f>TEXT(data[[#This Row],[ShipDate]],"yyyy - mmmm")</f>
        <v>2016 - February</v>
      </c>
      <c r="G367" s="17" t="str">
        <f>data[[#This Row],[OriginCity]] &amp; " - "  &amp; data[[#This Row],[DestinationCity]]</f>
        <v>Lansing - Dayton</v>
      </c>
      <c r="H367" s="17" t="s">
        <v>66</v>
      </c>
      <c r="I367" s="17" t="s">
        <v>21</v>
      </c>
      <c r="J367" s="17">
        <v>7</v>
      </c>
      <c r="K367" s="17" t="s">
        <v>93</v>
      </c>
      <c r="L367" s="17" t="s">
        <v>23</v>
      </c>
      <c r="M367" s="17" t="s">
        <v>362</v>
      </c>
      <c r="N367" s="17">
        <v>706</v>
      </c>
      <c r="O367" s="17">
        <v>436</v>
      </c>
      <c r="P367" s="26">
        <f>(data[[#This Row],[LoadedMiles]]/data[[#This Row],[TotalMiles]])*100</f>
        <v>61.756373937677054</v>
      </c>
      <c r="Q367" s="25">
        <f>data[[#This Row],[ShippingCost]]/data[[#This Row],[TotalMiles]]</f>
        <v>7.951841359773371</v>
      </c>
      <c r="R367" s="17">
        <v>5614</v>
      </c>
      <c r="S367" s="25">
        <f>data[[#This Row],[Revenue]]/data[[#This Row],[TotalMiles]]</f>
        <v>5.2308781869688383</v>
      </c>
      <c r="T367" s="26">
        <f>data[[#This Row],[Revenue]]-data[[#This Row],[ShippingCost]]</f>
        <v>-1921</v>
      </c>
      <c r="U367" s="17">
        <v>3693</v>
      </c>
      <c r="V367" s="17">
        <v>72</v>
      </c>
      <c r="W367" s="17" t="s">
        <v>68</v>
      </c>
      <c r="X367" s="17">
        <v>4</v>
      </c>
      <c r="Y367" s="17">
        <f>data[[#This Row],[DeliveryDate]]-data[[#This Row],[ShipDate]]</f>
        <v>7</v>
      </c>
      <c r="Z367" s="17" t="str">
        <f>IF(data[[#This Row],[Actual Delivery Days]]&gt;AD368,"Yes","No")</f>
        <v>Yes</v>
      </c>
    </row>
    <row r="368" spans="1:26">
      <c r="A368" s="17">
        <v>10418</v>
      </c>
      <c r="B368" s="17">
        <v>1</v>
      </c>
      <c r="C368" s="17">
        <v>4</v>
      </c>
      <c r="D368" s="17" t="s">
        <v>361</v>
      </c>
      <c r="E368" s="17" t="s">
        <v>410</v>
      </c>
      <c r="F368" s="17" t="str">
        <f>TEXT(data[[#This Row],[ShipDate]],"yyyy - mmmm")</f>
        <v>2016 - June</v>
      </c>
      <c r="G368" s="17" t="str">
        <f>data[[#This Row],[OriginCity]] &amp; " - "  &amp; data[[#This Row],[DestinationCity]]</f>
        <v>Dayton - Elgin</v>
      </c>
      <c r="H368" s="17" t="s">
        <v>93</v>
      </c>
      <c r="I368" s="17" t="s">
        <v>23</v>
      </c>
      <c r="J368" s="17">
        <v>7</v>
      </c>
      <c r="K368" s="17" t="s">
        <v>94</v>
      </c>
      <c r="L368" s="17" t="s">
        <v>31</v>
      </c>
      <c r="M368" s="17" t="s">
        <v>610</v>
      </c>
      <c r="N368" s="17">
        <v>923</v>
      </c>
      <c r="O368" s="17">
        <v>527</v>
      </c>
      <c r="P368" s="26">
        <f>(data[[#This Row],[LoadedMiles]]/data[[#This Row],[TotalMiles]])*100</f>
        <v>57.096424702058499</v>
      </c>
      <c r="Q368" s="25">
        <f>data[[#This Row],[ShippingCost]]/data[[#This Row],[TotalMiles]]</f>
        <v>2.6868905742145177</v>
      </c>
      <c r="R368" s="17">
        <v>2480</v>
      </c>
      <c r="S368" s="25">
        <f>data[[#This Row],[Revenue]]/data[[#This Row],[TotalMiles]]</f>
        <v>0.29144095341278442</v>
      </c>
      <c r="T368" s="26">
        <f>data[[#This Row],[Revenue]]-data[[#This Row],[ShippingCost]]</f>
        <v>-2211</v>
      </c>
      <c r="U368" s="17">
        <v>269</v>
      </c>
      <c r="V368" s="17">
        <v>73</v>
      </c>
      <c r="W368" s="17" t="s">
        <v>68</v>
      </c>
      <c r="X368" s="17">
        <v>5</v>
      </c>
      <c r="Y368" s="17">
        <f>data[[#This Row],[DeliveryDate]]-data[[#This Row],[ShipDate]]</f>
        <v>7</v>
      </c>
      <c r="Z368" s="17" t="str">
        <f>IF(data[[#This Row],[Actual Delivery Days]]&gt;AD369,"Yes","No")</f>
        <v>Yes</v>
      </c>
    </row>
    <row r="369" spans="1:26">
      <c r="A369" s="17">
        <v>10424</v>
      </c>
      <c r="B369" s="17">
        <v>2</v>
      </c>
      <c r="C369" s="17">
        <v>5</v>
      </c>
      <c r="D369" s="17" t="s">
        <v>372</v>
      </c>
      <c r="E369" s="17" t="s">
        <v>229</v>
      </c>
      <c r="F369" s="17" t="str">
        <f>TEXT(data[[#This Row],[ShipDate]],"yyyy - mmmm")</f>
        <v>2016 - January</v>
      </c>
      <c r="G369" s="17" t="str">
        <f>data[[#This Row],[OriginCity]] &amp; " - "  &amp; data[[#This Row],[DestinationCity]]</f>
        <v>Kalamazoo - Bangor</v>
      </c>
      <c r="H369" s="17" t="s">
        <v>71</v>
      </c>
      <c r="I369" s="17" t="s">
        <v>21</v>
      </c>
      <c r="J369" s="17">
        <v>7</v>
      </c>
      <c r="K369" s="17" t="s">
        <v>104</v>
      </c>
      <c r="L369" s="17" t="s">
        <v>21</v>
      </c>
      <c r="M369" s="17" t="s">
        <v>152</v>
      </c>
      <c r="N369" s="17">
        <v>487</v>
      </c>
      <c r="O369" s="17">
        <v>426</v>
      </c>
      <c r="P369" s="26">
        <f>(data[[#This Row],[LoadedMiles]]/data[[#This Row],[TotalMiles]])*100</f>
        <v>87.474332648870629</v>
      </c>
      <c r="Q369" s="25">
        <f>data[[#This Row],[ShippingCost]]/data[[#This Row],[TotalMiles]]</f>
        <v>4.3347022587268995</v>
      </c>
      <c r="R369" s="17">
        <v>2111</v>
      </c>
      <c r="S369" s="25">
        <f>data[[#This Row],[Revenue]]/data[[#This Row],[TotalMiles]]</f>
        <v>5.0308008213552364</v>
      </c>
      <c r="T369" s="26">
        <f>data[[#This Row],[Revenue]]-data[[#This Row],[ShippingCost]]</f>
        <v>339</v>
      </c>
      <c r="U369" s="17">
        <v>2450</v>
      </c>
      <c r="V369" s="17">
        <v>63</v>
      </c>
      <c r="W369" s="17" t="s">
        <v>68</v>
      </c>
      <c r="X369" s="17">
        <v>3</v>
      </c>
      <c r="Y369" s="17">
        <f>data[[#This Row],[DeliveryDate]]-data[[#This Row],[ShipDate]]</f>
        <v>6</v>
      </c>
      <c r="Z369" s="17" t="str">
        <f>IF(data[[#This Row],[Actual Delivery Days]]&gt;AD370,"Yes","No")</f>
        <v>Yes</v>
      </c>
    </row>
    <row r="370" spans="1:26">
      <c r="A370" s="17">
        <v>10434</v>
      </c>
      <c r="B370" s="17">
        <v>1</v>
      </c>
      <c r="C370" s="17">
        <v>7</v>
      </c>
      <c r="D370" s="17" t="s">
        <v>389</v>
      </c>
      <c r="E370" s="17" t="s">
        <v>248</v>
      </c>
      <c r="F370" s="17" t="str">
        <f>TEXT(data[[#This Row],[ShipDate]],"yyyy - mmmm")</f>
        <v>2016 - May</v>
      </c>
      <c r="G370" s="17" t="str">
        <f>data[[#This Row],[OriginCity]] &amp; " - "  &amp; data[[#This Row],[DestinationCity]]</f>
        <v>Monon - Lansing</v>
      </c>
      <c r="H370" s="17" t="s">
        <v>53</v>
      </c>
      <c r="I370" s="17" t="s">
        <v>44</v>
      </c>
      <c r="J370" s="17">
        <v>7</v>
      </c>
      <c r="K370" s="17" t="s">
        <v>66</v>
      </c>
      <c r="L370" s="17" t="s">
        <v>21</v>
      </c>
      <c r="M370" s="17" t="s">
        <v>42</v>
      </c>
      <c r="N370" s="17">
        <v>1138</v>
      </c>
      <c r="O370" s="17">
        <v>221</v>
      </c>
      <c r="P370" s="26">
        <f>(data[[#This Row],[LoadedMiles]]/data[[#This Row],[TotalMiles]])*100</f>
        <v>19.420035149384884</v>
      </c>
      <c r="Q370" s="25">
        <f>data[[#This Row],[ShippingCost]]/data[[#This Row],[TotalMiles]]</f>
        <v>6.7451669595782073</v>
      </c>
      <c r="R370" s="17">
        <v>7676</v>
      </c>
      <c r="S370" s="25">
        <f>data[[#This Row],[Revenue]]/data[[#This Row],[TotalMiles]]</f>
        <v>7.1599297012302285</v>
      </c>
      <c r="T370" s="26">
        <f>data[[#This Row],[Revenue]]-data[[#This Row],[ShippingCost]]</f>
        <v>472</v>
      </c>
      <c r="U370" s="17">
        <v>8148</v>
      </c>
      <c r="V370" s="17">
        <v>92</v>
      </c>
      <c r="W370" s="17" t="s">
        <v>68</v>
      </c>
      <c r="X370" s="17">
        <v>5</v>
      </c>
      <c r="Y370" s="17">
        <f>data[[#This Row],[DeliveryDate]]-data[[#This Row],[ShipDate]]</f>
        <v>7</v>
      </c>
      <c r="Z370" s="17" t="str">
        <f>IF(data[[#This Row],[Actual Delivery Days]]&gt;AD371,"Yes","No")</f>
        <v>Yes</v>
      </c>
    </row>
    <row r="371" spans="1:26">
      <c r="A371" s="17">
        <v>10452</v>
      </c>
      <c r="B371" s="17">
        <v>1</v>
      </c>
      <c r="C371" s="17">
        <v>4</v>
      </c>
      <c r="D371" s="17" t="s">
        <v>421</v>
      </c>
      <c r="E371" s="17" t="s">
        <v>373</v>
      </c>
      <c r="F371" s="17" t="str">
        <f>TEXT(data[[#This Row],[ShipDate]],"yyyy - mmmm")</f>
        <v>2016 - May</v>
      </c>
      <c r="G371" s="17" t="str">
        <f>data[[#This Row],[OriginCity]] &amp; " - "  &amp; data[[#This Row],[DestinationCity]]</f>
        <v>Northbrook - Naperville</v>
      </c>
      <c r="H371" s="17" t="s">
        <v>45</v>
      </c>
      <c r="I371" s="17" t="s">
        <v>31</v>
      </c>
      <c r="J371" s="17">
        <v>7</v>
      </c>
      <c r="K371" s="17" t="s">
        <v>48</v>
      </c>
      <c r="L371" s="17" t="s">
        <v>31</v>
      </c>
      <c r="M371" s="17" t="s">
        <v>410</v>
      </c>
      <c r="N371" s="17">
        <v>894</v>
      </c>
      <c r="O371" s="17">
        <v>789</v>
      </c>
      <c r="P371" s="26">
        <f>(data[[#This Row],[LoadedMiles]]/data[[#This Row],[TotalMiles]])*100</f>
        <v>88.255033557046985</v>
      </c>
      <c r="Q371" s="25">
        <f>data[[#This Row],[ShippingCost]]/data[[#This Row],[TotalMiles]]</f>
        <v>8.6800894854586126</v>
      </c>
      <c r="R371" s="17">
        <v>7760</v>
      </c>
      <c r="S371" s="25">
        <f>data[[#This Row],[Revenue]]/data[[#This Row],[TotalMiles]]</f>
        <v>6.4317673378076066</v>
      </c>
      <c r="T371" s="26">
        <f>data[[#This Row],[Revenue]]-data[[#This Row],[ShippingCost]]</f>
        <v>-2010</v>
      </c>
      <c r="U371" s="17">
        <v>5750</v>
      </c>
      <c r="V371" s="17">
        <v>50</v>
      </c>
      <c r="W371" s="17" t="s">
        <v>68</v>
      </c>
      <c r="X371" s="17">
        <v>6</v>
      </c>
      <c r="Y371" s="17">
        <f>data[[#This Row],[DeliveryDate]]-data[[#This Row],[ShipDate]]</f>
        <v>7</v>
      </c>
      <c r="Z371" s="17" t="str">
        <f>IF(data[[#This Row],[Actual Delivery Days]]&gt;AD372,"Yes","No")</f>
        <v>Yes</v>
      </c>
    </row>
    <row r="372" spans="1:26">
      <c r="A372" s="17">
        <v>10471</v>
      </c>
      <c r="B372" s="17">
        <v>1</v>
      </c>
      <c r="C372" s="17">
        <v>8</v>
      </c>
      <c r="D372" s="17" t="s">
        <v>452</v>
      </c>
      <c r="E372" s="17" t="s">
        <v>567</v>
      </c>
      <c r="F372" s="17" t="str">
        <f>TEXT(data[[#This Row],[ShipDate]],"yyyy - mmmm")</f>
        <v>2016 - February</v>
      </c>
      <c r="G372" s="17" t="str">
        <f>data[[#This Row],[OriginCity]] &amp; " - "  &amp; data[[#This Row],[DestinationCity]]</f>
        <v>Springfield - Skokie</v>
      </c>
      <c r="H372" s="17" t="s">
        <v>30</v>
      </c>
      <c r="I372" s="17" t="s">
        <v>31</v>
      </c>
      <c r="J372" s="17">
        <v>7</v>
      </c>
      <c r="K372" s="17" t="s">
        <v>35</v>
      </c>
      <c r="L372" s="17" t="s">
        <v>31</v>
      </c>
      <c r="M372" s="17" t="s">
        <v>132</v>
      </c>
      <c r="N372" s="17">
        <v>307</v>
      </c>
      <c r="O372" s="17">
        <v>307</v>
      </c>
      <c r="P372" s="26">
        <f>(data[[#This Row],[LoadedMiles]]/data[[#This Row],[TotalMiles]])*100</f>
        <v>100</v>
      </c>
      <c r="Q372" s="25">
        <f>data[[#This Row],[ShippingCost]]/data[[#This Row],[TotalMiles]]</f>
        <v>9.866449511400651</v>
      </c>
      <c r="R372" s="17">
        <v>3029</v>
      </c>
      <c r="S372" s="25">
        <f>data[[#This Row],[Revenue]]/data[[#This Row],[TotalMiles]]</f>
        <v>12.967426710097721</v>
      </c>
      <c r="T372" s="26">
        <f>data[[#This Row],[Revenue]]-data[[#This Row],[ShippingCost]]</f>
        <v>952</v>
      </c>
      <c r="U372" s="17">
        <v>3981</v>
      </c>
      <c r="V372" s="17">
        <v>91</v>
      </c>
      <c r="W372" s="17" t="s">
        <v>68</v>
      </c>
      <c r="X372" s="17">
        <v>3</v>
      </c>
      <c r="Y372" s="17">
        <f>data[[#This Row],[DeliveryDate]]-data[[#This Row],[ShipDate]]</f>
        <v>7</v>
      </c>
      <c r="Z372" s="17" t="str">
        <f>IF(data[[#This Row],[Actual Delivery Days]]&gt;AD373,"Yes","No")</f>
        <v>Yes</v>
      </c>
    </row>
    <row r="373" spans="1:26">
      <c r="A373" s="17">
        <v>10479</v>
      </c>
      <c r="B373" s="17">
        <v>2</v>
      </c>
      <c r="C373" s="17">
        <v>8</v>
      </c>
      <c r="D373" s="17" t="s">
        <v>465</v>
      </c>
      <c r="E373" s="17" t="s">
        <v>332</v>
      </c>
      <c r="F373" s="17" t="str">
        <f>TEXT(data[[#This Row],[ShipDate]],"yyyy - mmmm")</f>
        <v>2016 - February</v>
      </c>
      <c r="G373" s="17" t="str">
        <f>data[[#This Row],[OriginCity]] &amp; " - "  &amp; data[[#This Row],[DestinationCity]]</f>
        <v>Green Bay - Joliet</v>
      </c>
      <c r="H373" s="17" t="s">
        <v>75</v>
      </c>
      <c r="I373" s="17" t="s">
        <v>29</v>
      </c>
      <c r="J373" s="17">
        <v>7</v>
      </c>
      <c r="K373" s="17" t="s">
        <v>61</v>
      </c>
      <c r="L373" s="17" t="s">
        <v>31</v>
      </c>
      <c r="M373" s="17" t="s">
        <v>379</v>
      </c>
      <c r="N373" s="17">
        <v>795</v>
      </c>
      <c r="O373" s="17">
        <v>687</v>
      </c>
      <c r="P373" s="26">
        <f>(data[[#This Row],[LoadedMiles]]/data[[#This Row],[TotalMiles]])*100</f>
        <v>86.415094339622641</v>
      </c>
      <c r="Q373" s="25">
        <f>data[[#This Row],[ShippingCost]]/data[[#This Row],[TotalMiles]]</f>
        <v>5.0993710691823901</v>
      </c>
      <c r="R373" s="17">
        <v>4054</v>
      </c>
      <c r="S373" s="25">
        <f>data[[#This Row],[Revenue]]/data[[#This Row],[TotalMiles]]</f>
        <v>5.6981132075471699</v>
      </c>
      <c r="T373" s="26">
        <f>data[[#This Row],[Revenue]]-data[[#This Row],[ShippingCost]]</f>
        <v>476</v>
      </c>
      <c r="U373" s="17">
        <v>4530</v>
      </c>
      <c r="V373" s="17">
        <v>82</v>
      </c>
      <c r="W373" s="17" t="s">
        <v>68</v>
      </c>
      <c r="X373" s="17">
        <v>5</v>
      </c>
      <c r="Y373" s="17">
        <f>data[[#This Row],[DeliveryDate]]-data[[#This Row],[ShipDate]]</f>
        <v>5</v>
      </c>
      <c r="Z373" s="17" t="str">
        <f>IF(data[[#This Row],[Actual Delivery Days]]&gt;AD374,"Yes","No")</f>
        <v>Yes</v>
      </c>
    </row>
    <row r="374" spans="1:26">
      <c r="A374" s="17">
        <v>10505</v>
      </c>
      <c r="B374" s="17">
        <v>2</v>
      </c>
      <c r="C374" s="17">
        <v>8</v>
      </c>
      <c r="D374" s="17" t="s">
        <v>503</v>
      </c>
      <c r="E374" s="17" t="s">
        <v>315</v>
      </c>
      <c r="F374" s="17" t="str">
        <f>TEXT(data[[#This Row],[ShipDate]],"yyyy - mmmm")</f>
        <v>2016 - June</v>
      </c>
      <c r="G374" s="17" t="str">
        <f>data[[#This Row],[OriginCity]] &amp; " - "  &amp; data[[#This Row],[DestinationCity]]</f>
        <v>Toledo - Detriot</v>
      </c>
      <c r="H374" s="17" t="s">
        <v>22</v>
      </c>
      <c r="I374" s="17" t="s">
        <v>23</v>
      </c>
      <c r="J374" s="17">
        <v>7</v>
      </c>
      <c r="K374" s="17" t="s">
        <v>52</v>
      </c>
      <c r="L374" s="17" t="s">
        <v>21</v>
      </c>
      <c r="M374" s="17" t="s">
        <v>474</v>
      </c>
      <c r="N374" s="17">
        <v>369</v>
      </c>
      <c r="O374" s="17">
        <v>229</v>
      </c>
      <c r="P374" s="26">
        <f>(data[[#This Row],[LoadedMiles]]/data[[#This Row],[TotalMiles]])*100</f>
        <v>62.059620596205967</v>
      </c>
      <c r="Q374" s="25">
        <f>data[[#This Row],[ShippingCost]]/data[[#This Row],[TotalMiles]]</f>
        <v>14.536585365853659</v>
      </c>
      <c r="R374" s="17">
        <v>5364</v>
      </c>
      <c r="S374" s="25">
        <f>data[[#This Row],[Revenue]]/data[[#This Row],[TotalMiles]]</f>
        <v>17.070460704607047</v>
      </c>
      <c r="T374" s="26">
        <f>data[[#This Row],[Revenue]]-data[[#This Row],[ShippingCost]]</f>
        <v>935</v>
      </c>
      <c r="U374" s="17">
        <v>6299</v>
      </c>
      <c r="V374" s="17">
        <v>82</v>
      </c>
      <c r="W374" s="17" t="s">
        <v>68</v>
      </c>
      <c r="X374" s="17">
        <v>6</v>
      </c>
      <c r="Y374" s="17">
        <f>data[[#This Row],[DeliveryDate]]-data[[#This Row],[ShipDate]]</f>
        <v>7</v>
      </c>
      <c r="Z374" s="17" t="str">
        <f>IF(data[[#This Row],[Actual Delivery Days]]&gt;AD375,"Yes","No")</f>
        <v>Yes</v>
      </c>
    </row>
    <row r="375" spans="1:26">
      <c r="A375" s="17">
        <v>10507</v>
      </c>
      <c r="B375" s="17">
        <v>1</v>
      </c>
      <c r="C375" s="17">
        <v>6</v>
      </c>
      <c r="D375" s="17" t="s">
        <v>505</v>
      </c>
      <c r="E375" s="17" t="s">
        <v>202</v>
      </c>
      <c r="F375" s="17" t="str">
        <f>TEXT(data[[#This Row],[ShipDate]],"yyyy - mmmm")</f>
        <v>2016 - February</v>
      </c>
      <c r="G375" s="17" t="str">
        <f>data[[#This Row],[OriginCity]] &amp; " - "  &amp; data[[#This Row],[DestinationCity]]</f>
        <v>Bangor - Davenport</v>
      </c>
      <c r="H375" s="17" t="s">
        <v>104</v>
      </c>
      <c r="I375" s="17" t="s">
        <v>21</v>
      </c>
      <c r="J375" s="17">
        <v>7</v>
      </c>
      <c r="K375" s="17" t="s">
        <v>105</v>
      </c>
      <c r="L375" s="17" t="s">
        <v>106</v>
      </c>
      <c r="M375" s="17" t="s">
        <v>74</v>
      </c>
      <c r="N375" s="17">
        <v>767</v>
      </c>
      <c r="O375" s="17">
        <v>677</v>
      </c>
      <c r="P375" s="26">
        <f>(data[[#This Row],[LoadedMiles]]/data[[#This Row],[TotalMiles]])*100</f>
        <v>88.265971316818764</v>
      </c>
      <c r="Q375" s="25">
        <f>data[[#This Row],[ShippingCost]]/data[[#This Row],[TotalMiles]]</f>
        <v>4.4445893089960888</v>
      </c>
      <c r="R375" s="17">
        <v>3409</v>
      </c>
      <c r="S375" s="25">
        <f>data[[#This Row],[Revenue]]/data[[#This Row],[TotalMiles]]</f>
        <v>5.3780964797913953</v>
      </c>
      <c r="T375" s="26">
        <f>data[[#This Row],[Revenue]]-data[[#This Row],[ShippingCost]]</f>
        <v>716</v>
      </c>
      <c r="U375" s="17">
        <v>4125</v>
      </c>
      <c r="V375" s="17">
        <v>99</v>
      </c>
      <c r="W375" s="17" t="s">
        <v>68</v>
      </c>
      <c r="X375" s="17">
        <v>9</v>
      </c>
      <c r="Y375" s="17">
        <f>data[[#This Row],[DeliveryDate]]-data[[#This Row],[ShipDate]]</f>
        <v>7</v>
      </c>
      <c r="Z375" s="17" t="str">
        <f>IF(data[[#This Row],[Actual Delivery Days]]&gt;AD376,"Yes","No")</f>
        <v>Yes</v>
      </c>
    </row>
    <row r="376" spans="1:26">
      <c r="A376" s="17">
        <v>10514</v>
      </c>
      <c r="B376" s="17">
        <v>1</v>
      </c>
      <c r="C376" s="17">
        <v>4</v>
      </c>
      <c r="D376" s="17" t="s">
        <v>514</v>
      </c>
      <c r="E376" s="17" t="s">
        <v>261</v>
      </c>
      <c r="F376" s="17" t="str">
        <f>TEXT(data[[#This Row],[ShipDate]],"yyyy - mmmm")</f>
        <v>2016 - May</v>
      </c>
      <c r="G376" s="17" t="str">
        <f>data[[#This Row],[OriginCity]] &amp; " - "  &amp; data[[#This Row],[DestinationCity]]</f>
        <v>Springfield - Skokie</v>
      </c>
      <c r="H376" s="17" t="s">
        <v>30</v>
      </c>
      <c r="I376" s="17" t="s">
        <v>31</v>
      </c>
      <c r="J376" s="17">
        <v>7</v>
      </c>
      <c r="K376" s="17" t="s">
        <v>35</v>
      </c>
      <c r="L376" s="17" t="s">
        <v>31</v>
      </c>
      <c r="M376" s="17" t="s">
        <v>231</v>
      </c>
      <c r="N376" s="17">
        <v>451</v>
      </c>
      <c r="O376" s="17">
        <v>451</v>
      </c>
      <c r="P376" s="26">
        <f>(data[[#This Row],[LoadedMiles]]/data[[#This Row],[TotalMiles]])*100</f>
        <v>100</v>
      </c>
      <c r="Q376" s="25">
        <f>data[[#This Row],[ShippingCost]]/data[[#This Row],[TotalMiles]]</f>
        <v>15.368070953436806</v>
      </c>
      <c r="R376" s="17">
        <v>6931</v>
      </c>
      <c r="S376" s="25">
        <f>data[[#This Row],[Revenue]]/data[[#This Row],[TotalMiles]]</f>
        <v>11</v>
      </c>
      <c r="T376" s="26">
        <f>data[[#This Row],[Revenue]]-data[[#This Row],[ShippingCost]]</f>
        <v>-1970</v>
      </c>
      <c r="U376" s="17">
        <v>4961</v>
      </c>
      <c r="V376" s="17">
        <v>50</v>
      </c>
      <c r="W376" s="17" t="s">
        <v>68</v>
      </c>
      <c r="X376" s="17">
        <v>6</v>
      </c>
      <c r="Y376" s="17">
        <f>data[[#This Row],[DeliveryDate]]-data[[#This Row],[ShipDate]]</f>
        <v>5</v>
      </c>
      <c r="Z376" s="17" t="str">
        <f>IF(data[[#This Row],[Actual Delivery Days]]&gt;AD377,"Yes","No")</f>
        <v>Yes</v>
      </c>
    </row>
    <row r="377" spans="1:26">
      <c r="A377" s="17">
        <v>10525</v>
      </c>
      <c r="B377" s="17">
        <v>1</v>
      </c>
      <c r="C377" s="17">
        <v>5</v>
      </c>
      <c r="D377" s="17" t="s">
        <v>528</v>
      </c>
      <c r="E377" s="17" t="s">
        <v>332</v>
      </c>
      <c r="F377" s="17" t="str">
        <f>TEXT(data[[#This Row],[ShipDate]],"yyyy - mmmm")</f>
        <v>2016 - February</v>
      </c>
      <c r="G377" s="17" t="str">
        <f>data[[#This Row],[OriginCity]] &amp; " - "  &amp; data[[#This Row],[DestinationCity]]</f>
        <v>Appleton - Grand Rapids</v>
      </c>
      <c r="H377" s="17" t="s">
        <v>85</v>
      </c>
      <c r="I377" s="17" t="s">
        <v>29</v>
      </c>
      <c r="J377" s="17">
        <v>7</v>
      </c>
      <c r="K377" s="17" t="s">
        <v>20</v>
      </c>
      <c r="L377" s="17" t="s">
        <v>21</v>
      </c>
      <c r="M377" s="17" t="s">
        <v>88</v>
      </c>
      <c r="N377" s="17">
        <v>877</v>
      </c>
      <c r="O377" s="17">
        <v>232</v>
      </c>
      <c r="P377" s="26">
        <f>(data[[#This Row],[LoadedMiles]]/data[[#This Row],[TotalMiles]])*100</f>
        <v>26.453819840364879</v>
      </c>
      <c r="Q377" s="25">
        <f>data[[#This Row],[ShippingCost]]/data[[#This Row],[TotalMiles]]</f>
        <v>7.3728620296465222</v>
      </c>
      <c r="R377" s="17">
        <v>6466</v>
      </c>
      <c r="S377" s="25">
        <f>data[[#This Row],[Revenue]]/data[[#This Row],[TotalMiles]]</f>
        <v>7.5324971493728619</v>
      </c>
      <c r="T377" s="26">
        <f>data[[#This Row],[Revenue]]-data[[#This Row],[ShippingCost]]</f>
        <v>140</v>
      </c>
      <c r="U377" s="17">
        <v>6606</v>
      </c>
      <c r="V377" s="17">
        <v>74</v>
      </c>
      <c r="W377" s="17" t="s">
        <v>68</v>
      </c>
      <c r="X377" s="17">
        <v>4</v>
      </c>
      <c r="Y377" s="17">
        <f>data[[#This Row],[DeliveryDate]]-data[[#This Row],[ShipDate]]</f>
        <v>7</v>
      </c>
      <c r="Z377" s="17" t="str">
        <f>IF(data[[#This Row],[Actual Delivery Days]]&gt;AD378,"Yes","No")</f>
        <v>Yes</v>
      </c>
    </row>
    <row r="378" spans="1:26">
      <c r="A378" s="17">
        <v>10542</v>
      </c>
      <c r="B378" s="17">
        <v>1</v>
      </c>
      <c r="C378" s="17">
        <v>8</v>
      </c>
      <c r="D378" s="17" t="s">
        <v>555</v>
      </c>
      <c r="E378" s="17" t="s">
        <v>51</v>
      </c>
      <c r="F378" s="17" t="str">
        <f>TEXT(data[[#This Row],[ShipDate]],"yyyy - mmmm")</f>
        <v>2016 - April</v>
      </c>
      <c r="G378" s="17" t="str">
        <f>data[[#This Row],[OriginCity]] &amp; " - "  &amp; data[[#This Row],[DestinationCity]]</f>
        <v>Madison - Kalamazoo</v>
      </c>
      <c r="H378" s="17" t="s">
        <v>62</v>
      </c>
      <c r="I378" s="17" t="s">
        <v>29</v>
      </c>
      <c r="J378" s="17">
        <v>7</v>
      </c>
      <c r="K378" s="17" t="s">
        <v>71</v>
      </c>
      <c r="L378" s="17" t="s">
        <v>21</v>
      </c>
      <c r="M378" s="17" t="s">
        <v>620</v>
      </c>
      <c r="N378" s="17">
        <v>957</v>
      </c>
      <c r="O378" s="17">
        <v>217</v>
      </c>
      <c r="P378" s="26">
        <f>(data[[#This Row],[LoadedMiles]]/data[[#This Row],[TotalMiles]])*100</f>
        <v>22.675026123301986</v>
      </c>
      <c r="Q378" s="25">
        <f>data[[#This Row],[ShippingCost]]/data[[#This Row],[TotalMiles]]</f>
        <v>6.1786833855799372</v>
      </c>
      <c r="R378" s="17">
        <v>5913</v>
      </c>
      <c r="S378" s="25">
        <f>data[[#This Row],[Revenue]]/data[[#This Row],[TotalMiles]]</f>
        <v>6.9299895506792062</v>
      </c>
      <c r="T378" s="26">
        <f>data[[#This Row],[Revenue]]-data[[#This Row],[ShippingCost]]</f>
        <v>719</v>
      </c>
      <c r="U378" s="17">
        <v>6632</v>
      </c>
      <c r="V378" s="17">
        <v>93</v>
      </c>
      <c r="W378" s="17" t="s">
        <v>68</v>
      </c>
      <c r="X378" s="17">
        <v>8</v>
      </c>
      <c r="Y378" s="17">
        <f>data[[#This Row],[DeliveryDate]]-data[[#This Row],[ShipDate]]</f>
        <v>7</v>
      </c>
      <c r="Z378" s="17" t="str">
        <f>IF(data[[#This Row],[Actual Delivery Days]]&gt;AD379,"Yes","No")</f>
        <v>Yes</v>
      </c>
    </row>
    <row r="379" spans="1:26">
      <c r="A379" s="17">
        <v>10567</v>
      </c>
      <c r="B379" s="17">
        <v>1</v>
      </c>
      <c r="C379" s="17">
        <v>8</v>
      </c>
      <c r="D379" s="17" t="s">
        <v>586</v>
      </c>
      <c r="E379" s="17" t="s">
        <v>611</v>
      </c>
      <c r="F379" s="17" t="str">
        <f>TEXT(data[[#This Row],[ShipDate]],"yyyy - mmmm")</f>
        <v>2016 - February</v>
      </c>
      <c r="G379" s="17" t="str">
        <f>data[[#This Row],[OriginCity]] &amp; " - "  &amp; data[[#This Row],[DestinationCity]]</f>
        <v>Appleton - Grand Rapids</v>
      </c>
      <c r="H379" s="17" t="s">
        <v>85</v>
      </c>
      <c r="I379" s="17" t="s">
        <v>29</v>
      </c>
      <c r="J379" s="17">
        <v>7</v>
      </c>
      <c r="K379" s="17" t="s">
        <v>20</v>
      </c>
      <c r="L379" s="17" t="s">
        <v>21</v>
      </c>
      <c r="M379" s="17" t="s">
        <v>88</v>
      </c>
      <c r="N379" s="17">
        <v>586</v>
      </c>
      <c r="O379" s="17">
        <v>586</v>
      </c>
      <c r="P379" s="26">
        <f>(data[[#This Row],[LoadedMiles]]/data[[#This Row],[TotalMiles]])*100</f>
        <v>100</v>
      </c>
      <c r="Q379" s="25">
        <f>data[[#This Row],[ShippingCost]]/data[[#This Row],[TotalMiles]]</f>
        <v>8.2081911262798641</v>
      </c>
      <c r="R379" s="17">
        <v>4810</v>
      </c>
      <c r="S379" s="25">
        <f>data[[#This Row],[Revenue]]/data[[#This Row],[TotalMiles]]</f>
        <v>8.8617747440273043</v>
      </c>
      <c r="T379" s="26">
        <f>data[[#This Row],[Revenue]]-data[[#This Row],[ShippingCost]]</f>
        <v>383</v>
      </c>
      <c r="U379" s="17">
        <v>5193</v>
      </c>
      <c r="V379" s="17">
        <v>92</v>
      </c>
      <c r="W379" s="17" t="s">
        <v>68</v>
      </c>
      <c r="X379" s="17">
        <v>4</v>
      </c>
      <c r="Y379" s="17">
        <f>data[[#This Row],[DeliveryDate]]-data[[#This Row],[ShipDate]]</f>
        <v>5</v>
      </c>
      <c r="Z379" s="17" t="str">
        <f>IF(data[[#This Row],[Actual Delivery Days]]&gt;AD380,"Yes","No")</f>
        <v>Yes</v>
      </c>
    </row>
    <row r="380" spans="1:26">
      <c r="A380" s="17">
        <v>10597</v>
      </c>
      <c r="B380" s="17">
        <v>1</v>
      </c>
      <c r="C380" s="17">
        <v>8</v>
      </c>
      <c r="D380" s="17" t="s">
        <v>83</v>
      </c>
      <c r="E380" s="17" t="s">
        <v>291</v>
      </c>
      <c r="F380" s="17" t="str">
        <f>TEXT(data[[#This Row],[ShipDate]],"yyyy - mmmm")</f>
        <v>2016 - February</v>
      </c>
      <c r="G380" s="17" t="str">
        <f>data[[#This Row],[OriginCity]] &amp; " - "  &amp; data[[#This Row],[DestinationCity]]</f>
        <v>Kalamazoo - Bangor</v>
      </c>
      <c r="H380" s="17" t="s">
        <v>71</v>
      </c>
      <c r="I380" s="17" t="s">
        <v>21</v>
      </c>
      <c r="J380" s="17">
        <v>7</v>
      </c>
      <c r="K380" s="17" t="s">
        <v>104</v>
      </c>
      <c r="L380" s="17" t="s">
        <v>21</v>
      </c>
      <c r="M380" s="17" t="s">
        <v>379</v>
      </c>
      <c r="N380" s="17">
        <v>766</v>
      </c>
      <c r="O380" s="17">
        <v>233</v>
      </c>
      <c r="P380" s="26">
        <f>(data[[#This Row],[LoadedMiles]]/data[[#This Row],[TotalMiles]])*100</f>
        <v>30.417754569190603</v>
      </c>
      <c r="Q380" s="25">
        <f>data[[#This Row],[ShippingCost]]/data[[#This Row],[TotalMiles]]</f>
        <v>1.4033942558746737</v>
      </c>
      <c r="R380" s="17">
        <v>1075</v>
      </c>
      <c r="S380" s="25">
        <f>data[[#This Row],[Revenue]]/data[[#This Row],[TotalMiles]]</f>
        <v>2.3394255874673631</v>
      </c>
      <c r="T380" s="26">
        <f>data[[#This Row],[Revenue]]-data[[#This Row],[ShippingCost]]</f>
        <v>717</v>
      </c>
      <c r="U380" s="17">
        <v>1792</v>
      </c>
      <c r="V380" s="17">
        <v>96</v>
      </c>
      <c r="W380" s="17" t="s">
        <v>68</v>
      </c>
      <c r="X380" s="17">
        <v>9</v>
      </c>
      <c r="Y380" s="17">
        <f>data[[#This Row],[DeliveryDate]]-data[[#This Row],[ShipDate]]</f>
        <v>7</v>
      </c>
      <c r="Z380" s="17" t="str">
        <f>IF(data[[#This Row],[Actual Delivery Days]]&gt;AD381,"Yes","No")</f>
        <v>Yes</v>
      </c>
    </row>
    <row r="381" spans="1:26">
      <c r="A381" s="17">
        <v>10636</v>
      </c>
      <c r="B381" s="17">
        <v>1</v>
      </c>
      <c r="C381" s="17">
        <v>7</v>
      </c>
      <c r="D381" s="17" t="s">
        <v>195</v>
      </c>
      <c r="E381" s="17" t="s">
        <v>612</v>
      </c>
      <c r="F381" s="17" t="str">
        <f>TEXT(data[[#This Row],[ShipDate]],"yyyy - mmmm")</f>
        <v>2016 - January</v>
      </c>
      <c r="G381" s="17" t="str">
        <f>data[[#This Row],[OriginCity]] &amp; " - "  &amp; data[[#This Row],[DestinationCity]]</f>
        <v>Cincinnati - Gary</v>
      </c>
      <c r="H381" s="17" t="s">
        <v>89</v>
      </c>
      <c r="I381" s="17" t="s">
        <v>23</v>
      </c>
      <c r="J381" s="17">
        <v>7</v>
      </c>
      <c r="K381" s="17" t="s">
        <v>57</v>
      </c>
      <c r="L381" s="17" t="s">
        <v>44</v>
      </c>
      <c r="M381" s="17" t="s">
        <v>531</v>
      </c>
      <c r="N381" s="17">
        <v>402</v>
      </c>
      <c r="O381" s="17">
        <v>402</v>
      </c>
      <c r="P381" s="26">
        <f>(data[[#This Row],[LoadedMiles]]/data[[#This Row],[TotalMiles]])*100</f>
        <v>100</v>
      </c>
      <c r="Q381" s="25">
        <f>data[[#This Row],[ShippingCost]]/data[[#This Row],[TotalMiles]]</f>
        <v>1.6840796019900497</v>
      </c>
      <c r="R381" s="17">
        <v>677</v>
      </c>
      <c r="S381" s="25">
        <f>data[[#This Row],[Revenue]]/data[[#This Row],[TotalMiles]]</f>
        <v>2.2661691542288556</v>
      </c>
      <c r="T381" s="26">
        <f>data[[#This Row],[Revenue]]-data[[#This Row],[ShippingCost]]</f>
        <v>234</v>
      </c>
      <c r="U381" s="17">
        <v>911</v>
      </c>
      <c r="V381" s="17">
        <v>98</v>
      </c>
      <c r="W381" s="17" t="s">
        <v>68</v>
      </c>
      <c r="X381" s="17">
        <v>8</v>
      </c>
      <c r="Y381" s="17">
        <f>data[[#This Row],[DeliveryDate]]-data[[#This Row],[ShipDate]]</f>
        <v>7</v>
      </c>
      <c r="Z381" s="17" t="str">
        <f>IF(data[[#This Row],[Actual Delivery Days]]&gt;AD382,"Yes","No")</f>
        <v>Yes</v>
      </c>
    </row>
    <row r="382" spans="1:26">
      <c r="A382" s="17">
        <v>10674</v>
      </c>
      <c r="B382" s="17">
        <v>2</v>
      </c>
      <c r="C382" s="17">
        <v>5</v>
      </c>
      <c r="D382" s="17" t="s">
        <v>281</v>
      </c>
      <c r="E382" s="17" t="s">
        <v>473</v>
      </c>
      <c r="F382" s="17" t="str">
        <f>TEXT(data[[#This Row],[ShipDate]],"yyyy - mmmm")</f>
        <v>2016 - June</v>
      </c>
      <c r="G382" s="17" t="str">
        <f>data[[#This Row],[OriginCity]] &amp; " - "  &amp; data[[#This Row],[DestinationCity]]</f>
        <v>Monon - Lansing</v>
      </c>
      <c r="H382" s="17" t="s">
        <v>53</v>
      </c>
      <c r="I382" s="17" t="s">
        <v>44</v>
      </c>
      <c r="J382" s="17">
        <v>7</v>
      </c>
      <c r="K382" s="17" t="s">
        <v>66</v>
      </c>
      <c r="L382" s="17" t="s">
        <v>21</v>
      </c>
      <c r="M382" s="17" t="s">
        <v>82</v>
      </c>
      <c r="N382" s="17">
        <v>965</v>
      </c>
      <c r="O382" s="17">
        <v>311</v>
      </c>
      <c r="P382" s="26">
        <f>(data[[#This Row],[LoadedMiles]]/data[[#This Row],[TotalMiles]])*100</f>
        <v>32.2279792746114</v>
      </c>
      <c r="Q382" s="25">
        <f>data[[#This Row],[ShippingCost]]/data[[#This Row],[TotalMiles]]</f>
        <v>7.9316062176165802</v>
      </c>
      <c r="R382" s="17">
        <v>7654</v>
      </c>
      <c r="S382" s="25">
        <f>data[[#This Row],[Revenue]]/data[[#This Row],[TotalMiles]]</f>
        <v>8.6186528497409327</v>
      </c>
      <c r="T382" s="26">
        <f>data[[#This Row],[Revenue]]-data[[#This Row],[ShippingCost]]</f>
        <v>663</v>
      </c>
      <c r="U382" s="17">
        <v>8317</v>
      </c>
      <c r="V382" s="17">
        <v>89</v>
      </c>
      <c r="W382" s="17" t="s">
        <v>68</v>
      </c>
      <c r="X382" s="17">
        <v>6</v>
      </c>
      <c r="Y382" s="17">
        <f>data[[#This Row],[DeliveryDate]]-data[[#This Row],[ShipDate]]</f>
        <v>-86</v>
      </c>
      <c r="Z382" s="17" t="str">
        <f>IF(data[[#This Row],[Actual Delivery Days]]&gt;AD383,"Yes","No")</f>
        <v>No</v>
      </c>
    </row>
    <row r="383" spans="1:26">
      <c r="A383" s="17">
        <v>10709</v>
      </c>
      <c r="B383" s="17">
        <v>1</v>
      </c>
      <c r="C383" s="17">
        <v>7</v>
      </c>
      <c r="D383" s="17" t="s">
        <v>346</v>
      </c>
      <c r="E383" s="17" t="s">
        <v>263</v>
      </c>
      <c r="F383" s="17" t="str">
        <f>TEXT(data[[#This Row],[ShipDate]],"yyyy - mmmm")</f>
        <v>2016 - January</v>
      </c>
      <c r="G383" s="17" t="str">
        <f>data[[#This Row],[OriginCity]] &amp; " - "  &amp; data[[#This Row],[DestinationCity]]</f>
        <v>Kalamazoo - Bangor</v>
      </c>
      <c r="H383" s="17" t="s">
        <v>71</v>
      </c>
      <c r="I383" s="17" t="s">
        <v>21</v>
      </c>
      <c r="J383" s="17">
        <v>7</v>
      </c>
      <c r="K383" s="17" t="s">
        <v>104</v>
      </c>
      <c r="L383" s="17" t="s">
        <v>21</v>
      </c>
      <c r="M383" s="17" t="s">
        <v>574</v>
      </c>
      <c r="N383" s="17">
        <v>319</v>
      </c>
      <c r="O383" s="17">
        <v>319</v>
      </c>
      <c r="P383" s="26">
        <f>(data[[#This Row],[LoadedMiles]]/data[[#This Row],[TotalMiles]])*100</f>
        <v>100</v>
      </c>
      <c r="Q383" s="25">
        <f>data[[#This Row],[ShippingCost]]/data[[#This Row],[TotalMiles]]</f>
        <v>4.9216300940438868</v>
      </c>
      <c r="R383" s="17">
        <v>1570</v>
      </c>
      <c r="S383" s="25">
        <f>data[[#This Row],[Revenue]]/data[[#This Row],[TotalMiles]]</f>
        <v>7.8620689655172411</v>
      </c>
      <c r="T383" s="26">
        <f>data[[#This Row],[Revenue]]-data[[#This Row],[ShippingCost]]</f>
        <v>938</v>
      </c>
      <c r="U383" s="17">
        <v>2508</v>
      </c>
      <c r="V383" s="17">
        <v>61</v>
      </c>
      <c r="W383" s="17" t="s">
        <v>68</v>
      </c>
      <c r="X383" s="17">
        <v>10</v>
      </c>
      <c r="Y383" s="17">
        <f>data[[#This Row],[DeliveryDate]]-data[[#This Row],[ShipDate]]</f>
        <v>7</v>
      </c>
      <c r="Z383" s="17" t="str">
        <f>IF(data[[#This Row],[Actual Delivery Days]]&gt;AD384,"Yes","No")</f>
        <v>Yes</v>
      </c>
    </row>
    <row r="384" spans="1:26">
      <c r="A384" s="17">
        <v>10712</v>
      </c>
      <c r="B384" s="17">
        <v>1</v>
      </c>
      <c r="C384" s="17">
        <v>8</v>
      </c>
      <c r="D384" s="17" t="s">
        <v>351</v>
      </c>
      <c r="E384" s="17" t="s">
        <v>324</v>
      </c>
      <c r="F384" s="17" t="str">
        <f>TEXT(data[[#This Row],[ShipDate]],"yyyy - mmmm")</f>
        <v>2016 - March</v>
      </c>
      <c r="G384" s="17" t="str">
        <f>data[[#This Row],[OriginCity]] &amp; " - "  &amp; data[[#This Row],[DestinationCity]]</f>
        <v>Milwaukee - Springfield</v>
      </c>
      <c r="H384" s="17" t="s">
        <v>28</v>
      </c>
      <c r="I384" s="17" t="s">
        <v>29</v>
      </c>
      <c r="J384" s="17">
        <v>7</v>
      </c>
      <c r="K384" s="17" t="s">
        <v>30</v>
      </c>
      <c r="L384" s="17" t="s">
        <v>31</v>
      </c>
      <c r="M384" s="17" t="s">
        <v>82</v>
      </c>
      <c r="N384" s="17">
        <v>1018</v>
      </c>
      <c r="O384" s="17">
        <v>484</v>
      </c>
      <c r="P384" s="26">
        <f>(data[[#This Row],[LoadedMiles]]/data[[#This Row],[TotalMiles]])*100</f>
        <v>47.544204322200393</v>
      </c>
      <c r="Q384" s="25">
        <f>data[[#This Row],[ShippingCost]]/data[[#This Row],[TotalMiles]]</f>
        <v>5.9322200392927309</v>
      </c>
      <c r="R384" s="17">
        <v>6039</v>
      </c>
      <c r="S384" s="25">
        <f>data[[#This Row],[Revenue]]/data[[#This Row],[TotalMiles]]</f>
        <v>6.4106090373280944</v>
      </c>
      <c r="T384" s="26">
        <f>data[[#This Row],[Revenue]]-data[[#This Row],[ShippingCost]]</f>
        <v>487</v>
      </c>
      <c r="U384" s="17">
        <v>6526</v>
      </c>
      <c r="V384" s="17">
        <v>73</v>
      </c>
      <c r="W384" s="17" t="s">
        <v>68</v>
      </c>
      <c r="X384" s="17">
        <v>3</v>
      </c>
      <c r="Y384" s="17">
        <f>data[[#This Row],[DeliveryDate]]-data[[#This Row],[ShipDate]]</f>
        <v>11</v>
      </c>
      <c r="Z384" s="17" t="str">
        <f>IF(data[[#This Row],[Actual Delivery Days]]&gt;AD385,"Yes","No")</f>
        <v>Yes</v>
      </c>
    </row>
    <row r="385" spans="1:26">
      <c r="A385" s="17">
        <v>10730</v>
      </c>
      <c r="B385" s="17">
        <v>1</v>
      </c>
      <c r="C385" s="17">
        <v>6</v>
      </c>
      <c r="D385" s="17" t="s">
        <v>383</v>
      </c>
      <c r="E385" s="17" t="s">
        <v>207</v>
      </c>
      <c r="F385" s="17" t="str">
        <f>TEXT(data[[#This Row],[ShipDate]],"yyyy - mmmm")</f>
        <v>2016 - March</v>
      </c>
      <c r="G385" s="17" t="str">
        <f>data[[#This Row],[OriginCity]] &amp; " - "  &amp; data[[#This Row],[DestinationCity]]</f>
        <v>Skokie - Chicago</v>
      </c>
      <c r="H385" s="17" t="s">
        <v>35</v>
      </c>
      <c r="I385" s="17" t="s">
        <v>31</v>
      </c>
      <c r="J385" s="17">
        <v>7</v>
      </c>
      <c r="K385" s="17" t="s">
        <v>39</v>
      </c>
      <c r="L385" s="17" t="s">
        <v>31</v>
      </c>
      <c r="M385" s="17" t="s">
        <v>82</v>
      </c>
      <c r="N385" s="17">
        <v>467</v>
      </c>
      <c r="O385" s="17">
        <v>363</v>
      </c>
      <c r="P385" s="26">
        <f>(data[[#This Row],[LoadedMiles]]/data[[#This Row],[TotalMiles]])*100</f>
        <v>77.730192719486084</v>
      </c>
      <c r="Q385" s="25">
        <f>data[[#This Row],[ShippingCost]]/data[[#This Row],[TotalMiles]]</f>
        <v>13.293361884368309</v>
      </c>
      <c r="R385" s="17">
        <v>6208</v>
      </c>
      <c r="S385" s="25">
        <f>data[[#This Row],[Revenue]]/data[[#This Row],[TotalMiles]]</f>
        <v>15.423982869379016</v>
      </c>
      <c r="T385" s="26">
        <f>data[[#This Row],[Revenue]]-data[[#This Row],[ShippingCost]]</f>
        <v>995</v>
      </c>
      <c r="U385" s="17">
        <v>7203</v>
      </c>
      <c r="V385" s="17">
        <v>88</v>
      </c>
      <c r="W385" s="17" t="s">
        <v>68</v>
      </c>
      <c r="X385" s="17">
        <v>10</v>
      </c>
      <c r="Y385" s="17">
        <f>data[[#This Row],[DeliveryDate]]-data[[#This Row],[ShipDate]]</f>
        <v>15</v>
      </c>
      <c r="Z385" s="17" t="str">
        <f>IF(data[[#This Row],[Actual Delivery Days]]&gt;AD386,"Yes","No")</f>
        <v>Yes</v>
      </c>
    </row>
    <row r="386" spans="1:26">
      <c r="A386" s="17">
        <v>10734</v>
      </c>
      <c r="B386" s="17">
        <v>2</v>
      </c>
      <c r="C386" s="17">
        <v>5</v>
      </c>
      <c r="D386" s="17" t="s">
        <v>392</v>
      </c>
      <c r="E386" s="17" t="s">
        <v>196</v>
      </c>
      <c r="F386" s="17" t="str">
        <f>TEXT(data[[#This Row],[ShipDate]],"yyyy - mmmm")</f>
        <v>2016 - May</v>
      </c>
      <c r="G386" s="17" t="str">
        <f>data[[#This Row],[OriginCity]] &amp; " - "  &amp; data[[#This Row],[DestinationCity]]</f>
        <v>Chicago - Rockford</v>
      </c>
      <c r="H386" s="17" t="s">
        <v>39</v>
      </c>
      <c r="I386" s="17" t="s">
        <v>31</v>
      </c>
      <c r="J386" s="17">
        <v>7</v>
      </c>
      <c r="K386" s="17" t="s">
        <v>40</v>
      </c>
      <c r="L386" s="17" t="s">
        <v>31</v>
      </c>
      <c r="M386" s="17" t="s">
        <v>197</v>
      </c>
      <c r="N386" s="17">
        <v>519</v>
      </c>
      <c r="O386" s="17">
        <v>427</v>
      </c>
      <c r="P386" s="26">
        <f>(data[[#This Row],[LoadedMiles]]/data[[#This Row],[TotalMiles]])*100</f>
        <v>82.273603082851636</v>
      </c>
      <c r="Q386" s="25">
        <f>data[[#This Row],[ShippingCost]]/data[[#This Row],[TotalMiles]]</f>
        <v>1.7822736030828517</v>
      </c>
      <c r="R386" s="17">
        <v>925</v>
      </c>
      <c r="S386" s="25">
        <f>data[[#This Row],[Revenue]]/data[[#This Row],[TotalMiles]]</f>
        <v>2.9691714836223508</v>
      </c>
      <c r="T386" s="26">
        <f>data[[#This Row],[Revenue]]-data[[#This Row],[ShippingCost]]</f>
        <v>616</v>
      </c>
      <c r="U386" s="17">
        <v>1541</v>
      </c>
      <c r="V386" s="17">
        <v>51</v>
      </c>
      <c r="W386" s="17" t="s">
        <v>68</v>
      </c>
      <c r="X386" s="17">
        <v>10</v>
      </c>
      <c r="Y386" s="17">
        <f>data[[#This Row],[DeliveryDate]]-data[[#This Row],[ShipDate]]</f>
        <v>4</v>
      </c>
      <c r="Z386" s="17" t="str">
        <f>IF(data[[#This Row],[Actual Delivery Days]]&gt;AD387,"Yes","No")</f>
        <v>Yes</v>
      </c>
    </row>
    <row r="387" spans="1:26">
      <c r="A387" s="17">
        <v>10760</v>
      </c>
      <c r="B387" s="17">
        <v>2</v>
      </c>
      <c r="C387" s="17">
        <v>8</v>
      </c>
      <c r="D387" s="17" t="s">
        <v>441</v>
      </c>
      <c r="E387" s="17" t="s">
        <v>537</v>
      </c>
      <c r="F387" s="17" t="str">
        <f>TEXT(data[[#This Row],[ShipDate]],"yyyy - mmmm")</f>
        <v>2016 - June</v>
      </c>
      <c r="G387" s="17" t="str">
        <f>data[[#This Row],[OriginCity]] &amp; " - "  &amp; data[[#This Row],[DestinationCity]]</f>
        <v>Madison - Kalamazoo</v>
      </c>
      <c r="H387" s="17" t="s">
        <v>62</v>
      </c>
      <c r="I387" s="17" t="s">
        <v>29</v>
      </c>
      <c r="J387" s="17">
        <v>7</v>
      </c>
      <c r="K387" s="17" t="s">
        <v>71</v>
      </c>
      <c r="L387" s="17" t="s">
        <v>21</v>
      </c>
      <c r="M387" s="17" t="s">
        <v>498</v>
      </c>
      <c r="N387" s="17">
        <v>265</v>
      </c>
      <c r="O387" s="17">
        <v>265</v>
      </c>
      <c r="P387" s="26">
        <f>(data[[#This Row],[LoadedMiles]]/data[[#This Row],[TotalMiles]])*100</f>
        <v>100</v>
      </c>
      <c r="Q387" s="25">
        <f>data[[#This Row],[ShippingCost]]/data[[#This Row],[TotalMiles]]</f>
        <v>8.6981132075471699</v>
      </c>
      <c r="R387" s="17">
        <v>2305</v>
      </c>
      <c r="S387" s="25">
        <f>data[[#This Row],[Revenue]]/data[[#This Row],[TotalMiles]]</f>
        <v>12.158490566037736</v>
      </c>
      <c r="T387" s="26">
        <f>data[[#This Row],[Revenue]]-data[[#This Row],[ShippingCost]]</f>
        <v>917</v>
      </c>
      <c r="U387" s="17">
        <v>3222</v>
      </c>
      <c r="V387" s="17">
        <v>71</v>
      </c>
      <c r="W387" s="17" t="s">
        <v>68</v>
      </c>
      <c r="X387" s="17">
        <v>9</v>
      </c>
      <c r="Y387" s="17">
        <f>data[[#This Row],[DeliveryDate]]-data[[#This Row],[ShipDate]]</f>
        <v>7</v>
      </c>
      <c r="Z387" s="17" t="str">
        <f>IF(data[[#This Row],[Actual Delivery Days]]&gt;AD388,"Yes","No")</f>
        <v>Yes</v>
      </c>
    </row>
    <row r="388" spans="1:26">
      <c r="A388" s="17">
        <v>10762</v>
      </c>
      <c r="B388" s="17">
        <v>1</v>
      </c>
      <c r="C388" s="17">
        <v>8</v>
      </c>
      <c r="D388" s="17" t="s">
        <v>443</v>
      </c>
      <c r="E388" s="17" t="s">
        <v>263</v>
      </c>
      <c r="F388" s="17" t="str">
        <f>TEXT(data[[#This Row],[ShipDate]],"yyyy - mmmm")</f>
        <v>2016 - January</v>
      </c>
      <c r="G388" s="17" t="str">
        <f>data[[#This Row],[OriginCity]] &amp; " - "  &amp; data[[#This Row],[DestinationCity]]</f>
        <v>Naperville - Indianapolis</v>
      </c>
      <c r="H388" s="17" t="s">
        <v>48</v>
      </c>
      <c r="I388" s="17" t="s">
        <v>31</v>
      </c>
      <c r="J388" s="17">
        <v>7</v>
      </c>
      <c r="K388" s="17" t="s">
        <v>43</v>
      </c>
      <c r="L388" s="17" t="s">
        <v>44</v>
      </c>
      <c r="M388" s="17" t="s">
        <v>574</v>
      </c>
      <c r="N388" s="17">
        <v>842</v>
      </c>
      <c r="O388" s="17">
        <v>455</v>
      </c>
      <c r="P388" s="26">
        <f>(data[[#This Row],[LoadedMiles]]/data[[#This Row],[TotalMiles]])*100</f>
        <v>54.038004750593828</v>
      </c>
      <c r="Q388" s="25">
        <f>data[[#This Row],[ShippingCost]]/data[[#This Row],[TotalMiles]]</f>
        <v>6.8182897862232776</v>
      </c>
      <c r="R388" s="17">
        <v>5741</v>
      </c>
      <c r="S388" s="25">
        <f>data[[#This Row],[Revenue]]/data[[#This Row],[TotalMiles]]</f>
        <v>7.8586698337292162</v>
      </c>
      <c r="T388" s="26">
        <f>data[[#This Row],[Revenue]]-data[[#This Row],[ShippingCost]]</f>
        <v>876</v>
      </c>
      <c r="U388" s="17">
        <v>6617</v>
      </c>
      <c r="V388" s="17">
        <v>61</v>
      </c>
      <c r="W388" s="17" t="s">
        <v>68</v>
      </c>
      <c r="X388" s="17">
        <v>4</v>
      </c>
      <c r="Y388" s="17">
        <f>data[[#This Row],[DeliveryDate]]-data[[#This Row],[ShipDate]]</f>
        <v>7</v>
      </c>
      <c r="Z388" s="17" t="str">
        <f>IF(data[[#This Row],[Actual Delivery Days]]&gt;AD389,"Yes","No")</f>
        <v>Yes</v>
      </c>
    </row>
    <row r="389" spans="1:26">
      <c r="A389" s="17">
        <v>10787</v>
      </c>
      <c r="B389" s="17">
        <v>2</v>
      </c>
      <c r="C389" s="17">
        <v>7</v>
      </c>
      <c r="D389" s="17" t="s">
        <v>481</v>
      </c>
      <c r="E389" s="17" t="s">
        <v>274</v>
      </c>
      <c r="F389" s="17" t="str">
        <f>TEXT(data[[#This Row],[ShipDate]],"yyyy - mmmm")</f>
        <v>2016 - March</v>
      </c>
      <c r="G389" s="17" t="str">
        <f>data[[#This Row],[OriginCity]] &amp; " - "  &amp; data[[#This Row],[DestinationCity]]</f>
        <v>Appleton - Grand Rapids</v>
      </c>
      <c r="H389" s="17" t="s">
        <v>85</v>
      </c>
      <c r="I389" s="17" t="s">
        <v>29</v>
      </c>
      <c r="J389" s="17">
        <v>7</v>
      </c>
      <c r="K389" s="17" t="s">
        <v>20</v>
      </c>
      <c r="L389" s="17" t="s">
        <v>21</v>
      </c>
      <c r="M389" s="17" t="s">
        <v>130</v>
      </c>
      <c r="N389" s="17">
        <v>833</v>
      </c>
      <c r="O389" s="17">
        <v>620</v>
      </c>
      <c r="P389" s="26">
        <f>(data[[#This Row],[LoadedMiles]]/data[[#This Row],[TotalMiles]])*100</f>
        <v>74.429771908763513</v>
      </c>
      <c r="Q389" s="25">
        <f>data[[#This Row],[ShippingCost]]/data[[#This Row],[TotalMiles]]</f>
        <v>9.2232893157262907</v>
      </c>
      <c r="R389" s="17">
        <v>7683</v>
      </c>
      <c r="S389" s="25">
        <f>data[[#This Row],[Revenue]]/data[[#This Row],[TotalMiles]]</f>
        <v>9.7286914765906367</v>
      </c>
      <c r="T389" s="26">
        <f>data[[#This Row],[Revenue]]-data[[#This Row],[ShippingCost]]</f>
        <v>421</v>
      </c>
      <c r="U389" s="17">
        <v>8104</v>
      </c>
      <c r="V389" s="17">
        <v>69</v>
      </c>
      <c r="W389" s="17" t="s">
        <v>68</v>
      </c>
      <c r="X389" s="17">
        <v>1</v>
      </c>
      <c r="Y389" s="17">
        <f>data[[#This Row],[DeliveryDate]]-data[[#This Row],[ShipDate]]</f>
        <v>6</v>
      </c>
      <c r="Z389" s="17" t="str">
        <f>IF(data[[#This Row],[Actual Delivery Days]]&gt;AD390,"Yes","No")</f>
        <v>Yes</v>
      </c>
    </row>
    <row r="390" spans="1:26">
      <c r="A390" s="17">
        <v>10796</v>
      </c>
      <c r="B390" s="17">
        <v>1</v>
      </c>
      <c r="C390" s="17">
        <v>5</v>
      </c>
      <c r="D390" s="17" t="s">
        <v>493</v>
      </c>
      <c r="E390" s="17" t="s">
        <v>492</v>
      </c>
      <c r="F390" s="17" t="str">
        <f>TEXT(data[[#This Row],[ShipDate]],"yyyy - mmmm")</f>
        <v>2016 - July</v>
      </c>
      <c r="G390" s="17" t="str">
        <f>data[[#This Row],[OriginCity]] &amp; " - "  &amp; data[[#This Row],[DestinationCity]]</f>
        <v>Milwaukee - Springfield</v>
      </c>
      <c r="H390" s="17" t="s">
        <v>28</v>
      </c>
      <c r="I390" s="17" t="s">
        <v>29</v>
      </c>
      <c r="J390" s="17">
        <v>7</v>
      </c>
      <c r="K390" s="17" t="s">
        <v>30</v>
      </c>
      <c r="L390" s="17" t="s">
        <v>31</v>
      </c>
      <c r="M390" s="17" t="s">
        <v>184</v>
      </c>
      <c r="N390" s="17">
        <v>202</v>
      </c>
      <c r="O390" s="17">
        <v>202</v>
      </c>
      <c r="P390" s="26">
        <f>(data[[#This Row],[LoadedMiles]]/data[[#This Row],[TotalMiles]])*100</f>
        <v>100</v>
      </c>
      <c r="Q390" s="25">
        <f>data[[#This Row],[ShippingCost]]/data[[#This Row],[TotalMiles]]</f>
        <v>28.886138613861387</v>
      </c>
      <c r="R390" s="17">
        <v>5835</v>
      </c>
      <c r="S390" s="25">
        <f>data[[#This Row],[Revenue]]/data[[#This Row],[TotalMiles]]</f>
        <v>32.801980198019805</v>
      </c>
      <c r="T390" s="26">
        <f>data[[#This Row],[Revenue]]-data[[#This Row],[ShippingCost]]</f>
        <v>791</v>
      </c>
      <c r="U390" s="17">
        <v>6626</v>
      </c>
      <c r="V390" s="17">
        <v>88</v>
      </c>
      <c r="W390" s="17" t="s">
        <v>68</v>
      </c>
      <c r="X390" s="17">
        <v>6</v>
      </c>
      <c r="Y390" s="17">
        <f>data[[#This Row],[DeliveryDate]]-data[[#This Row],[ShipDate]]</f>
        <v>7</v>
      </c>
      <c r="Z390" s="17" t="str">
        <f>IF(data[[#This Row],[Actual Delivery Days]]&gt;AD391,"Yes","No")</f>
        <v>Yes</v>
      </c>
    </row>
    <row r="391" spans="1:26">
      <c r="A391" s="17">
        <v>10800</v>
      </c>
      <c r="B391" s="17">
        <v>1</v>
      </c>
      <c r="C391" s="17">
        <v>4</v>
      </c>
      <c r="D391" s="17" t="s">
        <v>497</v>
      </c>
      <c r="E391" s="17" t="s">
        <v>227</v>
      </c>
      <c r="F391" s="17" t="str">
        <f>TEXT(data[[#This Row],[ShipDate]],"yyyy - mmmm")</f>
        <v>2016 - May</v>
      </c>
      <c r="G391" s="17" t="str">
        <f>data[[#This Row],[OriginCity]] &amp; " - "  &amp; data[[#This Row],[DestinationCity]]</f>
        <v>Northbrook - Naperville</v>
      </c>
      <c r="H391" s="17" t="s">
        <v>45</v>
      </c>
      <c r="I391" s="17" t="s">
        <v>31</v>
      </c>
      <c r="J391" s="17">
        <v>7</v>
      </c>
      <c r="K391" s="17" t="s">
        <v>48</v>
      </c>
      <c r="L391" s="17" t="s">
        <v>31</v>
      </c>
      <c r="M391" s="17" t="s">
        <v>82</v>
      </c>
      <c r="N391" s="17">
        <v>1145</v>
      </c>
      <c r="O391" s="17">
        <v>238</v>
      </c>
      <c r="P391" s="26">
        <f>(data[[#This Row],[LoadedMiles]]/data[[#This Row],[TotalMiles]])*100</f>
        <v>20.786026200873362</v>
      </c>
      <c r="Q391" s="25">
        <f>data[[#This Row],[ShippingCost]]/data[[#This Row],[TotalMiles]]</f>
        <v>5.6855895196506552</v>
      </c>
      <c r="R391" s="17">
        <v>6510</v>
      </c>
      <c r="S391" s="25">
        <f>data[[#This Row],[Revenue]]/data[[#This Row],[TotalMiles]]</f>
        <v>4.2122270742358081</v>
      </c>
      <c r="T391" s="26">
        <f>data[[#This Row],[Revenue]]-data[[#This Row],[ShippingCost]]</f>
        <v>-1687</v>
      </c>
      <c r="U391" s="17">
        <v>4823</v>
      </c>
      <c r="V391" s="17">
        <v>57</v>
      </c>
      <c r="W391" s="17" t="s">
        <v>68</v>
      </c>
      <c r="X391" s="17">
        <v>1</v>
      </c>
      <c r="Y391" s="17">
        <f>data[[#This Row],[DeliveryDate]]-data[[#This Row],[ShipDate]]</f>
        <v>-48</v>
      </c>
      <c r="Z391" s="17" t="str">
        <f>IF(data[[#This Row],[Actual Delivery Days]]&gt;AD392,"Yes","No")</f>
        <v>No</v>
      </c>
    </row>
    <row r="392" spans="1:26">
      <c r="A392" s="17">
        <v>10822</v>
      </c>
      <c r="B392" s="17">
        <v>1</v>
      </c>
      <c r="C392" s="17">
        <v>4</v>
      </c>
      <c r="D392" s="17" t="s">
        <v>529</v>
      </c>
      <c r="E392" s="17" t="s">
        <v>114</v>
      </c>
      <c r="F392" s="17" t="str">
        <f>TEXT(data[[#This Row],[ShipDate]],"yyyy - mmmm")</f>
        <v>2016 - April</v>
      </c>
      <c r="G392" s="17" t="str">
        <f>data[[#This Row],[OriginCity]] &amp; " - "  &amp; data[[#This Row],[DestinationCity]]</f>
        <v>Gary - Milwaukee</v>
      </c>
      <c r="H392" s="17" t="s">
        <v>57</v>
      </c>
      <c r="I392" s="17" t="s">
        <v>44</v>
      </c>
      <c r="J392" s="17">
        <v>7</v>
      </c>
      <c r="K392" s="17" t="s">
        <v>28</v>
      </c>
      <c r="L392" s="17" t="s">
        <v>29</v>
      </c>
      <c r="M392" s="17" t="s">
        <v>285</v>
      </c>
      <c r="N392" s="17">
        <v>916</v>
      </c>
      <c r="O392" s="17">
        <v>302</v>
      </c>
      <c r="P392" s="26">
        <f>(data[[#This Row],[LoadedMiles]]/data[[#This Row],[TotalMiles]])*100</f>
        <v>32.969432314410483</v>
      </c>
      <c r="Q392" s="25">
        <f>data[[#This Row],[ShippingCost]]/data[[#This Row],[TotalMiles]]</f>
        <v>3.5840611353711789</v>
      </c>
      <c r="R392" s="17">
        <v>3283</v>
      </c>
      <c r="S392" s="25">
        <f>data[[#This Row],[Revenue]]/data[[#This Row],[TotalMiles]]</f>
        <v>1.8646288209606987</v>
      </c>
      <c r="T392" s="26">
        <f>data[[#This Row],[Revenue]]-data[[#This Row],[ShippingCost]]</f>
        <v>-1575</v>
      </c>
      <c r="U392" s="17">
        <v>1708</v>
      </c>
      <c r="V392" s="17">
        <v>63</v>
      </c>
      <c r="W392" s="17" t="s">
        <v>68</v>
      </c>
      <c r="X392" s="17">
        <v>8</v>
      </c>
      <c r="Y392" s="17">
        <f>data[[#This Row],[DeliveryDate]]-data[[#This Row],[ShipDate]]</f>
        <v>4</v>
      </c>
      <c r="Z392" s="17" t="str">
        <f>IF(data[[#This Row],[Actual Delivery Days]]&gt;AD393,"Yes","No")</f>
        <v>Yes</v>
      </c>
    </row>
    <row r="393" spans="1:26">
      <c r="A393" s="17">
        <v>10872</v>
      </c>
      <c r="B393" s="17">
        <v>1</v>
      </c>
      <c r="C393" s="17">
        <v>4</v>
      </c>
      <c r="D393" s="17" t="s">
        <v>591</v>
      </c>
      <c r="E393" s="17" t="s">
        <v>141</v>
      </c>
      <c r="F393" s="17" t="str">
        <f>TEXT(data[[#This Row],[ShipDate]],"yyyy - mmmm")</f>
        <v>2016 - August</v>
      </c>
      <c r="G393" s="17" t="str">
        <f>data[[#This Row],[OriginCity]] &amp; " - "  &amp; data[[#This Row],[DestinationCity]]</f>
        <v>Madison - Kalamazoo</v>
      </c>
      <c r="H393" s="17" t="s">
        <v>62</v>
      </c>
      <c r="I393" s="17" t="s">
        <v>29</v>
      </c>
      <c r="J393" s="17">
        <v>7</v>
      </c>
      <c r="K393" s="17" t="s">
        <v>71</v>
      </c>
      <c r="L393" s="17" t="s">
        <v>21</v>
      </c>
      <c r="M393" s="17" t="s">
        <v>142</v>
      </c>
      <c r="N393" s="17">
        <v>238</v>
      </c>
      <c r="O393" s="17">
        <v>238</v>
      </c>
      <c r="P393" s="26">
        <f>(data[[#This Row],[LoadedMiles]]/data[[#This Row],[TotalMiles]])*100</f>
        <v>100</v>
      </c>
      <c r="Q393" s="25">
        <f>data[[#This Row],[ShippingCost]]/data[[#This Row],[TotalMiles]]</f>
        <v>22.218487394957982</v>
      </c>
      <c r="R393" s="17">
        <v>5288</v>
      </c>
      <c r="S393" s="25">
        <f>data[[#This Row],[Revenue]]/data[[#This Row],[TotalMiles]]</f>
        <v>14.550420168067227</v>
      </c>
      <c r="T393" s="26">
        <f>data[[#This Row],[Revenue]]-data[[#This Row],[ShippingCost]]</f>
        <v>-1825</v>
      </c>
      <c r="U393" s="17">
        <v>3463</v>
      </c>
      <c r="V393" s="17">
        <v>68</v>
      </c>
      <c r="W393" s="17" t="s">
        <v>68</v>
      </c>
      <c r="X393" s="17">
        <v>10</v>
      </c>
      <c r="Y393" s="17">
        <f>data[[#This Row],[DeliveryDate]]-data[[#This Row],[ShipDate]]</f>
        <v>7</v>
      </c>
      <c r="Z393" s="17" t="str">
        <f>IF(data[[#This Row],[Actual Delivery Days]]&gt;AD394,"Yes","No")</f>
        <v>Yes</v>
      </c>
    </row>
    <row r="394" spans="1:26">
      <c r="A394" s="17">
        <v>10873</v>
      </c>
      <c r="B394" s="17">
        <v>1</v>
      </c>
      <c r="C394" s="17">
        <v>3</v>
      </c>
      <c r="D394" s="17" t="s">
        <v>592</v>
      </c>
      <c r="E394" s="17" t="s">
        <v>163</v>
      </c>
      <c r="F394" s="17" t="str">
        <f>TEXT(data[[#This Row],[ShipDate]],"yyyy - mmmm")</f>
        <v>2016 - February</v>
      </c>
      <c r="G394" s="17" t="str">
        <f>data[[#This Row],[OriginCity]] &amp; " - "  &amp; data[[#This Row],[DestinationCity]]</f>
        <v>Green Bay - Joliet</v>
      </c>
      <c r="H394" s="17" t="s">
        <v>75</v>
      </c>
      <c r="I394" s="17" t="s">
        <v>29</v>
      </c>
      <c r="J394" s="17">
        <v>7</v>
      </c>
      <c r="K394" s="17" t="s">
        <v>61</v>
      </c>
      <c r="L394" s="17" t="s">
        <v>31</v>
      </c>
      <c r="M394" s="17" t="s">
        <v>291</v>
      </c>
      <c r="N394" s="17">
        <v>864</v>
      </c>
      <c r="O394" s="17">
        <v>784</v>
      </c>
      <c r="P394" s="26">
        <f>(data[[#This Row],[LoadedMiles]]/data[[#This Row],[TotalMiles]])*100</f>
        <v>90.740740740740748</v>
      </c>
      <c r="Q394" s="25">
        <f>data[[#This Row],[ShippingCost]]/data[[#This Row],[TotalMiles]]</f>
        <v>8.7893518518518512</v>
      </c>
      <c r="R394" s="17">
        <v>7594</v>
      </c>
      <c r="S394" s="25">
        <f>data[[#This Row],[Revenue]]/data[[#This Row],[TotalMiles]]</f>
        <v>9.075231481481481</v>
      </c>
      <c r="T394" s="26">
        <f>data[[#This Row],[Revenue]]-data[[#This Row],[ShippingCost]]</f>
        <v>247</v>
      </c>
      <c r="U394" s="17">
        <v>7841</v>
      </c>
      <c r="V394" s="17">
        <v>98</v>
      </c>
      <c r="W394" s="17" t="s">
        <v>68</v>
      </c>
      <c r="X394" s="17">
        <v>9</v>
      </c>
      <c r="Y394" s="17">
        <f>data[[#This Row],[DeliveryDate]]-data[[#This Row],[ShipDate]]</f>
        <v>7</v>
      </c>
      <c r="Z394" s="17" t="str">
        <f>IF(data[[#This Row],[Actual Delivery Days]]&gt;AD395,"Yes","No")</f>
        <v>Yes</v>
      </c>
    </row>
    <row r="395" spans="1:26">
      <c r="A395" s="17">
        <v>10893</v>
      </c>
      <c r="B395" s="17">
        <v>2</v>
      </c>
      <c r="C395" s="17">
        <v>4</v>
      </c>
      <c r="D395" s="17" t="s">
        <v>64</v>
      </c>
      <c r="E395" s="17" t="s">
        <v>413</v>
      </c>
      <c r="F395" s="17" t="str">
        <f>TEXT(data[[#This Row],[ShipDate]],"yyyy - mmmm")</f>
        <v>2016 - April</v>
      </c>
      <c r="G395" s="17" t="str">
        <f>data[[#This Row],[OriginCity]] &amp; " - "  &amp; data[[#This Row],[DestinationCity]]</f>
        <v>Monon - Lansing</v>
      </c>
      <c r="H395" s="17" t="s">
        <v>53</v>
      </c>
      <c r="I395" s="17" t="s">
        <v>44</v>
      </c>
      <c r="J395" s="17">
        <v>7</v>
      </c>
      <c r="K395" s="17" t="s">
        <v>66</v>
      </c>
      <c r="L395" s="17" t="s">
        <v>21</v>
      </c>
      <c r="M395" s="17" t="s">
        <v>82</v>
      </c>
      <c r="N395" s="17">
        <v>655</v>
      </c>
      <c r="O395" s="17">
        <v>438</v>
      </c>
      <c r="P395" s="26">
        <f>(data[[#This Row],[LoadedMiles]]/data[[#This Row],[TotalMiles]])*100</f>
        <v>66.870229007633583</v>
      </c>
      <c r="Q395" s="25">
        <f>data[[#This Row],[ShippingCost]]/data[[#This Row],[TotalMiles]]</f>
        <v>3.5816793893129772</v>
      </c>
      <c r="R395" s="17">
        <v>2346</v>
      </c>
      <c r="S395" s="25">
        <f>data[[#This Row],[Revenue]]/data[[#This Row],[TotalMiles]]</f>
        <v>0.41832061068702292</v>
      </c>
      <c r="T395" s="26">
        <f>data[[#This Row],[Revenue]]-data[[#This Row],[ShippingCost]]</f>
        <v>-2072</v>
      </c>
      <c r="U395" s="17">
        <v>274</v>
      </c>
      <c r="V395" s="17">
        <v>58</v>
      </c>
      <c r="W395" s="17" t="s">
        <v>68</v>
      </c>
      <c r="X395" s="17">
        <v>5</v>
      </c>
      <c r="Y395" s="17">
        <f>data[[#This Row],[DeliveryDate]]-data[[#This Row],[ShipDate]]</f>
        <v>-31</v>
      </c>
      <c r="Z395" s="17" t="str">
        <f>IF(data[[#This Row],[Actual Delivery Days]]&gt;AD396,"Yes","No")</f>
        <v>No</v>
      </c>
    </row>
    <row r="396" spans="1:26">
      <c r="A396" s="17">
        <v>10946</v>
      </c>
      <c r="B396" s="17">
        <v>2</v>
      </c>
      <c r="C396" s="17">
        <v>5</v>
      </c>
      <c r="D396" s="17" t="s">
        <v>220</v>
      </c>
      <c r="E396" s="17" t="s">
        <v>116</v>
      </c>
      <c r="F396" s="17" t="str">
        <f>TEXT(data[[#This Row],[ShipDate]],"yyyy - mmmm")</f>
        <v>2016 - July</v>
      </c>
      <c r="G396" s="17" t="str">
        <f>data[[#This Row],[OriginCity]] &amp; " - "  &amp; data[[#This Row],[DestinationCity]]</f>
        <v>Lansing - Dayton</v>
      </c>
      <c r="H396" s="17" t="s">
        <v>66</v>
      </c>
      <c r="I396" s="17" t="s">
        <v>21</v>
      </c>
      <c r="J396" s="17">
        <v>7</v>
      </c>
      <c r="K396" s="17" t="s">
        <v>93</v>
      </c>
      <c r="L396" s="17" t="s">
        <v>23</v>
      </c>
      <c r="M396" s="17" t="s">
        <v>540</v>
      </c>
      <c r="N396" s="17">
        <v>856</v>
      </c>
      <c r="O396" s="17">
        <v>791</v>
      </c>
      <c r="P396" s="26">
        <f>(data[[#This Row],[LoadedMiles]]/data[[#This Row],[TotalMiles]])*100</f>
        <v>92.40654205607477</v>
      </c>
      <c r="Q396" s="25">
        <f>data[[#This Row],[ShippingCost]]/data[[#This Row],[TotalMiles]]</f>
        <v>0.88901869158878499</v>
      </c>
      <c r="R396" s="17">
        <v>761</v>
      </c>
      <c r="S396" s="25">
        <f>data[[#This Row],[Revenue]]/data[[#This Row],[TotalMiles]]</f>
        <v>1.5630841121495327</v>
      </c>
      <c r="T396" s="26">
        <f>data[[#This Row],[Revenue]]-data[[#This Row],[ShippingCost]]</f>
        <v>577</v>
      </c>
      <c r="U396" s="17">
        <v>1338</v>
      </c>
      <c r="V396" s="17">
        <v>90</v>
      </c>
      <c r="W396" s="17" t="s">
        <v>68</v>
      </c>
      <c r="X396" s="17">
        <v>7</v>
      </c>
      <c r="Y396" s="17">
        <f>data[[#This Row],[DeliveryDate]]-data[[#This Row],[ShipDate]]</f>
        <v>7</v>
      </c>
      <c r="Z396" s="17" t="str">
        <f>IF(data[[#This Row],[Actual Delivery Days]]&gt;AD397,"Yes","No")</f>
        <v>Yes</v>
      </c>
    </row>
    <row r="397" spans="1:26">
      <c r="A397" s="17">
        <v>10947</v>
      </c>
      <c r="B397" s="17">
        <v>2</v>
      </c>
      <c r="C397" s="17">
        <v>3</v>
      </c>
      <c r="D397" s="17" t="s">
        <v>225</v>
      </c>
      <c r="E397" s="17" t="s">
        <v>301</v>
      </c>
      <c r="F397" s="17" t="str">
        <f>TEXT(data[[#This Row],[ShipDate]],"yyyy - mmmm")</f>
        <v>2016 - August</v>
      </c>
      <c r="G397" s="17" t="str">
        <f>data[[#This Row],[OriginCity]] &amp; " - "  &amp; data[[#This Row],[DestinationCity]]</f>
        <v>Elgin - Cincinnati</v>
      </c>
      <c r="H397" s="17" t="s">
        <v>94</v>
      </c>
      <c r="I397" s="17" t="s">
        <v>31</v>
      </c>
      <c r="J397" s="17">
        <v>7</v>
      </c>
      <c r="K397" s="17" t="s">
        <v>89</v>
      </c>
      <c r="L397" s="17" t="s">
        <v>23</v>
      </c>
      <c r="M397" s="17" t="s">
        <v>119</v>
      </c>
      <c r="N397" s="17">
        <v>543</v>
      </c>
      <c r="O397" s="17">
        <v>543</v>
      </c>
      <c r="P397" s="26">
        <f>(data[[#This Row],[LoadedMiles]]/data[[#This Row],[TotalMiles]])*100</f>
        <v>100</v>
      </c>
      <c r="Q397" s="25">
        <f>data[[#This Row],[ShippingCost]]/data[[#This Row],[TotalMiles]]</f>
        <v>3.9226519337016574</v>
      </c>
      <c r="R397" s="17">
        <v>2130</v>
      </c>
      <c r="S397" s="25">
        <f>data[[#This Row],[Revenue]]/data[[#This Row],[TotalMiles]]</f>
        <v>5.040515653775322</v>
      </c>
      <c r="T397" s="26">
        <f>data[[#This Row],[Revenue]]-data[[#This Row],[ShippingCost]]</f>
        <v>607</v>
      </c>
      <c r="U397" s="17">
        <v>2737</v>
      </c>
      <c r="V397" s="17">
        <v>75</v>
      </c>
      <c r="W397" s="17" t="s">
        <v>68</v>
      </c>
      <c r="X397" s="17">
        <v>3</v>
      </c>
      <c r="Y397" s="17">
        <f>data[[#This Row],[DeliveryDate]]-data[[#This Row],[ShipDate]]</f>
        <v>7</v>
      </c>
      <c r="Z397" s="17" t="str">
        <f>IF(data[[#This Row],[Actual Delivery Days]]&gt;AD398,"Yes","No")</f>
        <v>Yes</v>
      </c>
    </row>
    <row r="398" spans="1:26">
      <c r="A398" s="17">
        <v>10979</v>
      </c>
      <c r="B398" s="17">
        <v>2</v>
      </c>
      <c r="C398" s="17">
        <v>1</v>
      </c>
      <c r="D398" s="17" t="s">
        <v>300</v>
      </c>
      <c r="E398" s="17" t="s">
        <v>60</v>
      </c>
      <c r="F398" s="17" t="str">
        <f>TEXT(data[[#This Row],[ShipDate]],"yyyy - mmmm")</f>
        <v>2016 - July</v>
      </c>
      <c r="G398" s="17" t="str">
        <f>data[[#This Row],[OriginCity]] &amp; " - "  &amp; data[[#This Row],[DestinationCity]]</f>
        <v>Madison - Kalamazoo</v>
      </c>
      <c r="H398" s="17" t="s">
        <v>62</v>
      </c>
      <c r="I398" s="17" t="s">
        <v>29</v>
      </c>
      <c r="J398" s="17">
        <v>7</v>
      </c>
      <c r="K398" s="17" t="s">
        <v>71</v>
      </c>
      <c r="L398" s="17" t="s">
        <v>21</v>
      </c>
      <c r="M398" s="17" t="s">
        <v>386</v>
      </c>
      <c r="N398" s="17">
        <v>595</v>
      </c>
      <c r="O398" s="17">
        <v>595</v>
      </c>
      <c r="P398" s="26">
        <f>(data[[#This Row],[LoadedMiles]]/data[[#This Row],[TotalMiles]])*100</f>
        <v>100</v>
      </c>
      <c r="Q398" s="25">
        <f>data[[#This Row],[ShippingCost]]/data[[#This Row],[TotalMiles]]</f>
        <v>10.719327731092436</v>
      </c>
      <c r="R398" s="17">
        <v>6378</v>
      </c>
      <c r="S398" s="25">
        <f>data[[#This Row],[Revenue]]/data[[#This Row],[TotalMiles]]</f>
        <v>17.44705882352941</v>
      </c>
      <c r="T398" s="26">
        <f>data[[#This Row],[Revenue]]-data[[#This Row],[ShippingCost]]</f>
        <v>4003</v>
      </c>
      <c r="U398" s="17">
        <v>10381</v>
      </c>
      <c r="V398" s="17">
        <v>58</v>
      </c>
      <c r="W398" s="17" t="s">
        <v>68</v>
      </c>
      <c r="X398" s="17">
        <v>4</v>
      </c>
      <c r="Y398" s="17">
        <f>data[[#This Row],[DeliveryDate]]-data[[#This Row],[ShipDate]]</f>
        <v>7</v>
      </c>
      <c r="Z398" s="17" t="str">
        <f>IF(data[[#This Row],[Actual Delivery Days]]&gt;AD399,"Yes","No")</f>
        <v>Yes</v>
      </c>
    </row>
    <row r="399" spans="1:26">
      <c r="A399" s="17">
        <v>11088</v>
      </c>
      <c r="B399" s="17">
        <v>3</v>
      </c>
      <c r="C399" s="17">
        <v>2</v>
      </c>
      <c r="D399" s="17" t="s">
        <v>487</v>
      </c>
      <c r="E399" s="17" t="s">
        <v>293</v>
      </c>
      <c r="F399" s="17" t="str">
        <f>TEXT(data[[#This Row],[ShipDate]],"yyyy - mmmm")</f>
        <v>2016 - June</v>
      </c>
      <c r="G399" s="17" t="str">
        <f>data[[#This Row],[OriginCity]] &amp; " - "  &amp; data[[#This Row],[DestinationCity]]</f>
        <v>Naperville - Indianapolis</v>
      </c>
      <c r="H399" s="17" t="s">
        <v>48</v>
      </c>
      <c r="I399" s="17" t="s">
        <v>31</v>
      </c>
      <c r="J399" s="17">
        <v>7</v>
      </c>
      <c r="K399" s="17" t="s">
        <v>43</v>
      </c>
      <c r="L399" s="17" t="s">
        <v>44</v>
      </c>
      <c r="M399" s="17" t="s">
        <v>319</v>
      </c>
      <c r="N399" s="17">
        <v>726</v>
      </c>
      <c r="O399" s="17">
        <v>208</v>
      </c>
      <c r="P399" s="26">
        <f>(data[[#This Row],[LoadedMiles]]/data[[#This Row],[TotalMiles]])*100</f>
        <v>28.650137741046834</v>
      </c>
      <c r="Q399" s="25">
        <f>data[[#This Row],[ShippingCost]]/data[[#This Row],[TotalMiles]]</f>
        <v>5.1280991735537187</v>
      </c>
      <c r="R399" s="17">
        <v>3723</v>
      </c>
      <c r="S399" s="25">
        <f>data[[#This Row],[Revenue]]/data[[#This Row],[TotalMiles]]</f>
        <v>5.9035812672176311</v>
      </c>
      <c r="T399" s="26">
        <f>data[[#This Row],[Revenue]]-data[[#This Row],[ShippingCost]]</f>
        <v>563</v>
      </c>
      <c r="U399" s="17">
        <v>4286</v>
      </c>
      <c r="V399" s="17">
        <v>64</v>
      </c>
      <c r="W399" s="17" t="s">
        <v>68</v>
      </c>
      <c r="X399" s="17">
        <v>10</v>
      </c>
      <c r="Y399" s="17">
        <f>data[[#This Row],[DeliveryDate]]-data[[#This Row],[ShipDate]]</f>
        <v>7</v>
      </c>
      <c r="Z399" s="17" t="str">
        <f>IF(data[[#This Row],[Actual Delivery Days]]&gt;AD400,"Yes","No")</f>
        <v>Yes</v>
      </c>
    </row>
    <row r="400" spans="1:26">
      <c r="A400" s="17">
        <v>11089</v>
      </c>
      <c r="B400" s="17">
        <v>2</v>
      </c>
      <c r="C400" s="17">
        <v>1</v>
      </c>
      <c r="D400" s="17" t="s">
        <v>488</v>
      </c>
      <c r="E400" s="17" t="s">
        <v>204</v>
      </c>
      <c r="F400" s="17" t="str">
        <f>TEXT(data[[#This Row],[ShipDate]],"yyyy - mmmm")</f>
        <v>2016 - January</v>
      </c>
      <c r="G400" s="17" t="str">
        <f>data[[#This Row],[OriginCity]] &amp; " - "  &amp; data[[#This Row],[DestinationCity]]</f>
        <v>Rockford - Green Bay</v>
      </c>
      <c r="H400" s="17" t="s">
        <v>40</v>
      </c>
      <c r="I400" s="17" t="s">
        <v>31</v>
      </c>
      <c r="J400" s="17">
        <v>7</v>
      </c>
      <c r="K400" s="17" t="s">
        <v>75</v>
      </c>
      <c r="L400" s="17" t="s">
        <v>29</v>
      </c>
      <c r="M400" s="17" t="s">
        <v>82</v>
      </c>
      <c r="N400" s="17">
        <v>375</v>
      </c>
      <c r="O400" s="17">
        <v>375</v>
      </c>
      <c r="P400" s="26">
        <f>(data[[#This Row],[LoadedMiles]]/data[[#This Row],[TotalMiles]])*100</f>
        <v>100</v>
      </c>
      <c r="Q400" s="25">
        <f>data[[#This Row],[ShippingCost]]/data[[#This Row],[TotalMiles]]</f>
        <v>6.9786666666666664</v>
      </c>
      <c r="R400" s="17">
        <v>2617</v>
      </c>
      <c r="S400" s="25">
        <f>data[[#This Row],[Revenue]]/data[[#This Row],[TotalMiles]]</f>
        <v>21.536000000000001</v>
      </c>
      <c r="T400" s="26">
        <f>data[[#This Row],[Revenue]]-data[[#This Row],[ShippingCost]]</f>
        <v>5459</v>
      </c>
      <c r="U400" s="17">
        <v>8076</v>
      </c>
      <c r="V400" s="17">
        <v>60</v>
      </c>
      <c r="W400" s="17" t="s">
        <v>68</v>
      </c>
      <c r="X400" s="17">
        <v>2</v>
      </c>
      <c r="Y400" s="17">
        <f>data[[#This Row],[DeliveryDate]]-data[[#This Row],[ShipDate]]</f>
        <v>58</v>
      </c>
      <c r="Z400" s="17" t="str">
        <f>IF(data[[#This Row],[Actual Delivery Days]]&gt;AD401,"Yes","No")</f>
        <v>Yes</v>
      </c>
    </row>
    <row r="401" spans="1:26">
      <c r="A401" s="17">
        <v>11095</v>
      </c>
      <c r="B401" s="17">
        <v>2</v>
      </c>
      <c r="C401" s="17">
        <v>5</v>
      </c>
      <c r="D401" s="17" t="s">
        <v>495</v>
      </c>
      <c r="E401" s="17" t="s">
        <v>36</v>
      </c>
      <c r="F401" s="17" t="str">
        <f>TEXT(data[[#This Row],[ShipDate]],"yyyy - mmmm")</f>
        <v>2016 - August</v>
      </c>
      <c r="G401" s="17" t="str">
        <f>data[[#This Row],[OriginCity]] &amp; " - "  &amp; data[[#This Row],[DestinationCity]]</f>
        <v>Bangor - Davenport</v>
      </c>
      <c r="H401" s="17" t="s">
        <v>104</v>
      </c>
      <c r="I401" s="17" t="s">
        <v>21</v>
      </c>
      <c r="J401" s="17">
        <v>7</v>
      </c>
      <c r="K401" s="17" t="s">
        <v>105</v>
      </c>
      <c r="L401" s="17" t="s">
        <v>106</v>
      </c>
      <c r="M401" s="17" t="s">
        <v>188</v>
      </c>
      <c r="N401" s="17">
        <v>383</v>
      </c>
      <c r="O401" s="17">
        <v>383</v>
      </c>
      <c r="P401" s="26">
        <f>(data[[#This Row],[LoadedMiles]]/data[[#This Row],[TotalMiles]])*100</f>
        <v>100</v>
      </c>
      <c r="Q401" s="25">
        <f>data[[#This Row],[ShippingCost]]/data[[#This Row],[TotalMiles]]</f>
        <v>8.7206266318537864</v>
      </c>
      <c r="R401" s="17">
        <v>3340</v>
      </c>
      <c r="S401" s="25">
        <f>data[[#This Row],[Revenue]]/data[[#This Row],[TotalMiles]]</f>
        <v>9.3420365535248049</v>
      </c>
      <c r="T401" s="26">
        <f>data[[#This Row],[Revenue]]-data[[#This Row],[ShippingCost]]</f>
        <v>238</v>
      </c>
      <c r="U401" s="17">
        <v>3578</v>
      </c>
      <c r="V401" s="17">
        <v>53</v>
      </c>
      <c r="W401" s="17" t="s">
        <v>68</v>
      </c>
      <c r="X401" s="17">
        <v>5</v>
      </c>
      <c r="Y401" s="17">
        <f>data[[#This Row],[DeliveryDate]]-data[[#This Row],[ShipDate]]</f>
        <v>6</v>
      </c>
      <c r="Z401" s="17" t="str">
        <f>IF(data[[#This Row],[Actual Delivery Days]]&gt;AD402,"Yes","No")</f>
        <v>Yes</v>
      </c>
    </row>
    <row r="402" spans="1:26">
      <c r="A402" s="17">
        <v>11106</v>
      </c>
      <c r="B402" s="17">
        <v>2</v>
      </c>
      <c r="C402" s="17">
        <v>1</v>
      </c>
      <c r="D402" s="17" t="s">
        <v>510</v>
      </c>
      <c r="E402" s="17" t="s">
        <v>610</v>
      </c>
      <c r="F402" s="17" t="str">
        <f>TEXT(data[[#This Row],[ShipDate]],"yyyy - mmmm")</f>
        <v>2016 - June</v>
      </c>
      <c r="G402" s="17" t="str">
        <f>data[[#This Row],[OriginCity]] &amp; " - "  &amp; data[[#This Row],[DestinationCity]]</f>
        <v>Gary - Milwaukee</v>
      </c>
      <c r="H402" s="17" t="s">
        <v>57</v>
      </c>
      <c r="I402" s="17" t="s">
        <v>44</v>
      </c>
      <c r="J402" s="17">
        <v>7</v>
      </c>
      <c r="K402" s="17" t="s">
        <v>28</v>
      </c>
      <c r="L402" s="17" t="s">
        <v>29</v>
      </c>
      <c r="M402" s="17" t="s">
        <v>613</v>
      </c>
      <c r="N402" s="17">
        <v>1127</v>
      </c>
      <c r="O402" s="17">
        <v>223</v>
      </c>
      <c r="P402" s="26">
        <f>(data[[#This Row],[LoadedMiles]]/data[[#This Row],[TotalMiles]])*100</f>
        <v>19.787045252883761</v>
      </c>
      <c r="Q402" s="25">
        <f>data[[#This Row],[ShippingCost]]/data[[#This Row],[TotalMiles]]</f>
        <v>0.4764862466725821</v>
      </c>
      <c r="R402" s="17">
        <v>537</v>
      </c>
      <c r="S402" s="25">
        <f>data[[#This Row],[Revenue]]/data[[#This Row],[TotalMiles]]</f>
        <v>4.2990239574090507</v>
      </c>
      <c r="T402" s="26">
        <f>data[[#This Row],[Revenue]]-data[[#This Row],[ShippingCost]]</f>
        <v>4308</v>
      </c>
      <c r="U402" s="17">
        <v>4845</v>
      </c>
      <c r="V402" s="17">
        <v>54</v>
      </c>
      <c r="W402" s="17" t="s">
        <v>68</v>
      </c>
      <c r="X402" s="17">
        <v>9</v>
      </c>
      <c r="Y402" s="17">
        <f>data[[#This Row],[DeliveryDate]]-data[[#This Row],[ShipDate]]</f>
        <v>7</v>
      </c>
      <c r="Z402" s="17" t="str">
        <f>IF(data[[#This Row],[Actual Delivery Days]]&gt;AD403,"Yes","No")</f>
        <v>Yes</v>
      </c>
    </row>
    <row r="403" spans="1:26">
      <c r="A403" s="17">
        <v>11123</v>
      </c>
      <c r="B403" s="17">
        <v>2</v>
      </c>
      <c r="C403" s="17">
        <v>6</v>
      </c>
      <c r="D403" s="17" t="s">
        <v>534</v>
      </c>
      <c r="E403" s="17" t="s">
        <v>153</v>
      </c>
      <c r="F403" s="17" t="str">
        <f>TEXT(data[[#This Row],[ShipDate]],"yyyy - mmmm")</f>
        <v>2016 - February</v>
      </c>
      <c r="G403" s="17" t="str">
        <f>data[[#This Row],[OriginCity]] &amp; " - "  &amp; data[[#This Row],[DestinationCity]]</f>
        <v>Springfield - Skokie</v>
      </c>
      <c r="H403" s="17" t="s">
        <v>30</v>
      </c>
      <c r="I403" s="17" t="s">
        <v>31</v>
      </c>
      <c r="J403" s="17">
        <v>7</v>
      </c>
      <c r="K403" s="17" t="s">
        <v>35</v>
      </c>
      <c r="L403" s="17" t="s">
        <v>31</v>
      </c>
      <c r="M403" s="17" t="s">
        <v>310</v>
      </c>
      <c r="N403" s="17">
        <v>875</v>
      </c>
      <c r="O403" s="17">
        <v>518</v>
      </c>
      <c r="P403" s="26">
        <f>(data[[#This Row],[LoadedMiles]]/data[[#This Row],[TotalMiles]])*100</f>
        <v>59.199999999999996</v>
      </c>
      <c r="Q403" s="25">
        <f>data[[#This Row],[ShippingCost]]/data[[#This Row],[TotalMiles]]</f>
        <v>6.9211428571428568</v>
      </c>
      <c r="R403" s="17">
        <v>6056</v>
      </c>
      <c r="S403" s="25">
        <f>data[[#This Row],[Revenue]]/data[[#This Row],[TotalMiles]]</f>
        <v>7.2617142857142856</v>
      </c>
      <c r="T403" s="26">
        <f>data[[#This Row],[Revenue]]-data[[#This Row],[ShippingCost]]</f>
        <v>298</v>
      </c>
      <c r="U403" s="17">
        <v>6354</v>
      </c>
      <c r="V403" s="17">
        <v>84</v>
      </c>
      <c r="W403" s="17" t="s">
        <v>68</v>
      </c>
      <c r="X403" s="17">
        <v>6</v>
      </c>
      <c r="Y403" s="17">
        <f>data[[#This Row],[DeliveryDate]]-data[[#This Row],[ShipDate]]</f>
        <v>7</v>
      </c>
      <c r="Z403" s="17" t="str">
        <f>IF(data[[#This Row],[Actual Delivery Days]]&gt;AD404,"Yes","No")</f>
        <v>Yes</v>
      </c>
    </row>
    <row r="404" spans="1:26">
      <c r="A404" s="17">
        <v>11145</v>
      </c>
      <c r="B404" s="17">
        <v>2</v>
      </c>
      <c r="C404" s="17">
        <v>6</v>
      </c>
      <c r="D404" s="17" t="s">
        <v>562</v>
      </c>
      <c r="E404" s="17" t="s">
        <v>231</v>
      </c>
      <c r="F404" s="17" t="str">
        <f>TEXT(data[[#This Row],[ShipDate]],"yyyy - mmmm")</f>
        <v>2016 - May</v>
      </c>
      <c r="G404" s="17" t="str">
        <f>data[[#This Row],[OriginCity]] &amp; " - "  &amp; data[[#This Row],[DestinationCity]]</f>
        <v>Milwaukee - Springfield</v>
      </c>
      <c r="H404" s="17" t="s">
        <v>28</v>
      </c>
      <c r="I404" s="17" t="s">
        <v>29</v>
      </c>
      <c r="J404" s="17">
        <v>7</v>
      </c>
      <c r="K404" s="17" t="s">
        <v>30</v>
      </c>
      <c r="L404" s="17" t="s">
        <v>31</v>
      </c>
      <c r="M404" s="17" t="s">
        <v>82</v>
      </c>
      <c r="N404" s="17">
        <v>324</v>
      </c>
      <c r="O404" s="17">
        <v>324</v>
      </c>
      <c r="P404" s="26">
        <f>(data[[#This Row],[LoadedMiles]]/data[[#This Row],[TotalMiles]])*100</f>
        <v>100</v>
      </c>
      <c r="Q404" s="25">
        <f>data[[#This Row],[ShippingCost]]/data[[#This Row],[TotalMiles]]</f>
        <v>3.6203703703703702</v>
      </c>
      <c r="R404" s="17">
        <v>1173</v>
      </c>
      <c r="S404" s="25">
        <f>data[[#This Row],[Revenue]]/data[[#This Row],[TotalMiles]]</f>
        <v>4.0154320987654319</v>
      </c>
      <c r="T404" s="26">
        <f>data[[#This Row],[Revenue]]-data[[#This Row],[ShippingCost]]</f>
        <v>128</v>
      </c>
      <c r="U404" s="17">
        <v>1301</v>
      </c>
      <c r="V404" s="17">
        <v>99</v>
      </c>
      <c r="W404" s="17" t="s">
        <v>68</v>
      </c>
      <c r="X404" s="17">
        <v>7</v>
      </c>
      <c r="Y404" s="17">
        <f>data[[#This Row],[DeliveryDate]]-data[[#This Row],[ShipDate]]</f>
        <v>-56</v>
      </c>
      <c r="Z404" s="17" t="str">
        <f>IF(data[[#This Row],[Actual Delivery Days]]&gt;AD405,"Yes","No")</f>
        <v>No</v>
      </c>
    </row>
    <row r="405" spans="1:26">
      <c r="A405" s="17">
        <v>11181</v>
      </c>
      <c r="B405" s="17">
        <v>3</v>
      </c>
      <c r="C405" s="17">
        <v>3</v>
      </c>
      <c r="D405" s="17" t="s">
        <v>604</v>
      </c>
      <c r="E405" s="17" t="s">
        <v>47</v>
      </c>
      <c r="F405" s="17" t="str">
        <f>TEXT(data[[#This Row],[ShipDate]],"yyyy - mmmm")</f>
        <v>2016 - April</v>
      </c>
      <c r="G405" s="17" t="str">
        <f>data[[#This Row],[OriginCity]] &amp; " - "  &amp; data[[#This Row],[DestinationCity]]</f>
        <v>Appleton - Grand Rapids</v>
      </c>
      <c r="H405" s="17" t="s">
        <v>85</v>
      </c>
      <c r="I405" s="17" t="s">
        <v>29</v>
      </c>
      <c r="J405" s="17">
        <v>7</v>
      </c>
      <c r="K405" s="17" t="s">
        <v>20</v>
      </c>
      <c r="L405" s="17" t="s">
        <v>21</v>
      </c>
      <c r="M405" s="17" t="s">
        <v>196</v>
      </c>
      <c r="N405" s="17">
        <v>224</v>
      </c>
      <c r="O405" s="17">
        <v>224</v>
      </c>
      <c r="P405" s="26">
        <f>(data[[#This Row],[LoadedMiles]]/data[[#This Row],[TotalMiles]])*100</f>
        <v>100</v>
      </c>
      <c r="Q405" s="25">
        <f>data[[#This Row],[ShippingCost]]/data[[#This Row],[TotalMiles]]</f>
        <v>27.196428571428573</v>
      </c>
      <c r="R405" s="17">
        <v>6092</v>
      </c>
      <c r="S405" s="25">
        <f>data[[#This Row],[Revenue]]/data[[#This Row],[TotalMiles]]</f>
        <v>30.441964285714285</v>
      </c>
      <c r="T405" s="26">
        <f>data[[#This Row],[Revenue]]-data[[#This Row],[ShippingCost]]</f>
        <v>727</v>
      </c>
      <c r="U405" s="17">
        <v>6819</v>
      </c>
      <c r="V405" s="17">
        <v>89</v>
      </c>
      <c r="W405" s="17" t="s">
        <v>68</v>
      </c>
      <c r="X405" s="17">
        <v>4</v>
      </c>
      <c r="Y405" s="17">
        <f>data[[#This Row],[DeliveryDate]]-data[[#This Row],[ShipDate]]</f>
        <v>7</v>
      </c>
      <c r="Z405" s="17" t="str">
        <f>IF(data[[#This Row],[Actual Delivery Days]]&gt;AD406,"Yes","No")</f>
        <v>Yes</v>
      </c>
    </row>
    <row r="406" spans="1:26">
      <c r="A406" s="17">
        <v>11218</v>
      </c>
      <c r="B406" s="17">
        <v>2</v>
      </c>
      <c r="C406" s="17">
        <v>6</v>
      </c>
      <c r="D406" s="17" t="s">
        <v>154</v>
      </c>
      <c r="E406" s="17" t="s">
        <v>454</v>
      </c>
      <c r="F406" s="17" t="str">
        <f>TEXT(data[[#This Row],[ShipDate]],"yyyy - mmmm")</f>
        <v>2016 - March</v>
      </c>
      <c r="G406" s="17" t="str">
        <f>data[[#This Row],[OriginCity]] &amp; " - "  &amp; data[[#This Row],[DestinationCity]]</f>
        <v>Northbrook - Naperville</v>
      </c>
      <c r="H406" s="17" t="s">
        <v>45</v>
      </c>
      <c r="I406" s="17" t="s">
        <v>31</v>
      </c>
      <c r="J406" s="17">
        <v>7</v>
      </c>
      <c r="K406" s="17" t="s">
        <v>48</v>
      </c>
      <c r="L406" s="17" t="s">
        <v>31</v>
      </c>
      <c r="M406" s="17" t="s">
        <v>234</v>
      </c>
      <c r="N406" s="17">
        <v>882</v>
      </c>
      <c r="O406" s="17">
        <v>287</v>
      </c>
      <c r="P406" s="26">
        <f>(data[[#This Row],[LoadedMiles]]/data[[#This Row],[TotalMiles]])*100</f>
        <v>32.539682539682538</v>
      </c>
      <c r="Q406" s="25">
        <f>data[[#This Row],[ShippingCost]]/data[[#This Row],[TotalMiles]]</f>
        <v>6.9365079365079367</v>
      </c>
      <c r="R406" s="17">
        <v>6118</v>
      </c>
      <c r="S406" s="25">
        <f>data[[#This Row],[Revenue]]/data[[#This Row],[TotalMiles]]</f>
        <v>7.3197278911564627</v>
      </c>
      <c r="T406" s="26">
        <f>data[[#This Row],[Revenue]]-data[[#This Row],[ShippingCost]]</f>
        <v>338</v>
      </c>
      <c r="U406" s="17">
        <v>6456</v>
      </c>
      <c r="V406" s="17">
        <v>77</v>
      </c>
      <c r="W406" s="17" t="s">
        <v>68</v>
      </c>
      <c r="X406" s="17">
        <v>1</v>
      </c>
      <c r="Y406" s="17">
        <f>data[[#This Row],[DeliveryDate]]-data[[#This Row],[ShipDate]]</f>
        <v>7</v>
      </c>
      <c r="Z406" s="17" t="str">
        <f>IF(data[[#This Row],[Actual Delivery Days]]&gt;AD407,"Yes","No")</f>
        <v>Yes</v>
      </c>
    </row>
    <row r="407" spans="1:26">
      <c r="A407" s="17">
        <v>11226</v>
      </c>
      <c r="B407" s="17">
        <v>3</v>
      </c>
      <c r="C407" s="17">
        <v>6</v>
      </c>
      <c r="D407" s="17" t="s">
        <v>175</v>
      </c>
      <c r="E407" s="17" t="s">
        <v>171</v>
      </c>
      <c r="F407" s="17" t="str">
        <f>TEXT(data[[#This Row],[ShipDate]],"yyyy - mmmm")</f>
        <v>2016 - April</v>
      </c>
      <c r="G407" s="17" t="str">
        <f>data[[#This Row],[OriginCity]] &amp; " - "  &amp; data[[#This Row],[DestinationCity]]</f>
        <v>Appleton - Grand Rapids</v>
      </c>
      <c r="H407" s="17" t="s">
        <v>85</v>
      </c>
      <c r="I407" s="17" t="s">
        <v>29</v>
      </c>
      <c r="J407" s="17">
        <v>7</v>
      </c>
      <c r="K407" s="17" t="s">
        <v>20</v>
      </c>
      <c r="L407" s="17" t="s">
        <v>21</v>
      </c>
      <c r="M407" s="17" t="s">
        <v>480</v>
      </c>
      <c r="N407" s="17">
        <v>388</v>
      </c>
      <c r="O407" s="17">
        <v>388</v>
      </c>
      <c r="P407" s="26">
        <f>(data[[#This Row],[LoadedMiles]]/data[[#This Row],[TotalMiles]])*100</f>
        <v>100</v>
      </c>
      <c r="Q407" s="25">
        <f>data[[#This Row],[ShippingCost]]/data[[#This Row],[TotalMiles]]</f>
        <v>10.543814432989691</v>
      </c>
      <c r="R407" s="17">
        <v>4091</v>
      </c>
      <c r="S407" s="25">
        <f>data[[#This Row],[Revenue]]/data[[#This Row],[TotalMiles]]</f>
        <v>12.188144329896907</v>
      </c>
      <c r="T407" s="26">
        <f>data[[#This Row],[Revenue]]-data[[#This Row],[ShippingCost]]</f>
        <v>638</v>
      </c>
      <c r="U407" s="17">
        <v>4729</v>
      </c>
      <c r="V407" s="17">
        <v>91</v>
      </c>
      <c r="W407" s="17" t="s">
        <v>68</v>
      </c>
      <c r="X407" s="17">
        <v>5</v>
      </c>
      <c r="Y407" s="17">
        <f>data[[#This Row],[DeliveryDate]]-data[[#This Row],[ShipDate]]</f>
        <v>6</v>
      </c>
      <c r="Z407" s="17" t="str">
        <f>IF(data[[#This Row],[Actual Delivery Days]]&gt;AD408,"Yes","No")</f>
        <v>Yes</v>
      </c>
    </row>
    <row r="408" spans="1:26">
      <c r="A408" s="17">
        <v>11260</v>
      </c>
      <c r="B408" s="17">
        <v>2</v>
      </c>
      <c r="C408" s="17">
        <v>4</v>
      </c>
      <c r="D408" s="17" t="s">
        <v>262</v>
      </c>
      <c r="E408" s="17" t="s">
        <v>270</v>
      </c>
      <c r="F408" s="17" t="str">
        <f>TEXT(data[[#This Row],[ShipDate]],"yyyy - mmmm")</f>
        <v>2016 - April</v>
      </c>
      <c r="G408" s="17" t="str">
        <f>data[[#This Row],[OriginCity]] &amp; " - "  &amp; data[[#This Row],[DestinationCity]]</f>
        <v>Detriot - Monon</v>
      </c>
      <c r="H408" s="17" t="s">
        <v>52</v>
      </c>
      <c r="I408" s="17" t="s">
        <v>21</v>
      </c>
      <c r="J408" s="17">
        <v>7</v>
      </c>
      <c r="K408" s="17" t="s">
        <v>53</v>
      </c>
      <c r="L408" s="17" t="s">
        <v>44</v>
      </c>
      <c r="M408" s="17" t="s">
        <v>620</v>
      </c>
      <c r="N408" s="17">
        <v>515</v>
      </c>
      <c r="O408" s="17">
        <v>431</v>
      </c>
      <c r="P408" s="26">
        <f>(data[[#This Row],[LoadedMiles]]/data[[#This Row],[TotalMiles]])*100</f>
        <v>83.689320388349515</v>
      </c>
      <c r="Q408" s="25">
        <f>data[[#This Row],[ShippingCost]]/data[[#This Row],[TotalMiles]]</f>
        <v>8.2349514563106805</v>
      </c>
      <c r="R408" s="17">
        <v>4241</v>
      </c>
      <c r="S408" s="25">
        <f>data[[#This Row],[Revenue]]/data[[#This Row],[TotalMiles]]</f>
        <v>3.6194174757281554</v>
      </c>
      <c r="T408" s="26">
        <f>data[[#This Row],[Revenue]]-data[[#This Row],[ShippingCost]]</f>
        <v>-2377</v>
      </c>
      <c r="U408" s="17">
        <v>1864</v>
      </c>
      <c r="V408" s="17">
        <v>55</v>
      </c>
      <c r="W408" s="17" t="s">
        <v>68</v>
      </c>
      <c r="X408" s="17">
        <v>8</v>
      </c>
      <c r="Y408" s="17">
        <f>data[[#This Row],[DeliveryDate]]-data[[#This Row],[ShipDate]]</f>
        <v>5</v>
      </c>
      <c r="Z408" s="17" t="str">
        <f>IF(data[[#This Row],[Actual Delivery Days]]&gt;AD409,"Yes","No")</f>
        <v>Yes</v>
      </c>
    </row>
    <row r="409" spans="1:26">
      <c r="A409" s="17">
        <v>11311</v>
      </c>
      <c r="B409" s="17">
        <v>3</v>
      </c>
      <c r="C409" s="17">
        <v>5</v>
      </c>
      <c r="D409" s="17" t="s">
        <v>357</v>
      </c>
      <c r="E409" s="17" t="s">
        <v>229</v>
      </c>
      <c r="F409" s="17" t="str">
        <f>TEXT(data[[#This Row],[ShipDate]],"yyyy - mmmm")</f>
        <v>2016 - January</v>
      </c>
      <c r="G409" s="17" t="str">
        <f>data[[#This Row],[OriginCity]] &amp; " - "  &amp; data[[#This Row],[DestinationCity]]</f>
        <v>Naperville - Indianapolis</v>
      </c>
      <c r="H409" s="17" t="s">
        <v>48</v>
      </c>
      <c r="I409" s="17" t="s">
        <v>31</v>
      </c>
      <c r="J409" s="17">
        <v>7</v>
      </c>
      <c r="K409" s="17" t="s">
        <v>43</v>
      </c>
      <c r="L409" s="17" t="s">
        <v>44</v>
      </c>
      <c r="M409" s="17" t="s">
        <v>92</v>
      </c>
      <c r="N409" s="17">
        <v>578</v>
      </c>
      <c r="O409" s="17">
        <v>578</v>
      </c>
      <c r="P409" s="26">
        <f>(data[[#This Row],[LoadedMiles]]/data[[#This Row],[TotalMiles]])*100</f>
        <v>100</v>
      </c>
      <c r="Q409" s="25">
        <f>data[[#This Row],[ShippingCost]]/data[[#This Row],[TotalMiles]]</f>
        <v>1.7006920415224913</v>
      </c>
      <c r="R409" s="17">
        <v>983</v>
      </c>
      <c r="S409" s="25">
        <f>data[[#This Row],[Revenue]]/data[[#This Row],[TotalMiles]]</f>
        <v>3.3339100346020762</v>
      </c>
      <c r="T409" s="26">
        <f>data[[#This Row],[Revenue]]-data[[#This Row],[ShippingCost]]</f>
        <v>944</v>
      </c>
      <c r="U409" s="17">
        <v>1927</v>
      </c>
      <c r="V409" s="17">
        <v>90</v>
      </c>
      <c r="W409" s="17" t="s">
        <v>68</v>
      </c>
      <c r="X409" s="17">
        <v>3</v>
      </c>
      <c r="Y409" s="17">
        <f>data[[#This Row],[DeliveryDate]]-data[[#This Row],[ShipDate]]</f>
        <v>7</v>
      </c>
      <c r="Z409" s="17" t="str">
        <f>IF(data[[#This Row],[Actual Delivery Days]]&gt;AD410,"Yes","No")</f>
        <v>Yes</v>
      </c>
    </row>
    <row r="410" spans="1:26">
      <c r="A410" s="17">
        <v>11349</v>
      </c>
      <c r="B410" s="17">
        <v>2</v>
      </c>
      <c r="C410" s="17">
        <v>6</v>
      </c>
      <c r="D410" s="17" t="s">
        <v>421</v>
      </c>
      <c r="E410" s="17" t="s">
        <v>617</v>
      </c>
      <c r="F410" s="17" t="str">
        <f>TEXT(data[[#This Row],[ShipDate]],"yyyy - mmmm")</f>
        <v>2016 - June</v>
      </c>
      <c r="G410" s="17" t="str">
        <f>data[[#This Row],[OriginCity]] &amp; " - "  &amp; data[[#This Row],[DestinationCity]]</f>
        <v>Northbrook - Naperville</v>
      </c>
      <c r="H410" s="17" t="s">
        <v>45</v>
      </c>
      <c r="I410" s="17" t="s">
        <v>31</v>
      </c>
      <c r="J410" s="17">
        <v>7</v>
      </c>
      <c r="K410" s="17" t="s">
        <v>48</v>
      </c>
      <c r="L410" s="17" t="s">
        <v>31</v>
      </c>
      <c r="M410" s="17" t="s">
        <v>82</v>
      </c>
      <c r="N410" s="17">
        <v>937</v>
      </c>
      <c r="O410" s="17">
        <v>270</v>
      </c>
      <c r="P410" s="26">
        <f>(data[[#This Row],[LoadedMiles]]/data[[#This Row],[TotalMiles]])*100</f>
        <v>28.815368196371399</v>
      </c>
      <c r="Q410" s="25">
        <f>data[[#This Row],[ShippingCost]]/data[[#This Row],[TotalMiles]]</f>
        <v>5.3713980789754538</v>
      </c>
      <c r="R410" s="17">
        <v>5033</v>
      </c>
      <c r="S410" s="25">
        <f>data[[#This Row],[Revenue]]/data[[#This Row],[TotalMiles]]</f>
        <v>6.2817502668089649</v>
      </c>
      <c r="T410" s="26">
        <f>data[[#This Row],[Revenue]]-data[[#This Row],[ShippingCost]]</f>
        <v>853</v>
      </c>
      <c r="U410" s="17">
        <v>5886</v>
      </c>
      <c r="V410" s="17">
        <v>78</v>
      </c>
      <c r="W410" s="17" t="s">
        <v>68</v>
      </c>
      <c r="X410" s="17">
        <v>3</v>
      </c>
      <c r="Y410" s="17">
        <f>data[[#This Row],[DeliveryDate]]-data[[#This Row],[ShipDate]]</f>
        <v>-85</v>
      </c>
      <c r="Z410" s="17" t="str">
        <f>IF(data[[#This Row],[Actual Delivery Days]]&gt;AD411,"Yes","No")</f>
        <v>No</v>
      </c>
    </row>
    <row r="411" spans="1:26">
      <c r="A411" s="17">
        <v>11366</v>
      </c>
      <c r="B411" s="17">
        <v>2</v>
      </c>
      <c r="C411" s="17">
        <v>4</v>
      </c>
      <c r="D411" s="17" t="s">
        <v>446</v>
      </c>
      <c r="E411" s="17" t="s">
        <v>363</v>
      </c>
      <c r="F411" s="17" t="str">
        <f>TEXT(data[[#This Row],[ShipDate]],"yyyy - mmmm")</f>
        <v>2016 - February</v>
      </c>
      <c r="G411" s="17" t="str">
        <f>data[[#This Row],[OriginCity]] &amp; " - "  &amp; data[[#This Row],[DestinationCity]]</f>
        <v>Kalamazoo - Bangor</v>
      </c>
      <c r="H411" s="17" t="s">
        <v>71</v>
      </c>
      <c r="I411" s="17" t="s">
        <v>21</v>
      </c>
      <c r="J411" s="17">
        <v>7</v>
      </c>
      <c r="K411" s="17" t="s">
        <v>104</v>
      </c>
      <c r="L411" s="17" t="s">
        <v>21</v>
      </c>
      <c r="M411" s="17" t="s">
        <v>460</v>
      </c>
      <c r="N411" s="17">
        <v>411</v>
      </c>
      <c r="O411" s="17">
        <v>411</v>
      </c>
      <c r="P411" s="26">
        <f>(data[[#This Row],[LoadedMiles]]/data[[#This Row],[TotalMiles]])*100</f>
        <v>100</v>
      </c>
      <c r="Q411" s="25">
        <f>data[[#This Row],[ShippingCost]]/data[[#This Row],[TotalMiles]]</f>
        <v>8.1143552311435521</v>
      </c>
      <c r="R411" s="17">
        <v>3335</v>
      </c>
      <c r="S411" s="25">
        <f>data[[#This Row],[Revenue]]/data[[#This Row],[TotalMiles]]</f>
        <v>2.7858880778588806</v>
      </c>
      <c r="T411" s="26">
        <f>data[[#This Row],[Revenue]]-data[[#This Row],[ShippingCost]]</f>
        <v>-2190</v>
      </c>
      <c r="U411" s="17">
        <v>1145</v>
      </c>
      <c r="V411" s="17">
        <v>100</v>
      </c>
      <c r="W411" s="17" t="s">
        <v>68</v>
      </c>
      <c r="X411" s="17">
        <v>1</v>
      </c>
      <c r="Y411" s="17">
        <f>data[[#This Row],[DeliveryDate]]-data[[#This Row],[ShipDate]]</f>
        <v>7</v>
      </c>
      <c r="Z411" s="17" t="str">
        <f>IF(data[[#This Row],[Actual Delivery Days]]&gt;AD412,"Yes","No")</f>
        <v>Yes</v>
      </c>
    </row>
    <row r="412" spans="1:26">
      <c r="A412" s="17">
        <v>11374</v>
      </c>
      <c r="B412" s="17">
        <v>2</v>
      </c>
      <c r="C412" s="17">
        <v>2</v>
      </c>
      <c r="D412" s="17" t="s">
        <v>458</v>
      </c>
      <c r="E412" s="17" t="s">
        <v>34</v>
      </c>
      <c r="F412" s="17" t="str">
        <f>TEXT(data[[#This Row],[ShipDate]],"yyyy - mmmm")</f>
        <v>2016 - August</v>
      </c>
      <c r="G412" s="17" t="str">
        <f>data[[#This Row],[OriginCity]] &amp; " - "  &amp; data[[#This Row],[DestinationCity]]</f>
        <v>Detriot - Monon</v>
      </c>
      <c r="H412" s="17" t="s">
        <v>52</v>
      </c>
      <c r="I412" s="17" t="s">
        <v>21</v>
      </c>
      <c r="J412" s="17">
        <v>7</v>
      </c>
      <c r="K412" s="17" t="s">
        <v>53</v>
      </c>
      <c r="L412" s="17" t="s">
        <v>44</v>
      </c>
      <c r="M412" s="17" t="s">
        <v>621</v>
      </c>
      <c r="N412" s="17">
        <v>1028</v>
      </c>
      <c r="O412" s="17">
        <v>264</v>
      </c>
      <c r="P412" s="26">
        <f>(data[[#This Row],[LoadedMiles]]/data[[#This Row],[TotalMiles]])*100</f>
        <v>25.680933852140075</v>
      </c>
      <c r="Q412" s="25">
        <f>data[[#This Row],[ShippingCost]]/data[[#This Row],[TotalMiles]]</f>
        <v>1.8871595330739299</v>
      </c>
      <c r="R412" s="17">
        <v>1940</v>
      </c>
      <c r="S412" s="25">
        <f>data[[#This Row],[Revenue]]/data[[#This Row],[TotalMiles]]</f>
        <v>2.7042801556420235</v>
      </c>
      <c r="T412" s="26">
        <f>data[[#This Row],[Revenue]]-data[[#This Row],[ShippingCost]]</f>
        <v>840</v>
      </c>
      <c r="U412" s="17">
        <v>2780</v>
      </c>
      <c r="V412" s="17">
        <v>58</v>
      </c>
      <c r="W412" s="17" t="s">
        <v>68</v>
      </c>
      <c r="X412" s="17">
        <v>4</v>
      </c>
      <c r="Y412" s="17">
        <f>data[[#This Row],[DeliveryDate]]-data[[#This Row],[ShipDate]]</f>
        <v>5</v>
      </c>
      <c r="Z412" s="17" t="str">
        <f>IF(data[[#This Row],[Actual Delivery Days]]&gt;AD413,"Yes","No")</f>
        <v>Yes</v>
      </c>
    </row>
    <row r="413" spans="1:26">
      <c r="A413" s="17">
        <v>11375</v>
      </c>
      <c r="B413" s="17">
        <v>3</v>
      </c>
      <c r="C413" s="17">
        <v>2</v>
      </c>
      <c r="D413" s="17" t="s">
        <v>459</v>
      </c>
      <c r="E413" s="17" t="s">
        <v>624</v>
      </c>
      <c r="F413" s="17" t="str">
        <f>TEXT(data[[#This Row],[ShipDate]],"yyyy - mmmm")</f>
        <v>2016 - April</v>
      </c>
      <c r="G413" s="17" t="str">
        <f>data[[#This Row],[OriginCity]] &amp; " - "  &amp; data[[#This Row],[DestinationCity]]</f>
        <v>Gary - Milwaukee</v>
      </c>
      <c r="H413" s="17" t="s">
        <v>57</v>
      </c>
      <c r="I413" s="17" t="s">
        <v>44</v>
      </c>
      <c r="J413" s="17">
        <v>7</v>
      </c>
      <c r="K413" s="17" t="s">
        <v>28</v>
      </c>
      <c r="L413" s="17" t="s">
        <v>29</v>
      </c>
      <c r="M413" s="17" t="s">
        <v>197</v>
      </c>
      <c r="N413" s="17">
        <v>961</v>
      </c>
      <c r="O413" s="17">
        <v>520</v>
      </c>
      <c r="P413" s="26">
        <f>(data[[#This Row],[LoadedMiles]]/data[[#This Row],[TotalMiles]])*100</f>
        <v>54.110301768990631</v>
      </c>
      <c r="Q413" s="25">
        <f>data[[#This Row],[ShippingCost]]/data[[#This Row],[TotalMiles]]</f>
        <v>2.4880332986472427</v>
      </c>
      <c r="R413" s="17">
        <v>2391</v>
      </c>
      <c r="S413" s="25">
        <f>data[[#This Row],[Revenue]]/data[[#This Row],[TotalMiles]]</f>
        <v>2.9219562955254941</v>
      </c>
      <c r="T413" s="26">
        <f>data[[#This Row],[Revenue]]-data[[#This Row],[ShippingCost]]</f>
        <v>417</v>
      </c>
      <c r="U413" s="17">
        <v>2808</v>
      </c>
      <c r="V413" s="17">
        <v>56</v>
      </c>
      <c r="W413" s="17" t="s">
        <v>68</v>
      </c>
      <c r="X413" s="17">
        <v>5</v>
      </c>
      <c r="Y413" s="17">
        <f>data[[#This Row],[DeliveryDate]]-data[[#This Row],[ShipDate]]</f>
        <v>6</v>
      </c>
      <c r="Z413" s="17" t="str">
        <f>IF(data[[#This Row],[Actual Delivery Days]]&gt;AD414,"Yes","No")</f>
        <v>Yes</v>
      </c>
    </row>
    <row r="414" spans="1:26">
      <c r="A414" s="17">
        <v>11386</v>
      </c>
      <c r="B414" s="17">
        <v>2</v>
      </c>
      <c r="C414" s="17">
        <v>4</v>
      </c>
      <c r="D414" s="17" t="s">
        <v>477</v>
      </c>
      <c r="E414" s="17" t="s">
        <v>179</v>
      </c>
      <c r="F414" s="17" t="str">
        <f>TEXT(data[[#This Row],[ShipDate]],"yyyy - mmmm")</f>
        <v>2016 - July</v>
      </c>
      <c r="G414" s="17" t="str">
        <f>data[[#This Row],[OriginCity]] &amp; " - "  &amp; data[[#This Row],[DestinationCity]]</f>
        <v>Bangor - Davenport</v>
      </c>
      <c r="H414" s="17" t="s">
        <v>104</v>
      </c>
      <c r="I414" s="17" t="s">
        <v>21</v>
      </c>
      <c r="J414" s="17">
        <v>7</v>
      </c>
      <c r="K414" s="17" t="s">
        <v>105</v>
      </c>
      <c r="L414" s="17" t="s">
        <v>106</v>
      </c>
      <c r="M414" s="17" t="s">
        <v>426</v>
      </c>
      <c r="N414" s="17">
        <v>261</v>
      </c>
      <c r="O414" s="17">
        <v>261</v>
      </c>
      <c r="P414" s="26">
        <f>(data[[#This Row],[LoadedMiles]]/data[[#This Row],[TotalMiles]])*100</f>
        <v>100</v>
      </c>
      <c r="Q414" s="25">
        <f>data[[#This Row],[ShippingCost]]/data[[#This Row],[TotalMiles]]</f>
        <v>16.800766283524904</v>
      </c>
      <c r="R414" s="17">
        <v>4385</v>
      </c>
      <c r="S414" s="25">
        <f>data[[#This Row],[Revenue]]/data[[#This Row],[TotalMiles]]</f>
        <v>7.6283524904214559</v>
      </c>
      <c r="T414" s="26">
        <f>data[[#This Row],[Revenue]]-data[[#This Row],[ShippingCost]]</f>
        <v>-2394</v>
      </c>
      <c r="U414" s="17">
        <v>1991</v>
      </c>
      <c r="V414" s="17">
        <v>61</v>
      </c>
      <c r="W414" s="17" t="s">
        <v>68</v>
      </c>
      <c r="X414" s="17">
        <v>5</v>
      </c>
      <c r="Y414" s="17">
        <f>data[[#This Row],[DeliveryDate]]-data[[#This Row],[ShipDate]]</f>
        <v>7</v>
      </c>
      <c r="Z414" s="17" t="str">
        <f>IF(data[[#This Row],[Actual Delivery Days]]&gt;AD415,"Yes","No")</f>
        <v>Yes</v>
      </c>
    </row>
    <row r="415" spans="1:26">
      <c r="A415" s="17">
        <v>11387</v>
      </c>
      <c r="B415" s="17">
        <v>2</v>
      </c>
      <c r="C415" s="17">
        <v>6</v>
      </c>
      <c r="D415" s="17" t="s">
        <v>478</v>
      </c>
      <c r="E415" s="17" t="s">
        <v>103</v>
      </c>
      <c r="F415" s="17" t="str">
        <f>TEXT(data[[#This Row],[ShipDate]],"yyyy - mmmm")</f>
        <v>2016 - August</v>
      </c>
      <c r="G415" s="17" t="str">
        <f>data[[#This Row],[OriginCity]] &amp; " - "  &amp; data[[#This Row],[DestinationCity]]</f>
        <v>Elgin - Cincinnati</v>
      </c>
      <c r="H415" s="17" t="s">
        <v>94</v>
      </c>
      <c r="I415" s="17" t="s">
        <v>31</v>
      </c>
      <c r="J415" s="17">
        <v>7</v>
      </c>
      <c r="K415" s="17" t="s">
        <v>89</v>
      </c>
      <c r="L415" s="17" t="s">
        <v>23</v>
      </c>
      <c r="M415" s="17" t="s">
        <v>339</v>
      </c>
      <c r="N415" s="17">
        <v>462</v>
      </c>
      <c r="O415" s="17">
        <v>430</v>
      </c>
      <c r="P415" s="26">
        <f>(data[[#This Row],[LoadedMiles]]/data[[#This Row],[TotalMiles]])*100</f>
        <v>93.073593073593074</v>
      </c>
      <c r="Q415" s="25">
        <f>data[[#This Row],[ShippingCost]]/data[[#This Row],[TotalMiles]]</f>
        <v>13.337662337662337</v>
      </c>
      <c r="R415" s="17">
        <v>6162</v>
      </c>
      <c r="S415" s="25">
        <f>data[[#This Row],[Revenue]]/data[[#This Row],[TotalMiles]]</f>
        <v>15.463203463203463</v>
      </c>
      <c r="T415" s="26">
        <f>data[[#This Row],[Revenue]]-data[[#This Row],[ShippingCost]]</f>
        <v>982</v>
      </c>
      <c r="U415" s="17">
        <v>7144</v>
      </c>
      <c r="V415" s="17">
        <v>92</v>
      </c>
      <c r="W415" s="17" t="s">
        <v>68</v>
      </c>
      <c r="X415" s="17">
        <v>5</v>
      </c>
      <c r="Y415" s="17">
        <f>data[[#This Row],[DeliveryDate]]-data[[#This Row],[ShipDate]]</f>
        <v>7</v>
      </c>
      <c r="Z415" s="17" t="str">
        <f>IF(data[[#This Row],[Actual Delivery Days]]&gt;AD416,"Yes","No")</f>
        <v>Yes</v>
      </c>
    </row>
    <row r="416" spans="1:26">
      <c r="A416" s="17">
        <v>11401</v>
      </c>
      <c r="B416" s="17">
        <v>3</v>
      </c>
      <c r="C416" s="17">
        <v>3</v>
      </c>
      <c r="D416" s="17" t="s">
        <v>497</v>
      </c>
      <c r="E416" s="17" t="s">
        <v>283</v>
      </c>
      <c r="F416" s="17" t="str">
        <f>TEXT(data[[#This Row],[ShipDate]],"yyyy - mmmm")</f>
        <v>2016 - June</v>
      </c>
      <c r="G416" s="17" t="str">
        <f>data[[#This Row],[OriginCity]] &amp; " - "  &amp; data[[#This Row],[DestinationCity]]</f>
        <v>Rockford - Green Bay</v>
      </c>
      <c r="H416" s="17" t="s">
        <v>40</v>
      </c>
      <c r="I416" s="17" t="s">
        <v>31</v>
      </c>
      <c r="J416" s="17">
        <v>7</v>
      </c>
      <c r="K416" s="17" t="s">
        <v>75</v>
      </c>
      <c r="L416" s="17" t="s">
        <v>29</v>
      </c>
      <c r="M416" s="17" t="s">
        <v>315</v>
      </c>
      <c r="N416" s="17">
        <v>968</v>
      </c>
      <c r="O416" s="17">
        <v>758</v>
      </c>
      <c r="P416" s="26">
        <f>(data[[#This Row],[LoadedMiles]]/data[[#This Row],[TotalMiles]])*100</f>
        <v>78.305785123966942</v>
      </c>
      <c r="Q416" s="25">
        <f>data[[#This Row],[ShippingCost]]/data[[#This Row],[TotalMiles]]</f>
        <v>6.6084710743801649</v>
      </c>
      <c r="R416" s="17">
        <v>6397</v>
      </c>
      <c r="S416" s="25">
        <f>data[[#This Row],[Revenue]]/data[[#This Row],[TotalMiles]]</f>
        <v>6.7561983471074383</v>
      </c>
      <c r="T416" s="26">
        <f>data[[#This Row],[Revenue]]-data[[#This Row],[ShippingCost]]</f>
        <v>143</v>
      </c>
      <c r="U416" s="17">
        <v>6540</v>
      </c>
      <c r="V416" s="17">
        <v>73</v>
      </c>
      <c r="W416" s="17" t="s">
        <v>68</v>
      </c>
      <c r="X416" s="17">
        <v>3</v>
      </c>
      <c r="Y416" s="17">
        <f>data[[#This Row],[DeliveryDate]]-data[[#This Row],[ShipDate]]</f>
        <v>7</v>
      </c>
      <c r="Z416" s="17" t="str">
        <f>IF(data[[#This Row],[Actual Delivery Days]]&gt;AD417,"Yes","No")</f>
        <v>Yes</v>
      </c>
    </row>
    <row r="417" spans="1:26">
      <c r="A417" s="17">
        <v>11405</v>
      </c>
      <c r="B417" s="17">
        <v>2</v>
      </c>
      <c r="C417" s="17">
        <v>1</v>
      </c>
      <c r="D417" s="17" t="s">
        <v>503</v>
      </c>
      <c r="E417" s="17" t="s">
        <v>146</v>
      </c>
      <c r="F417" s="17" t="str">
        <f>TEXT(data[[#This Row],[ShipDate]],"yyyy - mmmm")</f>
        <v>2016 - June</v>
      </c>
      <c r="G417" s="17" t="str">
        <f>data[[#This Row],[OriginCity]] &amp; " - "  &amp; data[[#This Row],[DestinationCity]]</f>
        <v>Toledo - Detriot</v>
      </c>
      <c r="H417" s="17" t="s">
        <v>22</v>
      </c>
      <c r="I417" s="17" t="s">
        <v>23</v>
      </c>
      <c r="J417" s="17">
        <v>7</v>
      </c>
      <c r="K417" s="17" t="s">
        <v>52</v>
      </c>
      <c r="L417" s="17" t="s">
        <v>21</v>
      </c>
      <c r="M417" s="17" t="s">
        <v>82</v>
      </c>
      <c r="N417" s="17">
        <v>1183</v>
      </c>
      <c r="O417" s="17">
        <v>297</v>
      </c>
      <c r="P417" s="26">
        <f>(data[[#This Row],[LoadedMiles]]/data[[#This Row],[TotalMiles]])*100</f>
        <v>25.105663567202029</v>
      </c>
      <c r="Q417" s="25">
        <f>data[[#This Row],[ShippingCost]]/data[[#This Row],[TotalMiles]]</f>
        <v>0.8351648351648352</v>
      </c>
      <c r="R417" s="17">
        <v>988</v>
      </c>
      <c r="S417" s="25">
        <f>data[[#This Row],[Revenue]]/data[[#This Row],[TotalMiles]]</f>
        <v>5.3161453930684699</v>
      </c>
      <c r="T417" s="26">
        <f>data[[#This Row],[Revenue]]-data[[#This Row],[ShippingCost]]</f>
        <v>5301</v>
      </c>
      <c r="U417" s="17">
        <v>6289</v>
      </c>
      <c r="V417" s="17">
        <v>71</v>
      </c>
      <c r="W417" s="17" t="s">
        <v>68</v>
      </c>
      <c r="X417" s="17">
        <v>5</v>
      </c>
      <c r="Y417" s="17">
        <f>data[[#This Row],[DeliveryDate]]-data[[#This Row],[ShipDate]]</f>
        <v>-78</v>
      </c>
      <c r="Z417" s="17" t="str">
        <f>IF(data[[#This Row],[Actual Delivery Days]]&gt;AD418,"Yes","No")</f>
        <v>No</v>
      </c>
    </row>
    <row r="418" spans="1:26">
      <c r="A418" s="17">
        <v>11419</v>
      </c>
      <c r="B418" s="17">
        <v>2</v>
      </c>
      <c r="C418" s="17">
        <v>2</v>
      </c>
      <c r="D418" s="17" t="s">
        <v>523</v>
      </c>
      <c r="E418" s="17" t="s">
        <v>467</v>
      </c>
      <c r="F418" s="17" t="str">
        <f>TEXT(data[[#This Row],[ShipDate]],"yyyy - mmmm")</f>
        <v>2016 - July</v>
      </c>
      <c r="G418" s="17" t="str">
        <f>data[[#This Row],[OriginCity]] &amp; " - "  &amp; data[[#This Row],[DestinationCity]]</f>
        <v>Monon - Lansing</v>
      </c>
      <c r="H418" s="17" t="s">
        <v>53</v>
      </c>
      <c r="I418" s="17" t="s">
        <v>44</v>
      </c>
      <c r="J418" s="17">
        <v>7</v>
      </c>
      <c r="K418" s="17" t="s">
        <v>66</v>
      </c>
      <c r="L418" s="17" t="s">
        <v>21</v>
      </c>
      <c r="M418" s="17" t="s">
        <v>150</v>
      </c>
      <c r="N418" s="17">
        <v>629</v>
      </c>
      <c r="O418" s="17">
        <v>629</v>
      </c>
      <c r="P418" s="26">
        <f>(data[[#This Row],[LoadedMiles]]/data[[#This Row],[TotalMiles]])*100</f>
        <v>100</v>
      </c>
      <c r="Q418" s="25">
        <f>data[[#This Row],[ShippingCost]]/data[[#This Row],[TotalMiles]]</f>
        <v>9.362480127186009</v>
      </c>
      <c r="R418" s="17">
        <v>5889</v>
      </c>
      <c r="S418" s="25">
        <f>data[[#This Row],[Revenue]]/data[[#This Row],[TotalMiles]]</f>
        <v>9.872813990461049</v>
      </c>
      <c r="T418" s="26">
        <f>data[[#This Row],[Revenue]]-data[[#This Row],[ShippingCost]]</f>
        <v>321</v>
      </c>
      <c r="U418" s="17">
        <v>6210</v>
      </c>
      <c r="V418" s="17">
        <v>59</v>
      </c>
      <c r="W418" s="17" t="s">
        <v>68</v>
      </c>
      <c r="X418" s="17">
        <v>8</v>
      </c>
      <c r="Y418" s="17">
        <f>data[[#This Row],[DeliveryDate]]-data[[#This Row],[ShipDate]]</f>
        <v>7</v>
      </c>
      <c r="Z418" s="17" t="str">
        <f>IF(data[[#This Row],[Actual Delivery Days]]&gt;AD419,"Yes","No")</f>
        <v>Yes</v>
      </c>
    </row>
    <row r="419" spans="1:26">
      <c r="A419" s="17">
        <v>11426</v>
      </c>
      <c r="B419" s="17">
        <v>3</v>
      </c>
      <c r="C419" s="17">
        <v>6</v>
      </c>
      <c r="D419" s="17" t="s">
        <v>534</v>
      </c>
      <c r="E419" s="17" t="s">
        <v>19</v>
      </c>
      <c r="F419" s="17" t="str">
        <f>TEXT(data[[#This Row],[ShipDate]],"yyyy - mmmm")</f>
        <v>2016 - July</v>
      </c>
      <c r="G419" s="17" t="str">
        <f>data[[#This Row],[OriginCity]] &amp; " - "  &amp; data[[#This Row],[DestinationCity]]</f>
        <v>Lansing - Dayton</v>
      </c>
      <c r="H419" s="17" t="s">
        <v>66</v>
      </c>
      <c r="I419" s="17" t="s">
        <v>21</v>
      </c>
      <c r="J419" s="17">
        <v>7</v>
      </c>
      <c r="K419" s="17" t="s">
        <v>93</v>
      </c>
      <c r="L419" s="17" t="s">
        <v>23</v>
      </c>
      <c r="M419" s="17" t="s">
        <v>540</v>
      </c>
      <c r="N419" s="17">
        <v>537</v>
      </c>
      <c r="O419" s="17">
        <v>442</v>
      </c>
      <c r="P419" s="26">
        <f>(data[[#This Row],[LoadedMiles]]/data[[#This Row],[TotalMiles]])*100</f>
        <v>82.309124767225327</v>
      </c>
      <c r="Q419" s="25">
        <f>data[[#This Row],[ShippingCost]]/data[[#This Row],[TotalMiles]]</f>
        <v>5.1117318435754191</v>
      </c>
      <c r="R419" s="17">
        <v>2745</v>
      </c>
      <c r="S419" s="25">
        <f>data[[#This Row],[Revenue]]/data[[#This Row],[TotalMiles]]</f>
        <v>6.8417132216014895</v>
      </c>
      <c r="T419" s="26">
        <f>data[[#This Row],[Revenue]]-data[[#This Row],[ShippingCost]]</f>
        <v>929</v>
      </c>
      <c r="U419" s="17">
        <v>3674</v>
      </c>
      <c r="V419" s="17">
        <v>68</v>
      </c>
      <c r="W419" s="17" t="s">
        <v>68</v>
      </c>
      <c r="X419" s="17">
        <v>4</v>
      </c>
      <c r="Y419" s="17">
        <f>data[[#This Row],[DeliveryDate]]-data[[#This Row],[ShipDate]]</f>
        <v>6</v>
      </c>
      <c r="Z419" s="17" t="str">
        <f>IF(data[[#This Row],[Actual Delivery Days]]&gt;AD420,"Yes","No")</f>
        <v>Yes</v>
      </c>
    </row>
    <row r="420" spans="1:26">
      <c r="A420" s="17">
        <v>11440</v>
      </c>
      <c r="B420" s="17">
        <v>2</v>
      </c>
      <c r="C420" s="17">
        <v>6</v>
      </c>
      <c r="D420" s="17" t="s">
        <v>554</v>
      </c>
      <c r="E420" s="17" t="s">
        <v>531</v>
      </c>
      <c r="F420" s="17" t="str">
        <f>TEXT(data[[#This Row],[ShipDate]],"yyyy - mmmm")</f>
        <v>2016 - January</v>
      </c>
      <c r="G420" s="17" t="str">
        <f>data[[#This Row],[OriginCity]] &amp; " - "  &amp; data[[#This Row],[DestinationCity]]</f>
        <v>Monon - Lansing</v>
      </c>
      <c r="H420" s="17" t="s">
        <v>53</v>
      </c>
      <c r="I420" s="17" t="s">
        <v>44</v>
      </c>
      <c r="J420" s="17">
        <v>7</v>
      </c>
      <c r="K420" s="17" t="s">
        <v>66</v>
      </c>
      <c r="L420" s="17" t="s">
        <v>21</v>
      </c>
      <c r="M420" s="17" t="s">
        <v>82</v>
      </c>
      <c r="N420" s="17">
        <v>590</v>
      </c>
      <c r="O420" s="17">
        <v>498</v>
      </c>
      <c r="P420" s="26">
        <f>(data[[#This Row],[LoadedMiles]]/data[[#This Row],[TotalMiles]])*100</f>
        <v>84.406779661016955</v>
      </c>
      <c r="Q420" s="25">
        <f>data[[#This Row],[ShippingCost]]/data[[#This Row],[TotalMiles]]</f>
        <v>8.3067796610169484</v>
      </c>
      <c r="R420" s="17">
        <v>4901</v>
      </c>
      <c r="S420" s="25">
        <f>data[[#This Row],[Revenue]]/data[[#This Row],[TotalMiles]]</f>
        <v>8.5610169491525419</v>
      </c>
      <c r="T420" s="26">
        <f>data[[#This Row],[Revenue]]-data[[#This Row],[ShippingCost]]</f>
        <v>150</v>
      </c>
      <c r="U420" s="17">
        <v>5051</v>
      </c>
      <c r="V420" s="17">
        <v>62</v>
      </c>
      <c r="W420" s="17" t="s">
        <v>68</v>
      </c>
      <c r="X420" s="17">
        <v>3</v>
      </c>
      <c r="Y420" s="17">
        <f>data[[#This Row],[DeliveryDate]]-data[[#This Row],[ShipDate]]</f>
        <v>73</v>
      </c>
      <c r="Z420" s="17" t="str">
        <f>IF(data[[#This Row],[Actual Delivery Days]]&gt;AD421,"Yes","No")</f>
        <v>Yes</v>
      </c>
    </row>
    <row r="421" spans="1:26">
      <c r="A421" s="17">
        <v>11465</v>
      </c>
      <c r="B421" s="17">
        <v>2</v>
      </c>
      <c r="C421" s="17">
        <v>5</v>
      </c>
      <c r="D421" s="17" t="s">
        <v>582</v>
      </c>
      <c r="E421" s="17" t="s">
        <v>363</v>
      </c>
      <c r="F421" s="17" t="str">
        <f>TEXT(data[[#This Row],[ShipDate]],"yyyy - mmmm")</f>
        <v>2016 - February</v>
      </c>
      <c r="G421" s="17" t="str">
        <f>data[[#This Row],[OriginCity]] &amp; " - "  &amp; data[[#This Row],[DestinationCity]]</f>
        <v>Green Bay - Joliet</v>
      </c>
      <c r="H421" s="17" t="s">
        <v>75</v>
      </c>
      <c r="I421" s="17" t="s">
        <v>29</v>
      </c>
      <c r="J421" s="17">
        <v>7</v>
      </c>
      <c r="K421" s="17" t="s">
        <v>61</v>
      </c>
      <c r="L421" s="17" t="s">
        <v>31</v>
      </c>
      <c r="M421" s="17" t="s">
        <v>88</v>
      </c>
      <c r="N421" s="17">
        <v>461</v>
      </c>
      <c r="O421" s="17">
        <v>461</v>
      </c>
      <c r="P421" s="26">
        <f>(data[[#This Row],[LoadedMiles]]/data[[#This Row],[TotalMiles]])*100</f>
        <v>100</v>
      </c>
      <c r="Q421" s="25">
        <f>data[[#This Row],[ShippingCost]]/data[[#This Row],[TotalMiles]]</f>
        <v>13.520607375271149</v>
      </c>
      <c r="R421" s="17">
        <v>6233</v>
      </c>
      <c r="S421" s="25">
        <f>data[[#This Row],[Revenue]]/data[[#This Row],[TotalMiles]]</f>
        <v>14.088937093275488</v>
      </c>
      <c r="T421" s="26">
        <f>data[[#This Row],[Revenue]]-data[[#This Row],[ShippingCost]]</f>
        <v>262</v>
      </c>
      <c r="U421" s="17">
        <v>6495</v>
      </c>
      <c r="V421" s="17">
        <v>59</v>
      </c>
      <c r="W421" s="17" t="s">
        <v>68</v>
      </c>
      <c r="X421" s="17">
        <v>9</v>
      </c>
      <c r="Y421" s="17">
        <f>data[[#This Row],[DeliveryDate]]-data[[#This Row],[ShipDate]]</f>
        <v>4</v>
      </c>
      <c r="Z421" s="17" t="str">
        <f>IF(data[[#This Row],[Actual Delivery Days]]&gt;AD422,"Yes","No")</f>
        <v>Yes</v>
      </c>
    </row>
    <row r="422" spans="1:26">
      <c r="A422" s="17">
        <v>11483</v>
      </c>
      <c r="B422" s="17">
        <v>2</v>
      </c>
      <c r="C422" s="17">
        <v>2</v>
      </c>
      <c r="D422" s="17" t="s">
        <v>605</v>
      </c>
      <c r="E422" s="17" t="s">
        <v>67</v>
      </c>
      <c r="F422" s="17" t="str">
        <f>TEXT(data[[#This Row],[ShipDate]],"yyyy - mmmm")</f>
        <v>2016 - April</v>
      </c>
      <c r="G422" s="17" t="str">
        <f>data[[#This Row],[OriginCity]] &amp; " - "  &amp; data[[#This Row],[DestinationCity]]</f>
        <v>Gary - Milwaukee</v>
      </c>
      <c r="H422" s="17" t="s">
        <v>57</v>
      </c>
      <c r="I422" s="17" t="s">
        <v>44</v>
      </c>
      <c r="J422" s="17">
        <v>7</v>
      </c>
      <c r="K422" s="17" t="s">
        <v>28</v>
      </c>
      <c r="L422" s="17" t="s">
        <v>29</v>
      </c>
      <c r="M422" s="17" t="s">
        <v>98</v>
      </c>
      <c r="N422" s="17">
        <v>886</v>
      </c>
      <c r="O422" s="17">
        <v>771</v>
      </c>
      <c r="P422" s="26">
        <f>(data[[#This Row],[LoadedMiles]]/data[[#This Row],[TotalMiles]])*100</f>
        <v>87.020316027088043</v>
      </c>
      <c r="Q422" s="25">
        <f>data[[#This Row],[ShippingCost]]/data[[#This Row],[TotalMiles]]</f>
        <v>4.466139954853273</v>
      </c>
      <c r="R422" s="17">
        <v>3957</v>
      </c>
      <c r="S422" s="25">
        <f>data[[#This Row],[Revenue]]/data[[#This Row],[TotalMiles]]</f>
        <v>5.503386004514673</v>
      </c>
      <c r="T422" s="26">
        <f>data[[#This Row],[Revenue]]-data[[#This Row],[ShippingCost]]</f>
        <v>919</v>
      </c>
      <c r="U422" s="17">
        <v>4876</v>
      </c>
      <c r="V422" s="17">
        <v>97</v>
      </c>
      <c r="W422" s="17" t="s">
        <v>68</v>
      </c>
      <c r="X422" s="17">
        <v>1</v>
      </c>
      <c r="Y422" s="17">
        <f>data[[#This Row],[DeliveryDate]]-data[[#This Row],[ShipDate]]</f>
        <v>6</v>
      </c>
      <c r="Z422" s="17" t="str">
        <f>IF(data[[#This Row],[Actual Delivery Days]]&gt;AD423,"Yes","No")</f>
        <v>Yes</v>
      </c>
    </row>
    <row r="423" spans="1:26">
      <c r="A423" s="17">
        <v>11534</v>
      </c>
      <c r="B423" s="17">
        <v>2</v>
      </c>
      <c r="C423" s="17">
        <v>1</v>
      </c>
      <c r="D423" s="17" t="s">
        <v>189</v>
      </c>
      <c r="E423" s="17" t="s">
        <v>607</v>
      </c>
      <c r="F423" s="17" t="str">
        <f>TEXT(data[[#This Row],[ShipDate]],"yyyy - mmmm")</f>
        <v>2016 - June</v>
      </c>
      <c r="G423" s="17" t="str">
        <f>data[[#This Row],[OriginCity]] &amp; " - "  &amp; data[[#This Row],[DestinationCity]]</f>
        <v>Naperville - Indianapolis</v>
      </c>
      <c r="H423" s="17" t="s">
        <v>48</v>
      </c>
      <c r="I423" s="17" t="s">
        <v>31</v>
      </c>
      <c r="J423" s="17">
        <v>7</v>
      </c>
      <c r="K423" s="17" t="s">
        <v>43</v>
      </c>
      <c r="L423" s="17" t="s">
        <v>44</v>
      </c>
      <c r="M423" s="17" t="s">
        <v>542</v>
      </c>
      <c r="N423" s="17">
        <v>602</v>
      </c>
      <c r="O423" s="17">
        <v>342</v>
      </c>
      <c r="P423" s="26">
        <f>(data[[#This Row],[LoadedMiles]]/data[[#This Row],[TotalMiles]])*100</f>
        <v>56.810631229235874</v>
      </c>
      <c r="Q423" s="25">
        <f>data[[#This Row],[ShippingCost]]/data[[#This Row],[TotalMiles]]</f>
        <v>6.5249169435215943</v>
      </c>
      <c r="R423" s="17">
        <v>3928</v>
      </c>
      <c r="S423" s="25">
        <f>data[[#This Row],[Revenue]]/data[[#This Row],[TotalMiles]]</f>
        <v>12.583056478405316</v>
      </c>
      <c r="T423" s="26">
        <f>data[[#This Row],[Revenue]]-data[[#This Row],[ShippingCost]]</f>
        <v>3647</v>
      </c>
      <c r="U423" s="17">
        <v>7575</v>
      </c>
      <c r="V423" s="17">
        <v>93</v>
      </c>
      <c r="W423" s="17" t="s">
        <v>68</v>
      </c>
      <c r="X423" s="17">
        <v>1</v>
      </c>
      <c r="Y423" s="17">
        <f>data[[#This Row],[DeliveryDate]]-data[[#This Row],[ShipDate]]</f>
        <v>10</v>
      </c>
      <c r="Z423" s="17" t="str">
        <f>IF(data[[#This Row],[Actual Delivery Days]]&gt;AD424,"Yes","No")</f>
        <v>Yes</v>
      </c>
    </row>
    <row r="424" spans="1:26">
      <c r="A424" s="17">
        <v>11550</v>
      </c>
      <c r="B424" s="17">
        <v>2</v>
      </c>
      <c r="C424" s="17">
        <v>4</v>
      </c>
      <c r="D424" s="17" t="s">
        <v>228</v>
      </c>
      <c r="E424" s="17" t="s">
        <v>161</v>
      </c>
      <c r="F424" s="17" t="str">
        <f>TEXT(data[[#This Row],[ShipDate]],"yyyy - mmmm")</f>
        <v>2016 - April</v>
      </c>
      <c r="G424" s="17" t="str">
        <f>data[[#This Row],[OriginCity]] &amp; " - "  &amp; data[[#This Row],[DestinationCity]]</f>
        <v>Northbrook - Naperville</v>
      </c>
      <c r="H424" s="17" t="s">
        <v>45</v>
      </c>
      <c r="I424" s="17" t="s">
        <v>31</v>
      </c>
      <c r="J424" s="17">
        <v>7</v>
      </c>
      <c r="K424" s="17" t="s">
        <v>48</v>
      </c>
      <c r="L424" s="17" t="s">
        <v>31</v>
      </c>
      <c r="M424" s="17" t="s">
        <v>98</v>
      </c>
      <c r="N424" s="17">
        <v>536</v>
      </c>
      <c r="O424" s="17">
        <v>536</v>
      </c>
      <c r="P424" s="26">
        <f>(data[[#This Row],[LoadedMiles]]/data[[#This Row],[TotalMiles]])*100</f>
        <v>100</v>
      </c>
      <c r="Q424" s="25">
        <f>data[[#This Row],[ShippingCost]]/data[[#This Row],[TotalMiles]]</f>
        <v>12.438432835820896</v>
      </c>
      <c r="R424" s="17">
        <v>6667</v>
      </c>
      <c r="S424" s="25">
        <f>data[[#This Row],[Revenue]]/data[[#This Row],[TotalMiles]]</f>
        <v>7.2014925373134329</v>
      </c>
      <c r="T424" s="26">
        <f>data[[#This Row],[Revenue]]-data[[#This Row],[ShippingCost]]</f>
        <v>-2807</v>
      </c>
      <c r="U424" s="17">
        <v>3860</v>
      </c>
      <c r="V424" s="17">
        <v>71</v>
      </c>
      <c r="W424" s="17" t="s">
        <v>68</v>
      </c>
      <c r="X424" s="17">
        <v>10</v>
      </c>
      <c r="Y424" s="17">
        <f>data[[#This Row],[DeliveryDate]]-data[[#This Row],[ShipDate]]</f>
        <v>10</v>
      </c>
      <c r="Z424" s="17" t="str">
        <f>IF(data[[#This Row],[Actual Delivery Days]]&gt;AD425,"Yes","No")</f>
        <v>Yes</v>
      </c>
    </row>
    <row r="425" spans="1:26">
      <c r="A425" s="17">
        <v>11570</v>
      </c>
      <c r="B425" s="17">
        <v>2</v>
      </c>
      <c r="C425" s="17">
        <v>2</v>
      </c>
      <c r="D425" s="17" t="s">
        <v>269</v>
      </c>
      <c r="E425" s="17" t="s">
        <v>259</v>
      </c>
      <c r="F425" s="17" t="str">
        <f>TEXT(data[[#This Row],[ShipDate]],"yyyy - mmmm")</f>
        <v>2016 - February</v>
      </c>
      <c r="G425" s="17" t="str">
        <f>data[[#This Row],[OriginCity]] &amp; " - "  &amp; data[[#This Row],[DestinationCity]]</f>
        <v>Springfield - Skokie</v>
      </c>
      <c r="H425" s="17" t="s">
        <v>30</v>
      </c>
      <c r="I425" s="17" t="s">
        <v>31</v>
      </c>
      <c r="J425" s="17">
        <v>7</v>
      </c>
      <c r="K425" s="17" t="s">
        <v>35</v>
      </c>
      <c r="L425" s="17" t="s">
        <v>31</v>
      </c>
      <c r="M425" s="17" t="s">
        <v>522</v>
      </c>
      <c r="N425" s="17">
        <v>1150</v>
      </c>
      <c r="O425" s="17">
        <v>274</v>
      </c>
      <c r="P425" s="26">
        <f>(data[[#This Row],[LoadedMiles]]/data[[#This Row],[TotalMiles]])*100</f>
        <v>23.826086956521738</v>
      </c>
      <c r="Q425" s="25">
        <f>data[[#This Row],[ShippingCost]]/data[[#This Row],[TotalMiles]]</f>
        <v>5.8556521739130432</v>
      </c>
      <c r="R425" s="17">
        <v>6734</v>
      </c>
      <c r="S425" s="25">
        <f>data[[#This Row],[Revenue]]/data[[#This Row],[TotalMiles]]</f>
        <v>6.1365217391304352</v>
      </c>
      <c r="T425" s="26">
        <f>data[[#This Row],[Revenue]]-data[[#This Row],[ShippingCost]]</f>
        <v>323</v>
      </c>
      <c r="U425" s="17">
        <v>7057</v>
      </c>
      <c r="V425" s="17">
        <v>71</v>
      </c>
      <c r="W425" s="17" t="s">
        <v>68</v>
      </c>
      <c r="X425" s="17">
        <v>3</v>
      </c>
      <c r="Y425" s="17">
        <f>data[[#This Row],[DeliveryDate]]-data[[#This Row],[ShipDate]]</f>
        <v>9</v>
      </c>
      <c r="Z425" s="17" t="str">
        <f>IF(data[[#This Row],[Actual Delivery Days]]&gt;AD426,"Yes","No")</f>
        <v>Yes</v>
      </c>
    </row>
    <row r="426" spans="1:26">
      <c r="A426" s="17">
        <v>11572</v>
      </c>
      <c r="B426" s="17">
        <v>2</v>
      </c>
      <c r="C426" s="17">
        <v>3</v>
      </c>
      <c r="D426" s="17" t="s">
        <v>273</v>
      </c>
      <c r="E426" s="17" t="s">
        <v>47</v>
      </c>
      <c r="F426" s="17" t="str">
        <f>TEXT(data[[#This Row],[ShipDate]],"yyyy - mmmm")</f>
        <v>2016 - April</v>
      </c>
      <c r="G426" s="17" t="str">
        <f>data[[#This Row],[OriginCity]] &amp; " - "  &amp; data[[#This Row],[DestinationCity]]</f>
        <v>Indianapolis - Northbrook</v>
      </c>
      <c r="H426" s="17" t="s">
        <v>43</v>
      </c>
      <c r="I426" s="17" t="s">
        <v>44</v>
      </c>
      <c r="J426" s="17">
        <v>7</v>
      </c>
      <c r="K426" s="17" t="s">
        <v>45</v>
      </c>
      <c r="L426" s="17" t="s">
        <v>31</v>
      </c>
      <c r="M426" s="17" t="s">
        <v>626</v>
      </c>
      <c r="N426" s="17">
        <v>871</v>
      </c>
      <c r="O426" s="17">
        <v>283</v>
      </c>
      <c r="P426" s="26">
        <f>(data[[#This Row],[LoadedMiles]]/data[[#This Row],[TotalMiles]])*100</f>
        <v>32.491389207807117</v>
      </c>
      <c r="Q426" s="25">
        <f>data[[#This Row],[ShippingCost]]/data[[#This Row],[TotalMiles]]</f>
        <v>3.4661308840413318</v>
      </c>
      <c r="R426" s="17">
        <v>3019</v>
      </c>
      <c r="S426" s="25">
        <f>data[[#This Row],[Revenue]]/data[[#This Row],[TotalMiles]]</f>
        <v>4.0608495981630313</v>
      </c>
      <c r="T426" s="26">
        <f>data[[#This Row],[Revenue]]-data[[#This Row],[ShippingCost]]</f>
        <v>518</v>
      </c>
      <c r="U426" s="17">
        <v>3537</v>
      </c>
      <c r="V426" s="17">
        <v>94</v>
      </c>
      <c r="W426" s="17" t="s">
        <v>68</v>
      </c>
      <c r="X426" s="17">
        <v>8</v>
      </c>
      <c r="Y426" s="17">
        <f>data[[#This Row],[DeliveryDate]]-data[[#This Row],[ShipDate]]</f>
        <v>10</v>
      </c>
      <c r="Z426" s="17" t="str">
        <f>IF(data[[#This Row],[Actual Delivery Days]]&gt;AD427,"Yes","No")</f>
        <v>Yes</v>
      </c>
    </row>
    <row r="427" spans="1:26">
      <c r="A427" s="17">
        <v>11587</v>
      </c>
      <c r="B427" s="17">
        <v>2</v>
      </c>
      <c r="C427" s="17">
        <v>1</v>
      </c>
      <c r="D427" s="17" t="s">
        <v>311</v>
      </c>
      <c r="E427" s="17" t="s">
        <v>355</v>
      </c>
      <c r="F427" s="17" t="str">
        <f>TEXT(data[[#This Row],[ShipDate]],"yyyy - mmmm")</f>
        <v>2016 - March</v>
      </c>
      <c r="G427" s="17" t="str">
        <f>data[[#This Row],[OriginCity]] &amp; " - "  &amp; data[[#This Row],[DestinationCity]]</f>
        <v>Davenport - Appleton</v>
      </c>
      <c r="H427" s="17" t="s">
        <v>105</v>
      </c>
      <c r="I427" s="17" t="s">
        <v>106</v>
      </c>
      <c r="J427" s="17">
        <v>7</v>
      </c>
      <c r="K427" s="17" t="s">
        <v>85</v>
      </c>
      <c r="L427" s="17" t="s">
        <v>29</v>
      </c>
      <c r="M427" s="17" t="s">
        <v>51</v>
      </c>
      <c r="N427" s="17">
        <v>698</v>
      </c>
      <c r="O427" s="17">
        <v>614</v>
      </c>
      <c r="P427" s="26">
        <f>(data[[#This Row],[LoadedMiles]]/data[[#This Row],[TotalMiles]])*100</f>
        <v>87.96561604584528</v>
      </c>
      <c r="Q427" s="25">
        <f>data[[#This Row],[ShippingCost]]/data[[#This Row],[TotalMiles]]</f>
        <v>8.3395415472779373</v>
      </c>
      <c r="R427" s="17">
        <v>5821</v>
      </c>
      <c r="S427" s="25">
        <f>data[[#This Row],[Revenue]]/data[[#This Row],[TotalMiles]]</f>
        <v>16.5243553008596</v>
      </c>
      <c r="T427" s="26">
        <f>data[[#This Row],[Revenue]]-data[[#This Row],[ShippingCost]]</f>
        <v>5713</v>
      </c>
      <c r="U427" s="17">
        <v>11534</v>
      </c>
      <c r="V427" s="17">
        <v>99</v>
      </c>
      <c r="W427" s="17" t="s">
        <v>68</v>
      </c>
      <c r="X427" s="17">
        <v>8</v>
      </c>
      <c r="Y427" s="17">
        <f>data[[#This Row],[DeliveryDate]]-data[[#This Row],[ShipDate]]</f>
        <v>8</v>
      </c>
      <c r="Z427" s="17" t="str">
        <f>IF(data[[#This Row],[Actual Delivery Days]]&gt;AD428,"Yes","No")</f>
        <v>Yes</v>
      </c>
    </row>
    <row r="428" spans="1:26">
      <c r="A428" s="17">
        <v>11588</v>
      </c>
      <c r="B428" s="17">
        <v>2</v>
      </c>
      <c r="C428" s="17">
        <v>3</v>
      </c>
      <c r="D428" s="17" t="s">
        <v>249</v>
      </c>
      <c r="E428" s="17" t="s">
        <v>67</v>
      </c>
      <c r="F428" s="17" t="str">
        <f>TEXT(data[[#This Row],[ShipDate]],"yyyy - mmmm")</f>
        <v>2016 - April</v>
      </c>
      <c r="G428" s="17" t="str">
        <f>data[[#This Row],[OriginCity]] &amp; " - "  &amp; data[[#This Row],[DestinationCity]]</f>
        <v>Grand Rapids - Toledo</v>
      </c>
      <c r="H428" s="17" t="s">
        <v>20</v>
      </c>
      <c r="I428" s="17" t="s">
        <v>21</v>
      </c>
      <c r="J428" s="17">
        <v>7</v>
      </c>
      <c r="K428" s="17" t="s">
        <v>22</v>
      </c>
      <c r="L428" s="17" t="s">
        <v>23</v>
      </c>
      <c r="M428" s="17" t="s">
        <v>49</v>
      </c>
      <c r="N428" s="17">
        <v>342</v>
      </c>
      <c r="O428" s="17">
        <v>220</v>
      </c>
      <c r="P428" s="26">
        <f>(data[[#This Row],[LoadedMiles]]/data[[#This Row],[TotalMiles]])*100</f>
        <v>64.327485380116954</v>
      </c>
      <c r="Q428" s="25">
        <f>data[[#This Row],[ShippingCost]]/data[[#This Row],[TotalMiles]]</f>
        <v>8.7192982456140342</v>
      </c>
      <c r="R428" s="17">
        <v>2982</v>
      </c>
      <c r="S428" s="25">
        <f>data[[#This Row],[Revenue]]/data[[#This Row],[TotalMiles]]</f>
        <v>10.730994152046783</v>
      </c>
      <c r="T428" s="26">
        <f>data[[#This Row],[Revenue]]-data[[#This Row],[ShippingCost]]</f>
        <v>688</v>
      </c>
      <c r="U428" s="17">
        <v>3670</v>
      </c>
      <c r="V428" s="17">
        <v>66</v>
      </c>
      <c r="W428" s="17" t="s">
        <v>68</v>
      </c>
      <c r="X428" s="17">
        <v>2</v>
      </c>
      <c r="Y428" s="17">
        <f>data[[#This Row],[DeliveryDate]]-data[[#This Row],[ShipDate]]</f>
        <v>10</v>
      </c>
      <c r="Z428" s="17" t="str">
        <f>IF(data[[#This Row],[Actual Delivery Days]]&gt;AD429,"Yes","No")</f>
        <v>Yes</v>
      </c>
    </row>
    <row r="429" spans="1:26">
      <c r="A429" s="17">
        <v>11603</v>
      </c>
      <c r="B429" s="17">
        <v>3</v>
      </c>
      <c r="C429" s="17">
        <v>6</v>
      </c>
      <c r="D429" s="17" t="s">
        <v>340</v>
      </c>
      <c r="E429" s="17" t="s">
        <v>218</v>
      </c>
      <c r="F429" s="17" t="str">
        <f>TEXT(data[[#This Row],[ShipDate]],"yyyy - mmmm")</f>
        <v>2016 - May</v>
      </c>
      <c r="G429" s="17" t="str">
        <f>data[[#This Row],[OriginCity]] &amp; " - "  &amp; data[[#This Row],[DestinationCity]]</f>
        <v>Lansing - Dayton</v>
      </c>
      <c r="H429" s="17" t="s">
        <v>66</v>
      </c>
      <c r="I429" s="17" t="s">
        <v>21</v>
      </c>
      <c r="J429" s="17">
        <v>7</v>
      </c>
      <c r="K429" s="17" t="s">
        <v>93</v>
      </c>
      <c r="L429" s="17" t="s">
        <v>23</v>
      </c>
      <c r="M429" s="17" t="s">
        <v>84</v>
      </c>
      <c r="N429" s="17">
        <v>1119</v>
      </c>
      <c r="O429" s="17">
        <v>269</v>
      </c>
      <c r="P429" s="26">
        <f>(data[[#This Row],[LoadedMiles]]/data[[#This Row],[TotalMiles]])*100</f>
        <v>24.039320822162647</v>
      </c>
      <c r="Q429" s="25">
        <f>data[[#This Row],[ShippingCost]]/data[[#This Row],[TotalMiles]]</f>
        <v>2.520107238605898</v>
      </c>
      <c r="R429" s="17">
        <v>2820</v>
      </c>
      <c r="S429" s="25">
        <f>data[[#This Row],[Revenue]]/data[[#This Row],[TotalMiles]]</f>
        <v>2.9213583556747094</v>
      </c>
      <c r="T429" s="26">
        <f>data[[#This Row],[Revenue]]-data[[#This Row],[ShippingCost]]</f>
        <v>449</v>
      </c>
      <c r="U429" s="17">
        <v>3269</v>
      </c>
      <c r="V429" s="17">
        <v>96</v>
      </c>
      <c r="W429" s="17" t="s">
        <v>68</v>
      </c>
      <c r="X429" s="17">
        <v>7</v>
      </c>
      <c r="Y429" s="17">
        <f>data[[#This Row],[DeliveryDate]]-data[[#This Row],[ShipDate]]</f>
        <v>10</v>
      </c>
      <c r="Z429" s="17" t="str">
        <f>IF(data[[#This Row],[Actual Delivery Days]]&gt;AD430,"Yes","No")</f>
        <v>Yes</v>
      </c>
    </row>
    <row r="430" spans="1:26">
      <c r="A430" s="17">
        <v>11620</v>
      </c>
      <c r="B430" s="17">
        <v>3</v>
      </c>
      <c r="C430" s="17">
        <v>2</v>
      </c>
      <c r="D430" s="17" t="s">
        <v>372</v>
      </c>
      <c r="E430" s="17" t="s">
        <v>51</v>
      </c>
      <c r="F430" s="17" t="str">
        <f>TEXT(data[[#This Row],[ShipDate]],"yyyy - mmmm")</f>
        <v>2016 - April</v>
      </c>
      <c r="G430" s="17" t="str">
        <f>data[[#This Row],[OriginCity]] &amp; " - "  &amp; data[[#This Row],[DestinationCity]]</f>
        <v>Appleton - Grand Rapids</v>
      </c>
      <c r="H430" s="17" t="s">
        <v>85</v>
      </c>
      <c r="I430" s="17" t="s">
        <v>29</v>
      </c>
      <c r="J430" s="17">
        <v>7</v>
      </c>
      <c r="K430" s="17" t="s">
        <v>20</v>
      </c>
      <c r="L430" s="17" t="s">
        <v>21</v>
      </c>
      <c r="M430" s="17" t="s">
        <v>623</v>
      </c>
      <c r="N430" s="17">
        <v>815</v>
      </c>
      <c r="O430" s="17">
        <v>781</v>
      </c>
      <c r="P430" s="26">
        <f>(data[[#This Row],[LoadedMiles]]/data[[#This Row],[TotalMiles]])*100</f>
        <v>95.828220858895705</v>
      </c>
      <c r="Q430" s="25">
        <f>data[[#This Row],[ShippingCost]]/data[[#This Row],[TotalMiles]]</f>
        <v>3.977914110429448</v>
      </c>
      <c r="R430" s="17">
        <v>3242</v>
      </c>
      <c r="S430" s="25">
        <f>data[[#This Row],[Revenue]]/data[[#This Row],[TotalMiles]]</f>
        <v>4.2809815950920242</v>
      </c>
      <c r="T430" s="26">
        <f>data[[#This Row],[Revenue]]-data[[#This Row],[ShippingCost]]</f>
        <v>247</v>
      </c>
      <c r="U430" s="17">
        <v>3489</v>
      </c>
      <c r="V430" s="17">
        <v>60</v>
      </c>
      <c r="W430" s="17" t="s">
        <v>68</v>
      </c>
      <c r="X430" s="17">
        <v>2</v>
      </c>
      <c r="Y430" s="17">
        <f>data[[#This Row],[DeliveryDate]]-data[[#This Row],[ShipDate]]</f>
        <v>9</v>
      </c>
      <c r="Z430" s="17" t="str">
        <f>IF(data[[#This Row],[Actual Delivery Days]]&gt;AD431,"Yes","No")</f>
        <v>Yes</v>
      </c>
    </row>
    <row r="431" spans="1:26">
      <c r="A431" s="17">
        <v>11621</v>
      </c>
      <c r="B431" s="17">
        <v>2</v>
      </c>
      <c r="C431" s="17">
        <v>1</v>
      </c>
      <c r="D431" s="17" t="s">
        <v>374</v>
      </c>
      <c r="E431" s="17" t="s">
        <v>542</v>
      </c>
      <c r="F431" s="17" t="str">
        <f>TEXT(data[[#This Row],[ShipDate]],"yyyy - mmmm")</f>
        <v>2016 - June</v>
      </c>
      <c r="G431" s="17" t="str">
        <f>data[[#This Row],[OriginCity]] &amp; " - "  &amp; data[[#This Row],[DestinationCity]]</f>
        <v>Cincinnati - Gary</v>
      </c>
      <c r="H431" s="17" t="s">
        <v>89</v>
      </c>
      <c r="I431" s="17" t="s">
        <v>23</v>
      </c>
      <c r="J431" s="17">
        <v>7</v>
      </c>
      <c r="K431" s="17" t="s">
        <v>57</v>
      </c>
      <c r="L431" s="17" t="s">
        <v>44</v>
      </c>
      <c r="M431" s="17" t="s">
        <v>116</v>
      </c>
      <c r="N431" s="17">
        <v>749</v>
      </c>
      <c r="O431" s="17">
        <v>612</v>
      </c>
      <c r="P431" s="26">
        <f>(data[[#This Row],[LoadedMiles]]/data[[#This Row],[TotalMiles]])*100</f>
        <v>81.708945260347136</v>
      </c>
      <c r="Q431" s="25">
        <f>data[[#This Row],[ShippingCost]]/data[[#This Row],[TotalMiles]]</f>
        <v>0.94526034712950602</v>
      </c>
      <c r="R431" s="17">
        <v>708</v>
      </c>
      <c r="S431" s="25">
        <f>data[[#This Row],[Revenue]]/data[[#This Row],[TotalMiles]]</f>
        <v>8.5086782376501997</v>
      </c>
      <c r="T431" s="26">
        <f>data[[#This Row],[Revenue]]-data[[#This Row],[ShippingCost]]</f>
        <v>5665</v>
      </c>
      <c r="U431" s="17">
        <v>6373</v>
      </c>
      <c r="V431" s="17">
        <v>77</v>
      </c>
      <c r="W431" s="17" t="s">
        <v>68</v>
      </c>
      <c r="X431" s="17">
        <v>5</v>
      </c>
      <c r="Y431" s="17">
        <f>data[[#This Row],[DeliveryDate]]-data[[#This Row],[ShipDate]]</f>
        <v>9</v>
      </c>
      <c r="Z431" s="17" t="str">
        <f>IF(data[[#This Row],[Actual Delivery Days]]&gt;AD432,"Yes","No")</f>
        <v>Yes</v>
      </c>
    </row>
    <row r="432" spans="1:26">
      <c r="A432" s="17">
        <v>11662</v>
      </c>
      <c r="B432" s="17">
        <v>2</v>
      </c>
      <c r="C432" s="17">
        <v>6</v>
      </c>
      <c r="D432" s="17" t="s">
        <v>446</v>
      </c>
      <c r="E432" s="17" t="s">
        <v>567</v>
      </c>
      <c r="F432" s="17" t="str">
        <f>TEXT(data[[#This Row],[ShipDate]],"yyyy - mmmm")</f>
        <v>2016 - February</v>
      </c>
      <c r="G432" s="17" t="str">
        <f>data[[#This Row],[OriginCity]] &amp; " - "  &amp; data[[#This Row],[DestinationCity]]</f>
        <v>Appleton - Grand Rapids</v>
      </c>
      <c r="H432" s="17" t="s">
        <v>85</v>
      </c>
      <c r="I432" s="17" t="s">
        <v>29</v>
      </c>
      <c r="J432" s="17">
        <v>7</v>
      </c>
      <c r="K432" s="17" t="s">
        <v>20</v>
      </c>
      <c r="L432" s="17" t="s">
        <v>21</v>
      </c>
      <c r="M432" s="17" t="s">
        <v>460</v>
      </c>
      <c r="N432" s="17">
        <v>474</v>
      </c>
      <c r="O432" s="17">
        <v>474</v>
      </c>
      <c r="P432" s="26">
        <f>(data[[#This Row],[LoadedMiles]]/data[[#This Row],[TotalMiles]])*100</f>
        <v>100</v>
      </c>
      <c r="Q432" s="25">
        <f>data[[#This Row],[ShippingCost]]/data[[#This Row],[TotalMiles]]</f>
        <v>17.670886075949365</v>
      </c>
      <c r="R432" s="17">
        <v>8376</v>
      </c>
      <c r="S432" s="25">
        <f>data[[#This Row],[Revenue]]/data[[#This Row],[TotalMiles]]</f>
        <v>18.953586497890296</v>
      </c>
      <c r="T432" s="26">
        <f>data[[#This Row],[Revenue]]-data[[#This Row],[ShippingCost]]</f>
        <v>608</v>
      </c>
      <c r="U432" s="17">
        <v>8984</v>
      </c>
      <c r="V432" s="17">
        <v>69</v>
      </c>
      <c r="W432" s="17" t="s">
        <v>68</v>
      </c>
      <c r="X432" s="17">
        <v>10</v>
      </c>
      <c r="Y432" s="17">
        <f>data[[#This Row],[DeliveryDate]]-data[[#This Row],[ShipDate]]</f>
        <v>4</v>
      </c>
      <c r="Z432" s="17" t="str">
        <f>IF(data[[#This Row],[Actual Delivery Days]]&gt;AD433,"Yes","No")</f>
        <v>Yes</v>
      </c>
    </row>
    <row r="433" spans="1:26">
      <c r="A433" s="17">
        <v>11675</v>
      </c>
      <c r="B433" s="17">
        <v>3</v>
      </c>
      <c r="C433" s="17">
        <v>1</v>
      </c>
      <c r="D433" s="17" t="s">
        <v>468</v>
      </c>
      <c r="E433" s="17" t="s">
        <v>535</v>
      </c>
      <c r="F433" s="17" t="str">
        <f>TEXT(data[[#This Row],[ShipDate]],"yyyy - mmmm")</f>
        <v>2016 - August</v>
      </c>
      <c r="G433" s="17" t="str">
        <f>data[[#This Row],[OriginCity]] &amp; " - "  &amp; data[[#This Row],[DestinationCity]]</f>
        <v>Northbrook - Naperville</v>
      </c>
      <c r="H433" s="17" t="s">
        <v>45</v>
      </c>
      <c r="I433" s="17" t="s">
        <v>31</v>
      </c>
      <c r="J433" s="17">
        <v>7</v>
      </c>
      <c r="K433" s="17" t="s">
        <v>48</v>
      </c>
      <c r="L433" s="17" t="s">
        <v>31</v>
      </c>
      <c r="M433" s="17" t="s">
        <v>82</v>
      </c>
      <c r="N433" s="17">
        <v>692</v>
      </c>
      <c r="O433" s="17">
        <v>632</v>
      </c>
      <c r="P433" s="26">
        <f>(data[[#This Row],[LoadedMiles]]/data[[#This Row],[TotalMiles]])*100</f>
        <v>91.329479768786129</v>
      </c>
      <c r="Q433" s="25">
        <f>data[[#This Row],[ShippingCost]]/data[[#This Row],[TotalMiles]]</f>
        <v>3.6936416184971099</v>
      </c>
      <c r="R433" s="17">
        <v>2556</v>
      </c>
      <c r="S433" s="25">
        <f>data[[#This Row],[Revenue]]/data[[#This Row],[TotalMiles]]</f>
        <v>10.686416184971097</v>
      </c>
      <c r="T433" s="26">
        <f>data[[#This Row],[Revenue]]-data[[#This Row],[ShippingCost]]</f>
        <v>4839</v>
      </c>
      <c r="U433" s="17">
        <v>7395</v>
      </c>
      <c r="V433" s="17">
        <v>88</v>
      </c>
      <c r="W433" s="17" t="s">
        <v>68</v>
      </c>
      <c r="X433" s="17">
        <v>6</v>
      </c>
      <c r="Y433" s="17">
        <f>data[[#This Row],[DeliveryDate]]-data[[#This Row],[ShipDate]]</f>
        <v>-135</v>
      </c>
      <c r="Z433" s="17" t="str">
        <f>IF(data[[#This Row],[Actual Delivery Days]]&gt;AD434,"Yes","No")</f>
        <v>No</v>
      </c>
    </row>
    <row r="434" spans="1:26">
      <c r="A434" s="17">
        <v>11679</v>
      </c>
      <c r="B434" s="17">
        <v>3</v>
      </c>
      <c r="C434" s="17">
        <v>3</v>
      </c>
      <c r="D434" s="17" t="s">
        <v>477</v>
      </c>
      <c r="E434" s="17" t="s">
        <v>49</v>
      </c>
      <c r="F434" s="17" t="str">
        <f>TEXT(data[[#This Row],[ShipDate]],"yyyy - mmmm")</f>
        <v>2016 - April</v>
      </c>
      <c r="G434" s="17" t="str">
        <f>data[[#This Row],[OriginCity]] &amp; " - "  &amp; data[[#This Row],[DestinationCity]]</f>
        <v>Green Bay - Joliet</v>
      </c>
      <c r="H434" s="17" t="s">
        <v>75</v>
      </c>
      <c r="I434" s="17" t="s">
        <v>29</v>
      </c>
      <c r="J434" s="17">
        <v>7</v>
      </c>
      <c r="K434" s="17" t="s">
        <v>61</v>
      </c>
      <c r="L434" s="17" t="s">
        <v>31</v>
      </c>
      <c r="M434" s="17" t="s">
        <v>606</v>
      </c>
      <c r="N434" s="17">
        <v>845</v>
      </c>
      <c r="O434" s="17">
        <v>547</v>
      </c>
      <c r="P434" s="26">
        <f>(data[[#This Row],[LoadedMiles]]/data[[#This Row],[TotalMiles]])*100</f>
        <v>64.73372781065089</v>
      </c>
      <c r="Q434" s="25">
        <f>data[[#This Row],[ShippingCost]]/data[[#This Row],[TotalMiles]]</f>
        <v>1.476923076923077</v>
      </c>
      <c r="R434" s="17">
        <v>1248</v>
      </c>
      <c r="S434" s="25">
        <f>data[[#This Row],[Revenue]]/data[[#This Row],[TotalMiles]]</f>
        <v>2.0390532544378699</v>
      </c>
      <c r="T434" s="26">
        <f>data[[#This Row],[Revenue]]-data[[#This Row],[ShippingCost]]</f>
        <v>475</v>
      </c>
      <c r="U434" s="17">
        <v>1723</v>
      </c>
      <c r="V434" s="17">
        <v>73</v>
      </c>
      <c r="W434" s="17" t="s">
        <v>68</v>
      </c>
      <c r="X434" s="17">
        <v>3</v>
      </c>
      <c r="Y434" s="17">
        <f>data[[#This Row],[DeliveryDate]]-data[[#This Row],[ShipDate]]</f>
        <v>5</v>
      </c>
      <c r="Z434" s="17" t="str">
        <f>IF(data[[#This Row],[Actual Delivery Days]]&gt;AD435,"Yes","No")</f>
        <v>Yes</v>
      </c>
    </row>
    <row r="435" spans="1:26">
      <c r="A435" s="17">
        <v>11709</v>
      </c>
      <c r="B435" s="17">
        <v>2</v>
      </c>
      <c r="C435" s="17">
        <v>2</v>
      </c>
      <c r="D435" s="17" t="s">
        <v>516</v>
      </c>
      <c r="E435" s="17" t="s">
        <v>391</v>
      </c>
      <c r="F435" s="17" t="str">
        <f>TEXT(data[[#This Row],[ShipDate]],"yyyy - mmmm")</f>
        <v>2016 - March</v>
      </c>
      <c r="G435" s="17" t="str">
        <f>data[[#This Row],[OriginCity]] &amp; " - "  &amp; data[[#This Row],[DestinationCity]]</f>
        <v>Elgin - Cincinnati</v>
      </c>
      <c r="H435" s="17" t="s">
        <v>94</v>
      </c>
      <c r="I435" s="17" t="s">
        <v>31</v>
      </c>
      <c r="J435" s="17">
        <v>7</v>
      </c>
      <c r="K435" s="17" t="s">
        <v>89</v>
      </c>
      <c r="L435" s="17" t="s">
        <v>23</v>
      </c>
      <c r="M435" s="17" t="s">
        <v>238</v>
      </c>
      <c r="N435" s="17">
        <v>360</v>
      </c>
      <c r="O435" s="17">
        <v>360</v>
      </c>
      <c r="P435" s="26">
        <f>(data[[#This Row],[LoadedMiles]]/data[[#This Row],[TotalMiles]])*100</f>
        <v>100</v>
      </c>
      <c r="Q435" s="25">
        <f>data[[#This Row],[ShippingCost]]/data[[#This Row],[TotalMiles]]</f>
        <v>10.769444444444444</v>
      </c>
      <c r="R435" s="17">
        <v>3877</v>
      </c>
      <c r="S435" s="25">
        <f>data[[#This Row],[Revenue]]/data[[#This Row],[TotalMiles]]</f>
        <v>11.197222222222223</v>
      </c>
      <c r="T435" s="26">
        <f>data[[#This Row],[Revenue]]-data[[#This Row],[ShippingCost]]</f>
        <v>154</v>
      </c>
      <c r="U435" s="17">
        <v>4031</v>
      </c>
      <c r="V435" s="17">
        <v>99</v>
      </c>
      <c r="W435" s="17" t="s">
        <v>68</v>
      </c>
      <c r="X435" s="17">
        <v>7</v>
      </c>
      <c r="Y435" s="17">
        <f>data[[#This Row],[DeliveryDate]]-data[[#This Row],[ShipDate]]</f>
        <v>7</v>
      </c>
      <c r="Z435" s="17" t="str">
        <f>IF(data[[#This Row],[Actual Delivery Days]]&gt;AD436,"Yes","No")</f>
        <v>Yes</v>
      </c>
    </row>
    <row r="436" spans="1:26">
      <c r="A436" s="17">
        <v>11726</v>
      </c>
      <c r="B436" s="17">
        <v>3</v>
      </c>
      <c r="C436" s="17">
        <v>4</v>
      </c>
      <c r="D436" s="17" t="s">
        <v>543</v>
      </c>
      <c r="E436" s="17" t="s">
        <v>211</v>
      </c>
      <c r="F436" s="17" t="str">
        <f>TEXT(data[[#This Row],[ShipDate]],"yyyy - mmmm")</f>
        <v>2016 - August</v>
      </c>
      <c r="G436" s="17" t="str">
        <f>data[[#This Row],[OriginCity]] &amp; " - "  &amp; data[[#This Row],[DestinationCity]]</f>
        <v>Cincinnati - Gary</v>
      </c>
      <c r="H436" s="17" t="s">
        <v>89</v>
      </c>
      <c r="I436" s="17" t="s">
        <v>23</v>
      </c>
      <c r="J436" s="17">
        <v>7</v>
      </c>
      <c r="K436" s="17" t="s">
        <v>57</v>
      </c>
      <c r="L436" s="17" t="s">
        <v>44</v>
      </c>
      <c r="M436" s="17" t="s">
        <v>341</v>
      </c>
      <c r="N436" s="17">
        <v>907</v>
      </c>
      <c r="O436" s="17">
        <v>373</v>
      </c>
      <c r="P436" s="26">
        <f>(data[[#This Row],[LoadedMiles]]/data[[#This Row],[TotalMiles]])*100</f>
        <v>41.124586549062847</v>
      </c>
      <c r="Q436" s="25">
        <f>data[[#This Row],[ShippingCost]]/data[[#This Row],[TotalMiles]]</f>
        <v>7.8026460859977949</v>
      </c>
      <c r="R436" s="17">
        <v>7077</v>
      </c>
      <c r="S436" s="25">
        <f>data[[#This Row],[Revenue]]/data[[#This Row],[TotalMiles]]</f>
        <v>6.0540242557883133</v>
      </c>
      <c r="T436" s="26">
        <f>data[[#This Row],[Revenue]]-data[[#This Row],[ShippingCost]]</f>
        <v>-1586</v>
      </c>
      <c r="U436" s="17">
        <v>5491</v>
      </c>
      <c r="V436" s="17">
        <v>70</v>
      </c>
      <c r="W436" s="17" t="s">
        <v>68</v>
      </c>
      <c r="X436" s="17">
        <v>5</v>
      </c>
      <c r="Y436" s="17">
        <f>data[[#This Row],[DeliveryDate]]-data[[#This Row],[ShipDate]]</f>
        <v>7</v>
      </c>
      <c r="Z436" s="17" t="str">
        <f>IF(data[[#This Row],[Actual Delivery Days]]&gt;AD437,"Yes","No")</f>
        <v>Yes</v>
      </c>
    </row>
    <row r="437" spans="1:26">
      <c r="A437" s="17">
        <v>11747</v>
      </c>
      <c r="B437" s="17">
        <v>3</v>
      </c>
      <c r="C437" s="17">
        <v>2</v>
      </c>
      <c r="D437" s="17" t="s">
        <v>566</v>
      </c>
      <c r="E437" s="17" t="s">
        <v>454</v>
      </c>
      <c r="F437" s="17" t="str">
        <f>TEXT(data[[#This Row],[ShipDate]],"yyyy - mmmm")</f>
        <v>2016 - March</v>
      </c>
      <c r="G437" s="17" t="str">
        <f>data[[#This Row],[OriginCity]] &amp; " - "  &amp; data[[#This Row],[DestinationCity]]</f>
        <v>Rockford - Green Bay</v>
      </c>
      <c r="H437" s="17" t="s">
        <v>40</v>
      </c>
      <c r="I437" s="17" t="s">
        <v>31</v>
      </c>
      <c r="J437" s="17">
        <v>7</v>
      </c>
      <c r="K437" s="17" t="s">
        <v>75</v>
      </c>
      <c r="L437" s="17" t="s">
        <v>29</v>
      </c>
      <c r="M437" s="17" t="s">
        <v>82</v>
      </c>
      <c r="N437" s="17">
        <v>525</v>
      </c>
      <c r="O437" s="17">
        <v>355</v>
      </c>
      <c r="P437" s="26">
        <f>(data[[#This Row],[LoadedMiles]]/data[[#This Row],[TotalMiles]])*100</f>
        <v>67.61904761904762</v>
      </c>
      <c r="Q437" s="25">
        <f>data[[#This Row],[ShippingCost]]/data[[#This Row],[TotalMiles]]</f>
        <v>1.1923809523809523</v>
      </c>
      <c r="R437" s="17">
        <v>626</v>
      </c>
      <c r="S437" s="25">
        <f>data[[#This Row],[Revenue]]/data[[#This Row],[TotalMiles]]</f>
        <v>2.5904761904761906</v>
      </c>
      <c r="T437" s="26">
        <f>data[[#This Row],[Revenue]]-data[[#This Row],[ShippingCost]]</f>
        <v>734</v>
      </c>
      <c r="U437" s="17">
        <v>1360</v>
      </c>
      <c r="V437" s="17">
        <v>86</v>
      </c>
      <c r="W437" s="17" t="s">
        <v>68</v>
      </c>
      <c r="X437" s="17">
        <v>7</v>
      </c>
      <c r="Y437" s="17">
        <f>data[[#This Row],[DeliveryDate]]-data[[#This Row],[ShipDate]]</f>
        <v>-3</v>
      </c>
      <c r="Z437" s="17" t="str">
        <f>IF(data[[#This Row],[Actual Delivery Days]]&gt;AD438,"Yes","No")</f>
        <v>No</v>
      </c>
    </row>
    <row r="438" spans="1:26">
      <c r="A438" s="17">
        <v>11763</v>
      </c>
      <c r="B438" s="17">
        <v>3</v>
      </c>
      <c r="C438" s="17">
        <v>3</v>
      </c>
      <c r="D438" s="17" t="s">
        <v>585</v>
      </c>
      <c r="E438" s="17" t="s">
        <v>424</v>
      </c>
      <c r="F438" s="17" t="str">
        <f>TEXT(data[[#This Row],[ShipDate]],"yyyy - mmmm")</f>
        <v>2016 - January</v>
      </c>
      <c r="G438" s="17" t="str">
        <f>data[[#This Row],[OriginCity]] &amp; " - "  &amp; data[[#This Row],[DestinationCity]]</f>
        <v>Northbrook - Naperville</v>
      </c>
      <c r="H438" s="17" t="s">
        <v>45</v>
      </c>
      <c r="I438" s="17" t="s">
        <v>31</v>
      </c>
      <c r="J438" s="17">
        <v>7</v>
      </c>
      <c r="K438" s="17" t="s">
        <v>48</v>
      </c>
      <c r="L438" s="17" t="s">
        <v>31</v>
      </c>
      <c r="M438" s="17" t="s">
        <v>583</v>
      </c>
      <c r="N438" s="17">
        <v>490</v>
      </c>
      <c r="O438" s="17">
        <v>251</v>
      </c>
      <c r="P438" s="26">
        <f>(data[[#This Row],[LoadedMiles]]/data[[#This Row],[TotalMiles]])*100</f>
        <v>51.224489795918373</v>
      </c>
      <c r="Q438" s="25">
        <f>data[[#This Row],[ShippingCost]]/data[[#This Row],[TotalMiles]]</f>
        <v>18.061224489795919</v>
      </c>
      <c r="R438" s="17">
        <v>8850</v>
      </c>
      <c r="S438" s="25">
        <f>data[[#This Row],[Revenue]]/data[[#This Row],[TotalMiles]]</f>
        <v>18.320408163265306</v>
      </c>
      <c r="T438" s="26">
        <f>data[[#This Row],[Revenue]]-data[[#This Row],[ShippingCost]]</f>
        <v>127</v>
      </c>
      <c r="U438" s="17">
        <v>8977</v>
      </c>
      <c r="V438" s="17">
        <v>60</v>
      </c>
      <c r="W438" s="17" t="s">
        <v>68</v>
      </c>
      <c r="X438" s="17">
        <v>9</v>
      </c>
      <c r="Y438" s="17">
        <f>data[[#This Row],[DeliveryDate]]-data[[#This Row],[ShipDate]]</f>
        <v>7</v>
      </c>
      <c r="Z438" s="17" t="str">
        <f>IF(data[[#This Row],[Actual Delivery Days]]&gt;AD439,"Yes","No")</f>
        <v>Yes</v>
      </c>
    </row>
    <row r="439" spans="1:26">
      <c r="A439" s="17">
        <v>11784</v>
      </c>
      <c r="B439" s="17">
        <v>2</v>
      </c>
      <c r="C439" s="17">
        <v>4</v>
      </c>
      <c r="D439" s="17" t="s">
        <v>37</v>
      </c>
      <c r="E439" s="17" t="s">
        <v>439</v>
      </c>
      <c r="F439" s="17" t="str">
        <f>TEXT(data[[#This Row],[ShipDate]],"yyyy - mmmm")</f>
        <v>2016 - June</v>
      </c>
      <c r="G439" s="17" t="str">
        <f>data[[#This Row],[OriginCity]] &amp; " - "  &amp; data[[#This Row],[DestinationCity]]</f>
        <v>Chicago - Rockford</v>
      </c>
      <c r="H439" s="17" t="s">
        <v>39</v>
      </c>
      <c r="I439" s="17" t="s">
        <v>31</v>
      </c>
      <c r="J439" s="17">
        <v>7</v>
      </c>
      <c r="K439" s="17" t="s">
        <v>40</v>
      </c>
      <c r="L439" s="17" t="s">
        <v>31</v>
      </c>
      <c r="M439" s="17" t="s">
        <v>116</v>
      </c>
      <c r="N439" s="17">
        <v>646</v>
      </c>
      <c r="O439" s="17">
        <v>571</v>
      </c>
      <c r="P439" s="26">
        <f>(data[[#This Row],[LoadedMiles]]/data[[#This Row],[TotalMiles]])*100</f>
        <v>88.390092879256969</v>
      </c>
      <c r="Q439" s="25">
        <f>data[[#This Row],[ShippingCost]]/data[[#This Row],[TotalMiles]]</f>
        <v>8.4907120743034064</v>
      </c>
      <c r="R439" s="17">
        <v>5485</v>
      </c>
      <c r="S439" s="25">
        <f>data[[#This Row],[Revenue]]/data[[#This Row],[TotalMiles]]</f>
        <v>5.6362229102167181</v>
      </c>
      <c r="T439" s="26">
        <f>data[[#This Row],[Revenue]]-data[[#This Row],[ShippingCost]]</f>
        <v>-1844</v>
      </c>
      <c r="U439" s="17">
        <v>3641</v>
      </c>
      <c r="V439" s="17">
        <v>81</v>
      </c>
      <c r="W439" s="17" t="s">
        <v>68</v>
      </c>
      <c r="X439" s="17">
        <v>4</v>
      </c>
      <c r="Y439" s="17">
        <f>data[[#This Row],[DeliveryDate]]-data[[#This Row],[ShipDate]]</f>
        <v>7</v>
      </c>
      <c r="Z439" s="17" t="str">
        <f>IF(data[[#This Row],[Actual Delivery Days]]&gt;AD440,"Yes","No")</f>
        <v>Yes</v>
      </c>
    </row>
    <row r="440" spans="1:26">
      <c r="A440" s="17">
        <v>11791</v>
      </c>
      <c r="B440" s="17">
        <v>2</v>
      </c>
      <c r="C440" s="17">
        <v>2</v>
      </c>
      <c r="D440" s="17" t="s">
        <v>73</v>
      </c>
      <c r="E440" s="17" t="s">
        <v>553</v>
      </c>
      <c r="F440" s="17" t="str">
        <f>TEXT(data[[#This Row],[ShipDate]],"yyyy - mmmm")</f>
        <v>2016 - July</v>
      </c>
      <c r="G440" s="17" t="str">
        <f>data[[#This Row],[OriginCity]] &amp; " - "  &amp; data[[#This Row],[DestinationCity]]</f>
        <v>Green Bay - Joliet</v>
      </c>
      <c r="H440" s="17" t="s">
        <v>75</v>
      </c>
      <c r="I440" s="17" t="s">
        <v>29</v>
      </c>
      <c r="J440" s="17">
        <v>7</v>
      </c>
      <c r="K440" s="17" t="s">
        <v>61</v>
      </c>
      <c r="L440" s="17" t="s">
        <v>31</v>
      </c>
      <c r="M440" s="17" t="s">
        <v>60</v>
      </c>
      <c r="N440" s="17">
        <v>950</v>
      </c>
      <c r="O440" s="17">
        <v>681</v>
      </c>
      <c r="P440" s="26">
        <f>(data[[#This Row],[LoadedMiles]]/data[[#This Row],[TotalMiles]])*100</f>
        <v>71.684210526315795</v>
      </c>
      <c r="Q440" s="25">
        <f>data[[#This Row],[ShippingCost]]/data[[#This Row],[TotalMiles]]</f>
        <v>8.4578947368421051</v>
      </c>
      <c r="R440" s="17">
        <v>8035</v>
      </c>
      <c r="S440" s="25">
        <f>data[[#This Row],[Revenue]]/data[[#This Row],[TotalMiles]]</f>
        <v>9.0715789473684207</v>
      </c>
      <c r="T440" s="26">
        <f>data[[#This Row],[Revenue]]-data[[#This Row],[ShippingCost]]</f>
        <v>583</v>
      </c>
      <c r="U440" s="17">
        <v>8618</v>
      </c>
      <c r="V440" s="17">
        <v>58</v>
      </c>
      <c r="W440" s="17" t="s">
        <v>68</v>
      </c>
      <c r="X440" s="17">
        <v>2</v>
      </c>
      <c r="Y440" s="17">
        <f>data[[#This Row],[DeliveryDate]]-data[[#This Row],[ShipDate]]</f>
        <v>6</v>
      </c>
      <c r="Z440" s="17" t="str">
        <f>IF(data[[#This Row],[Actual Delivery Days]]&gt;AD441,"Yes","No")</f>
        <v>Yes</v>
      </c>
    </row>
    <row r="441" spans="1:26">
      <c r="A441" s="17">
        <v>11802</v>
      </c>
      <c r="B441" s="17">
        <v>2</v>
      </c>
      <c r="C441" s="17">
        <v>4</v>
      </c>
      <c r="D441" s="17" t="s">
        <v>113</v>
      </c>
      <c r="E441" s="17" t="s">
        <v>156</v>
      </c>
      <c r="F441" s="17" t="str">
        <f>TEXT(data[[#This Row],[ShipDate]],"yyyy - mmmm")</f>
        <v>2016 - July</v>
      </c>
      <c r="G441" s="17" t="str">
        <f>data[[#This Row],[OriginCity]] &amp; " - "  &amp; data[[#This Row],[DestinationCity]]</f>
        <v>Kalamazoo - Bangor</v>
      </c>
      <c r="H441" s="17" t="s">
        <v>71</v>
      </c>
      <c r="I441" s="17" t="s">
        <v>21</v>
      </c>
      <c r="J441" s="17">
        <v>7</v>
      </c>
      <c r="K441" s="17" t="s">
        <v>104</v>
      </c>
      <c r="L441" s="17" t="s">
        <v>21</v>
      </c>
      <c r="M441" s="17" t="s">
        <v>63</v>
      </c>
      <c r="N441" s="17">
        <v>208</v>
      </c>
      <c r="O441" s="17">
        <v>208</v>
      </c>
      <c r="P441" s="26">
        <f>(data[[#This Row],[LoadedMiles]]/data[[#This Row],[TotalMiles]])*100</f>
        <v>100</v>
      </c>
      <c r="Q441" s="25">
        <f>data[[#This Row],[ShippingCost]]/data[[#This Row],[TotalMiles]]</f>
        <v>21.591346153846153</v>
      </c>
      <c r="R441" s="17">
        <v>4491</v>
      </c>
      <c r="S441" s="25">
        <f>data[[#This Row],[Revenue]]/data[[#This Row],[TotalMiles]]</f>
        <v>13.125</v>
      </c>
      <c r="T441" s="26">
        <f>data[[#This Row],[Revenue]]-data[[#This Row],[ShippingCost]]</f>
        <v>-1761</v>
      </c>
      <c r="U441" s="17">
        <v>2730</v>
      </c>
      <c r="V441" s="17">
        <v>50</v>
      </c>
      <c r="W441" s="17" t="s">
        <v>68</v>
      </c>
      <c r="X441" s="17">
        <v>1</v>
      </c>
      <c r="Y441" s="17">
        <f>data[[#This Row],[DeliveryDate]]-data[[#This Row],[ShipDate]]</f>
        <v>7</v>
      </c>
      <c r="Z441" s="17" t="str">
        <f>IF(data[[#This Row],[Actual Delivery Days]]&gt;AD442,"Yes","No")</f>
        <v>Yes</v>
      </c>
    </row>
    <row r="442" spans="1:26">
      <c r="A442" s="17">
        <v>10011</v>
      </c>
      <c r="B442" s="17">
        <v>2</v>
      </c>
      <c r="C442" s="17">
        <v>7</v>
      </c>
      <c r="D442" s="17" t="s">
        <v>73</v>
      </c>
      <c r="E442" s="17" t="s">
        <v>74</v>
      </c>
      <c r="F442" s="17" t="str">
        <f>TEXT(data[[#This Row],[ShipDate]],"yyyy - mmmm")</f>
        <v>2016 - March</v>
      </c>
      <c r="G442" s="17" t="str">
        <f>data[[#This Row],[OriginCity]] &amp; " - "  &amp; data[[#This Row],[DestinationCity]]</f>
        <v>Green Bay - Joliet</v>
      </c>
      <c r="H442" s="17" t="s">
        <v>75</v>
      </c>
      <c r="I442" s="17" t="s">
        <v>29</v>
      </c>
      <c r="J442" s="17">
        <v>6</v>
      </c>
      <c r="K442" s="17" t="s">
        <v>61</v>
      </c>
      <c r="L442" s="17" t="s">
        <v>31</v>
      </c>
      <c r="M442" s="17" t="s">
        <v>76</v>
      </c>
      <c r="N442" s="17">
        <v>470</v>
      </c>
      <c r="O442" s="17">
        <v>284</v>
      </c>
      <c r="P442" s="26">
        <f>(data[[#This Row],[LoadedMiles]]/data[[#This Row],[TotalMiles]])*100</f>
        <v>60.425531914893618</v>
      </c>
      <c r="Q442" s="25">
        <f>data[[#This Row],[ShippingCost]]/data[[#This Row],[TotalMiles]]</f>
        <v>7.2106382978723405</v>
      </c>
      <c r="R442" s="17">
        <v>3389</v>
      </c>
      <c r="S442" s="25">
        <f>data[[#This Row],[Revenue]]/data[[#This Row],[TotalMiles]]</f>
        <v>8.463829787234042</v>
      </c>
      <c r="T442" s="26">
        <f>data[[#This Row],[Revenue]]-data[[#This Row],[ShippingCost]]</f>
        <v>589</v>
      </c>
      <c r="U442" s="17">
        <v>3978</v>
      </c>
      <c r="V442" s="17">
        <v>55</v>
      </c>
      <c r="W442" s="17" t="s">
        <v>68</v>
      </c>
      <c r="X442" s="17">
        <v>2</v>
      </c>
      <c r="Y442" s="17">
        <f>data[[#This Row],[DeliveryDate]]-data[[#This Row],[ShipDate]]</f>
        <v>6</v>
      </c>
      <c r="Z442" s="17" t="str">
        <f>IF(data[[#This Row],[Actual Delivery Days]]&gt;AD443,"Yes","No")</f>
        <v>Yes</v>
      </c>
    </row>
    <row r="443" spans="1:26">
      <c r="A443" s="17">
        <v>10017</v>
      </c>
      <c r="B443" s="17">
        <v>2</v>
      </c>
      <c r="C443" s="17">
        <v>8</v>
      </c>
      <c r="D443" s="17" t="s">
        <v>102</v>
      </c>
      <c r="E443" s="17" t="s">
        <v>103</v>
      </c>
      <c r="F443" s="17" t="str">
        <f>TEXT(data[[#This Row],[ShipDate]],"yyyy - mmmm")</f>
        <v>2016 - August</v>
      </c>
      <c r="G443" s="17" t="str">
        <f>data[[#This Row],[OriginCity]] &amp; " - "  &amp; data[[#This Row],[DestinationCity]]</f>
        <v>Bangor - Davenport</v>
      </c>
      <c r="H443" s="17" t="s">
        <v>104</v>
      </c>
      <c r="I443" s="17" t="s">
        <v>21</v>
      </c>
      <c r="J443" s="17">
        <v>6</v>
      </c>
      <c r="K443" s="17" t="s">
        <v>105</v>
      </c>
      <c r="L443" s="17" t="s">
        <v>106</v>
      </c>
      <c r="M443" s="17" t="s">
        <v>34</v>
      </c>
      <c r="N443" s="17">
        <v>525</v>
      </c>
      <c r="O443" s="17">
        <v>460</v>
      </c>
      <c r="P443" s="26">
        <f>(data[[#This Row],[LoadedMiles]]/data[[#This Row],[TotalMiles]])*100</f>
        <v>87.61904761904762</v>
      </c>
      <c r="Q443" s="25">
        <f>data[[#This Row],[ShippingCost]]/data[[#This Row],[TotalMiles]]</f>
        <v>4.4209523809523805</v>
      </c>
      <c r="R443" s="17">
        <v>2321</v>
      </c>
      <c r="S443" s="25">
        <f>data[[#This Row],[Revenue]]/data[[#This Row],[TotalMiles]]</f>
        <v>5.059047619047619</v>
      </c>
      <c r="T443" s="26">
        <f>data[[#This Row],[Revenue]]-data[[#This Row],[ShippingCost]]</f>
        <v>335</v>
      </c>
      <c r="U443" s="17">
        <v>2656</v>
      </c>
      <c r="V443" s="17">
        <v>71</v>
      </c>
      <c r="W443" s="17" t="s">
        <v>68</v>
      </c>
      <c r="X443" s="17">
        <v>4</v>
      </c>
      <c r="Y443" s="17">
        <f>data[[#This Row],[DeliveryDate]]-data[[#This Row],[ShipDate]]</f>
        <v>3</v>
      </c>
      <c r="Z443" s="17" t="str">
        <f>IF(data[[#This Row],[Actual Delivery Days]]&gt;AD444,"Yes","No")</f>
        <v>Yes</v>
      </c>
    </row>
    <row r="444" spans="1:26">
      <c r="A444" s="17">
        <v>10066</v>
      </c>
      <c r="B444" s="17">
        <v>2</v>
      </c>
      <c r="C444" s="17">
        <v>7</v>
      </c>
      <c r="D444" s="17" t="s">
        <v>247</v>
      </c>
      <c r="E444" s="17" t="s">
        <v>227</v>
      </c>
      <c r="F444" s="17" t="str">
        <f>TEXT(data[[#This Row],[ShipDate]],"yyyy - mmmm")</f>
        <v>2016 - May</v>
      </c>
      <c r="G444" s="17" t="str">
        <f>data[[#This Row],[OriginCity]] &amp; " - "  &amp; data[[#This Row],[DestinationCity]]</f>
        <v>Detriot - Monon</v>
      </c>
      <c r="H444" s="17" t="s">
        <v>52</v>
      </c>
      <c r="I444" s="17" t="s">
        <v>21</v>
      </c>
      <c r="J444" s="17">
        <v>6</v>
      </c>
      <c r="K444" s="17" t="s">
        <v>53</v>
      </c>
      <c r="L444" s="17" t="s">
        <v>44</v>
      </c>
      <c r="M444" s="17" t="s">
        <v>248</v>
      </c>
      <c r="N444" s="17">
        <v>970</v>
      </c>
      <c r="O444" s="17">
        <v>414</v>
      </c>
      <c r="P444" s="26">
        <f>(data[[#This Row],[LoadedMiles]]/data[[#This Row],[TotalMiles]])*100</f>
        <v>42.680412371134018</v>
      </c>
      <c r="Q444" s="25">
        <f>data[[#This Row],[ShippingCost]]/data[[#This Row],[TotalMiles]]</f>
        <v>6.2226804123711341</v>
      </c>
      <c r="R444" s="17">
        <v>6036</v>
      </c>
      <c r="S444" s="25">
        <f>data[[#This Row],[Revenue]]/data[[#This Row],[TotalMiles]]</f>
        <v>6.4958762886597938</v>
      </c>
      <c r="T444" s="26">
        <f>data[[#This Row],[Revenue]]-data[[#This Row],[ShippingCost]]</f>
        <v>265</v>
      </c>
      <c r="U444" s="17">
        <v>6301</v>
      </c>
      <c r="V444" s="17">
        <v>55</v>
      </c>
      <c r="W444" s="17" t="s">
        <v>68</v>
      </c>
      <c r="X444" s="17">
        <v>1</v>
      </c>
      <c r="Y444" s="17">
        <f>data[[#This Row],[DeliveryDate]]-data[[#This Row],[ShipDate]]</f>
        <v>5</v>
      </c>
      <c r="Z444" s="17" t="str">
        <f>IF(data[[#This Row],[Actual Delivery Days]]&gt;AD445,"Yes","No")</f>
        <v>Yes</v>
      </c>
    </row>
    <row r="445" spans="1:26">
      <c r="A445" s="17">
        <v>10067</v>
      </c>
      <c r="B445" s="17">
        <v>2</v>
      </c>
      <c r="C445" s="17">
        <v>5</v>
      </c>
      <c r="D445" s="17" t="s">
        <v>249</v>
      </c>
      <c r="E445" s="17" t="s">
        <v>168</v>
      </c>
      <c r="F445" s="17" t="str">
        <f>TEXT(data[[#This Row],[ShipDate]],"yyyy - mmmm")</f>
        <v>2016 - February</v>
      </c>
      <c r="G445" s="17" t="str">
        <f>data[[#This Row],[OriginCity]] &amp; " - "  &amp; data[[#This Row],[DestinationCity]]</f>
        <v>Gary - Milwaukee</v>
      </c>
      <c r="H445" s="17" t="s">
        <v>57</v>
      </c>
      <c r="I445" s="17" t="s">
        <v>44</v>
      </c>
      <c r="J445" s="17">
        <v>6</v>
      </c>
      <c r="K445" s="17" t="s">
        <v>28</v>
      </c>
      <c r="L445" s="17" t="s">
        <v>29</v>
      </c>
      <c r="M445" s="17" t="s">
        <v>206</v>
      </c>
      <c r="N445" s="17">
        <v>695</v>
      </c>
      <c r="O445" s="17">
        <v>617</v>
      </c>
      <c r="P445" s="26">
        <f>(data[[#This Row],[LoadedMiles]]/data[[#This Row],[TotalMiles]])*100</f>
        <v>88.776978417266179</v>
      </c>
      <c r="Q445" s="25">
        <f>data[[#This Row],[ShippingCost]]/data[[#This Row],[TotalMiles]]</f>
        <v>5.1654676258992804</v>
      </c>
      <c r="R445" s="17">
        <v>3590</v>
      </c>
      <c r="S445" s="25">
        <f>data[[#This Row],[Revenue]]/data[[#This Row],[TotalMiles]]</f>
        <v>6.4676258992805753</v>
      </c>
      <c r="T445" s="26">
        <f>data[[#This Row],[Revenue]]-data[[#This Row],[ShippingCost]]</f>
        <v>905</v>
      </c>
      <c r="U445" s="17">
        <v>4495</v>
      </c>
      <c r="V445" s="17">
        <v>73</v>
      </c>
      <c r="W445" s="17" t="s">
        <v>68</v>
      </c>
      <c r="X445" s="17">
        <v>1</v>
      </c>
      <c r="Y445" s="17">
        <f>data[[#This Row],[DeliveryDate]]-data[[#This Row],[ShipDate]]</f>
        <v>3</v>
      </c>
      <c r="Z445" s="17" t="str">
        <f>IF(data[[#This Row],[Actual Delivery Days]]&gt;AD446,"Yes","No")</f>
        <v>Yes</v>
      </c>
    </row>
    <row r="446" spans="1:26">
      <c r="A446" s="17">
        <v>10082</v>
      </c>
      <c r="B446" s="17">
        <v>2</v>
      </c>
      <c r="C446" s="17">
        <v>5</v>
      </c>
      <c r="D446" s="17" t="s">
        <v>287</v>
      </c>
      <c r="E446" s="17" t="s">
        <v>282</v>
      </c>
      <c r="F446" s="17" t="str">
        <f>TEXT(data[[#This Row],[ShipDate]],"yyyy - mmmm")</f>
        <v>2016 - June</v>
      </c>
      <c r="G446" s="17" t="str">
        <f>data[[#This Row],[OriginCity]] &amp; " - "  &amp; data[[#This Row],[DestinationCity]]</f>
        <v>Chicago - Rockford</v>
      </c>
      <c r="H446" s="17" t="s">
        <v>39</v>
      </c>
      <c r="I446" s="17" t="s">
        <v>31</v>
      </c>
      <c r="J446" s="17">
        <v>6</v>
      </c>
      <c r="K446" s="17" t="s">
        <v>40</v>
      </c>
      <c r="L446" s="17" t="s">
        <v>31</v>
      </c>
      <c r="M446" s="17" t="s">
        <v>135</v>
      </c>
      <c r="N446" s="17">
        <v>649</v>
      </c>
      <c r="O446" s="17">
        <v>649</v>
      </c>
      <c r="P446" s="26">
        <f>(data[[#This Row],[LoadedMiles]]/data[[#This Row],[TotalMiles]])*100</f>
        <v>100</v>
      </c>
      <c r="Q446" s="25">
        <f>data[[#This Row],[ShippingCost]]/data[[#This Row],[TotalMiles]]</f>
        <v>12.2788906009245</v>
      </c>
      <c r="R446" s="17">
        <v>7969</v>
      </c>
      <c r="S446" s="25">
        <f>data[[#This Row],[Revenue]]/data[[#This Row],[TotalMiles]]</f>
        <v>13.003081664098612</v>
      </c>
      <c r="T446" s="26">
        <f>data[[#This Row],[Revenue]]-data[[#This Row],[ShippingCost]]</f>
        <v>470</v>
      </c>
      <c r="U446" s="17">
        <v>8439</v>
      </c>
      <c r="V446" s="17">
        <v>88</v>
      </c>
      <c r="W446" s="17" t="s">
        <v>68</v>
      </c>
      <c r="X446" s="17">
        <v>3</v>
      </c>
      <c r="Y446" s="17">
        <f>data[[#This Row],[DeliveryDate]]-data[[#This Row],[ShipDate]]</f>
        <v>5</v>
      </c>
      <c r="Z446" s="17" t="str">
        <f>IF(data[[#This Row],[Actual Delivery Days]]&gt;AD447,"Yes","No")</f>
        <v>Yes</v>
      </c>
    </row>
    <row r="447" spans="1:26">
      <c r="A447" s="17">
        <v>10092</v>
      </c>
      <c r="B447" s="17">
        <v>2</v>
      </c>
      <c r="C447" s="17">
        <v>6</v>
      </c>
      <c r="D447" s="17" t="s">
        <v>306</v>
      </c>
      <c r="E447" s="17" t="s">
        <v>307</v>
      </c>
      <c r="F447" s="17" t="str">
        <f>TEXT(data[[#This Row],[ShipDate]],"yyyy - mmmm")</f>
        <v>2016 - August</v>
      </c>
      <c r="G447" s="17" t="str">
        <f>data[[#This Row],[OriginCity]] &amp; " - "  &amp; data[[#This Row],[DestinationCity]]</f>
        <v>Rockford - Green Bay</v>
      </c>
      <c r="H447" s="17" t="s">
        <v>40</v>
      </c>
      <c r="I447" s="17" t="s">
        <v>31</v>
      </c>
      <c r="J447" s="17">
        <v>6</v>
      </c>
      <c r="K447" s="17" t="s">
        <v>75</v>
      </c>
      <c r="L447" s="17" t="s">
        <v>29</v>
      </c>
      <c r="M447" s="17" t="s">
        <v>138</v>
      </c>
      <c r="N447" s="17">
        <v>695</v>
      </c>
      <c r="O447" s="17">
        <v>695</v>
      </c>
      <c r="P447" s="26">
        <f>(data[[#This Row],[LoadedMiles]]/data[[#This Row],[TotalMiles]])*100</f>
        <v>100</v>
      </c>
      <c r="Q447" s="25">
        <f>data[[#This Row],[ShippingCost]]/data[[#This Row],[TotalMiles]]</f>
        <v>3.7784172661870503</v>
      </c>
      <c r="R447" s="17">
        <v>2626</v>
      </c>
      <c r="S447" s="25">
        <f>data[[#This Row],[Revenue]]/data[[#This Row],[TotalMiles]]</f>
        <v>4.1122302158273385</v>
      </c>
      <c r="T447" s="26">
        <f>data[[#This Row],[Revenue]]-data[[#This Row],[ShippingCost]]</f>
        <v>232</v>
      </c>
      <c r="U447" s="17">
        <v>2858</v>
      </c>
      <c r="V447" s="17">
        <v>93</v>
      </c>
      <c r="W447" s="17" t="s">
        <v>68</v>
      </c>
      <c r="X447" s="17">
        <v>4</v>
      </c>
      <c r="Y447" s="17">
        <f>data[[#This Row],[DeliveryDate]]-data[[#This Row],[ShipDate]]</f>
        <v>6</v>
      </c>
      <c r="Z447" s="17" t="str">
        <f>IF(data[[#This Row],[Actual Delivery Days]]&gt;AD448,"Yes","No")</f>
        <v>Yes</v>
      </c>
    </row>
    <row r="448" spans="1:26">
      <c r="A448" s="17">
        <v>10164</v>
      </c>
      <c r="B448" s="17">
        <v>1</v>
      </c>
      <c r="C448" s="17">
        <v>8</v>
      </c>
      <c r="D448" s="17" t="s">
        <v>434</v>
      </c>
      <c r="E448" s="17" t="s">
        <v>435</v>
      </c>
      <c r="F448" s="17" t="str">
        <f>TEXT(data[[#This Row],[ShipDate]],"yyyy - mmmm")</f>
        <v>2016 - February</v>
      </c>
      <c r="G448" s="17" t="str">
        <f>data[[#This Row],[OriginCity]] &amp; " - "  &amp; data[[#This Row],[DestinationCity]]</f>
        <v>Kalamazoo - Bangor</v>
      </c>
      <c r="H448" s="17" t="s">
        <v>71</v>
      </c>
      <c r="I448" s="17" t="s">
        <v>21</v>
      </c>
      <c r="J448" s="17">
        <v>6</v>
      </c>
      <c r="K448" s="17" t="s">
        <v>104</v>
      </c>
      <c r="L448" s="17" t="s">
        <v>21</v>
      </c>
      <c r="M448" s="17" t="s">
        <v>88</v>
      </c>
      <c r="N448" s="17">
        <v>1147</v>
      </c>
      <c r="O448" s="17">
        <v>399</v>
      </c>
      <c r="P448" s="26">
        <f>(data[[#This Row],[LoadedMiles]]/data[[#This Row],[TotalMiles]])*100</f>
        <v>34.786399302528338</v>
      </c>
      <c r="Q448" s="25">
        <f>data[[#This Row],[ShippingCost]]/data[[#This Row],[TotalMiles]]</f>
        <v>0.25632083696599828</v>
      </c>
      <c r="R448" s="17">
        <v>294</v>
      </c>
      <c r="S448" s="25">
        <f>data[[#This Row],[Revenue]]/data[[#This Row],[TotalMiles]]</f>
        <v>0.48212728857890147</v>
      </c>
      <c r="T448" s="26">
        <f>data[[#This Row],[Revenue]]-data[[#This Row],[ShippingCost]]</f>
        <v>259</v>
      </c>
      <c r="U448" s="17">
        <v>553</v>
      </c>
      <c r="V448" s="17">
        <v>99</v>
      </c>
      <c r="W448" s="17" t="s">
        <v>68</v>
      </c>
      <c r="X448" s="17">
        <v>3</v>
      </c>
      <c r="Y448" s="17">
        <f>data[[#This Row],[DeliveryDate]]-data[[#This Row],[ShipDate]]</f>
        <v>6</v>
      </c>
      <c r="Z448" s="17" t="str">
        <f>IF(data[[#This Row],[Actual Delivery Days]]&gt;AD449,"Yes","No")</f>
        <v>Yes</v>
      </c>
    </row>
    <row r="449" spans="1:26">
      <c r="A449" s="17">
        <v>10196</v>
      </c>
      <c r="B449" s="17">
        <v>2</v>
      </c>
      <c r="C449" s="17">
        <v>7</v>
      </c>
      <c r="D449" s="17" t="s">
        <v>488</v>
      </c>
      <c r="E449" s="17" t="s">
        <v>319</v>
      </c>
      <c r="F449" s="17" t="str">
        <f>TEXT(data[[#This Row],[ShipDate]],"yyyy - mmmm")</f>
        <v>2016 - June</v>
      </c>
      <c r="G449" s="17" t="str">
        <f>data[[#This Row],[OriginCity]] &amp; " - "  &amp; data[[#This Row],[DestinationCity]]</f>
        <v>Rockford - Green Bay</v>
      </c>
      <c r="H449" s="17" t="s">
        <v>40</v>
      </c>
      <c r="I449" s="17" t="s">
        <v>31</v>
      </c>
      <c r="J449" s="17">
        <v>6</v>
      </c>
      <c r="K449" s="17" t="s">
        <v>75</v>
      </c>
      <c r="L449" s="17" t="s">
        <v>29</v>
      </c>
      <c r="M449" s="17" t="s">
        <v>299</v>
      </c>
      <c r="N449" s="17">
        <v>845</v>
      </c>
      <c r="O449" s="17">
        <v>503</v>
      </c>
      <c r="P449" s="26">
        <f>(data[[#This Row],[LoadedMiles]]/data[[#This Row],[TotalMiles]])*100</f>
        <v>59.526627218934912</v>
      </c>
      <c r="Q449" s="25">
        <f>data[[#This Row],[ShippingCost]]/data[[#This Row],[TotalMiles]]</f>
        <v>4.3798816568047334</v>
      </c>
      <c r="R449" s="17">
        <v>3701</v>
      </c>
      <c r="S449" s="25">
        <f>data[[#This Row],[Revenue]]/data[[#This Row],[TotalMiles]]</f>
        <v>5.1396449704142011</v>
      </c>
      <c r="T449" s="26">
        <f>data[[#This Row],[Revenue]]-data[[#This Row],[ShippingCost]]</f>
        <v>642</v>
      </c>
      <c r="U449" s="17">
        <v>4343</v>
      </c>
      <c r="V449" s="17">
        <v>81</v>
      </c>
      <c r="W449" s="17" t="s">
        <v>68</v>
      </c>
      <c r="X449" s="17">
        <v>1</v>
      </c>
      <c r="Y449" s="17">
        <f>data[[#This Row],[DeliveryDate]]-data[[#This Row],[ShipDate]]</f>
        <v>6</v>
      </c>
      <c r="Z449" s="17" t="str">
        <f>IF(data[[#This Row],[Actual Delivery Days]]&gt;AD450,"Yes","No")</f>
        <v>Yes</v>
      </c>
    </row>
    <row r="450" spans="1:26">
      <c r="A450" s="17">
        <v>10199</v>
      </c>
      <c r="B450" s="17">
        <v>1</v>
      </c>
      <c r="C450" s="17">
        <v>5</v>
      </c>
      <c r="D450" s="17" t="s">
        <v>491</v>
      </c>
      <c r="E450" s="17" t="s">
        <v>492</v>
      </c>
      <c r="F450" s="17" t="str">
        <f>TEXT(data[[#This Row],[ShipDate]],"yyyy - mmmm")</f>
        <v>2016 - July</v>
      </c>
      <c r="G450" s="17" t="str">
        <f>data[[#This Row],[OriginCity]] &amp; " - "  &amp; data[[#This Row],[DestinationCity]]</f>
        <v>Dayton - Elgin</v>
      </c>
      <c r="H450" s="17" t="s">
        <v>93</v>
      </c>
      <c r="I450" s="17" t="s">
        <v>23</v>
      </c>
      <c r="J450" s="17">
        <v>6</v>
      </c>
      <c r="K450" s="17" t="s">
        <v>94</v>
      </c>
      <c r="L450" s="17" t="s">
        <v>31</v>
      </c>
      <c r="M450" s="17" t="s">
        <v>141</v>
      </c>
      <c r="N450" s="17">
        <v>1124</v>
      </c>
      <c r="O450" s="17">
        <v>459</v>
      </c>
      <c r="P450" s="26">
        <f>(data[[#This Row],[LoadedMiles]]/data[[#This Row],[TotalMiles]])*100</f>
        <v>40.836298932384338</v>
      </c>
      <c r="Q450" s="25">
        <f>data[[#This Row],[ShippingCost]]/data[[#This Row],[TotalMiles]]</f>
        <v>3.6183274021352312</v>
      </c>
      <c r="R450" s="17">
        <v>4067</v>
      </c>
      <c r="S450" s="25">
        <f>data[[#This Row],[Revenue]]/data[[#This Row],[TotalMiles]]</f>
        <v>3.7286476868327401</v>
      </c>
      <c r="T450" s="26">
        <f>data[[#This Row],[Revenue]]-data[[#This Row],[ShippingCost]]</f>
        <v>124</v>
      </c>
      <c r="U450" s="17">
        <v>4191</v>
      </c>
      <c r="V450" s="17">
        <v>60</v>
      </c>
      <c r="W450" s="17" t="s">
        <v>68</v>
      </c>
      <c r="X450" s="17">
        <v>4</v>
      </c>
      <c r="Y450" s="17">
        <f>data[[#This Row],[DeliveryDate]]-data[[#This Row],[ShipDate]]</f>
        <v>6</v>
      </c>
      <c r="Z450" s="17" t="str">
        <f>IF(data[[#This Row],[Actual Delivery Days]]&gt;AD451,"Yes","No")</f>
        <v>Yes</v>
      </c>
    </row>
    <row r="451" spans="1:26">
      <c r="A451" s="17">
        <v>10215</v>
      </c>
      <c r="B451" s="17">
        <v>2</v>
      </c>
      <c r="C451" s="17">
        <v>6</v>
      </c>
      <c r="D451" s="17" t="s">
        <v>512</v>
      </c>
      <c r="E451" s="17" t="s">
        <v>513</v>
      </c>
      <c r="F451" s="17" t="str">
        <f>TEXT(data[[#This Row],[ShipDate]],"yyyy - mmmm")</f>
        <v>2016 - August</v>
      </c>
      <c r="G451" s="17" t="str">
        <f>data[[#This Row],[OriginCity]] &amp; " - "  &amp; data[[#This Row],[DestinationCity]]</f>
        <v>Monon - Lansing</v>
      </c>
      <c r="H451" s="17" t="s">
        <v>53</v>
      </c>
      <c r="I451" s="17" t="s">
        <v>44</v>
      </c>
      <c r="J451" s="17">
        <v>6</v>
      </c>
      <c r="K451" s="17" t="s">
        <v>66</v>
      </c>
      <c r="L451" s="17" t="s">
        <v>21</v>
      </c>
      <c r="M451" s="17" t="s">
        <v>415</v>
      </c>
      <c r="N451" s="17">
        <v>723</v>
      </c>
      <c r="O451" s="17">
        <v>715</v>
      </c>
      <c r="P451" s="26">
        <f>(data[[#This Row],[LoadedMiles]]/data[[#This Row],[TotalMiles]])*100</f>
        <v>98.893499308437072</v>
      </c>
      <c r="Q451" s="25">
        <f>data[[#This Row],[ShippingCost]]/data[[#This Row],[TotalMiles]]</f>
        <v>11.770401106500692</v>
      </c>
      <c r="R451" s="17">
        <v>8510</v>
      </c>
      <c r="S451" s="25">
        <f>data[[#This Row],[Revenue]]/data[[#This Row],[TotalMiles]]</f>
        <v>12.284923928077456</v>
      </c>
      <c r="T451" s="26">
        <f>data[[#This Row],[Revenue]]-data[[#This Row],[ShippingCost]]</f>
        <v>372</v>
      </c>
      <c r="U451" s="17">
        <v>8882</v>
      </c>
      <c r="V451" s="17">
        <v>65</v>
      </c>
      <c r="W451" s="17" t="s">
        <v>68</v>
      </c>
      <c r="X451" s="17">
        <v>7</v>
      </c>
      <c r="Y451" s="17">
        <f>data[[#This Row],[DeliveryDate]]-data[[#This Row],[ShipDate]]</f>
        <v>6</v>
      </c>
      <c r="Z451" s="17" t="str">
        <f>IF(data[[#This Row],[Actual Delivery Days]]&gt;AD452,"Yes","No")</f>
        <v>Yes</v>
      </c>
    </row>
    <row r="452" spans="1:26">
      <c r="A452" s="17">
        <v>10216</v>
      </c>
      <c r="B452" s="17">
        <v>2</v>
      </c>
      <c r="C452" s="17">
        <v>8</v>
      </c>
      <c r="D452" s="17" t="s">
        <v>514</v>
      </c>
      <c r="E452" s="17" t="s">
        <v>462</v>
      </c>
      <c r="F452" s="17" t="str">
        <f>TEXT(data[[#This Row],[ShipDate]],"yyyy - mmmm")</f>
        <v>2016 - March</v>
      </c>
      <c r="G452" s="17" t="str">
        <f>data[[#This Row],[OriginCity]] &amp; " - "  &amp; data[[#This Row],[DestinationCity]]</f>
        <v>Madison - Kalamazoo</v>
      </c>
      <c r="H452" s="17" t="s">
        <v>62</v>
      </c>
      <c r="I452" s="17" t="s">
        <v>29</v>
      </c>
      <c r="J452" s="17">
        <v>6</v>
      </c>
      <c r="K452" s="17" t="s">
        <v>71</v>
      </c>
      <c r="L452" s="17" t="s">
        <v>21</v>
      </c>
      <c r="M452" s="17" t="s">
        <v>353</v>
      </c>
      <c r="N452" s="17">
        <v>820</v>
      </c>
      <c r="O452" s="17">
        <v>793</v>
      </c>
      <c r="P452" s="26">
        <f>(data[[#This Row],[LoadedMiles]]/data[[#This Row],[TotalMiles]])*100</f>
        <v>96.707317073170728</v>
      </c>
      <c r="Q452" s="25">
        <f>data[[#This Row],[ShippingCost]]/data[[#This Row],[TotalMiles]]</f>
        <v>6.7841463414634147</v>
      </c>
      <c r="R452" s="17">
        <v>5563</v>
      </c>
      <c r="S452" s="25">
        <f>data[[#This Row],[Revenue]]/data[[#This Row],[TotalMiles]]</f>
        <v>7.1390243902439021</v>
      </c>
      <c r="T452" s="26">
        <f>data[[#This Row],[Revenue]]-data[[#This Row],[ShippingCost]]</f>
        <v>291</v>
      </c>
      <c r="U452" s="17">
        <v>5854</v>
      </c>
      <c r="V452" s="17">
        <v>82</v>
      </c>
      <c r="W452" s="17" t="s">
        <v>68</v>
      </c>
      <c r="X452" s="17">
        <v>8</v>
      </c>
      <c r="Y452" s="17">
        <f>data[[#This Row],[DeliveryDate]]-data[[#This Row],[ShipDate]]</f>
        <v>6</v>
      </c>
      <c r="Z452" s="17" t="str">
        <f>IF(data[[#This Row],[Actual Delivery Days]]&gt;AD453,"Yes","No")</f>
        <v>Yes</v>
      </c>
    </row>
    <row r="453" spans="1:26">
      <c r="A453" s="17">
        <v>10231</v>
      </c>
      <c r="B453" s="17">
        <v>1</v>
      </c>
      <c r="C453" s="17">
        <v>6</v>
      </c>
      <c r="D453" s="17" t="s">
        <v>539</v>
      </c>
      <c r="E453" s="17" t="s">
        <v>19</v>
      </c>
      <c r="F453" s="17" t="str">
        <f>TEXT(data[[#This Row],[ShipDate]],"yyyy - mmmm")</f>
        <v>2016 - July</v>
      </c>
      <c r="G453" s="17" t="str">
        <f>data[[#This Row],[OriginCity]] &amp; " - "  &amp; data[[#This Row],[DestinationCity]]</f>
        <v>Northbrook - Naperville</v>
      </c>
      <c r="H453" s="17" t="s">
        <v>45</v>
      </c>
      <c r="I453" s="17" t="s">
        <v>31</v>
      </c>
      <c r="J453" s="17">
        <v>6</v>
      </c>
      <c r="K453" s="17" t="s">
        <v>48</v>
      </c>
      <c r="L453" s="17" t="s">
        <v>31</v>
      </c>
      <c r="M453" s="17" t="s">
        <v>540</v>
      </c>
      <c r="N453" s="17">
        <v>394</v>
      </c>
      <c r="O453" s="17">
        <v>390</v>
      </c>
      <c r="P453" s="26">
        <f>(data[[#This Row],[LoadedMiles]]/data[[#This Row],[TotalMiles]])*100</f>
        <v>98.984771573604064</v>
      </c>
      <c r="Q453" s="25">
        <f>data[[#This Row],[ShippingCost]]/data[[#This Row],[TotalMiles]]</f>
        <v>4.9771573604060917</v>
      </c>
      <c r="R453" s="17">
        <v>1961</v>
      </c>
      <c r="S453" s="25">
        <f>data[[#This Row],[Revenue]]/data[[#This Row],[TotalMiles]]</f>
        <v>5.5152284263959395</v>
      </c>
      <c r="T453" s="26">
        <f>data[[#This Row],[Revenue]]-data[[#This Row],[ShippingCost]]</f>
        <v>212</v>
      </c>
      <c r="U453" s="17">
        <v>2173</v>
      </c>
      <c r="V453" s="17">
        <v>71</v>
      </c>
      <c r="W453" s="17" t="s">
        <v>68</v>
      </c>
      <c r="X453" s="17">
        <v>6</v>
      </c>
      <c r="Y453" s="17">
        <f>data[[#This Row],[DeliveryDate]]-data[[#This Row],[ShipDate]]</f>
        <v>6</v>
      </c>
      <c r="Z453" s="17" t="str">
        <f>IF(data[[#This Row],[Actual Delivery Days]]&gt;AD454,"Yes","No")</f>
        <v>Yes</v>
      </c>
    </row>
    <row r="454" spans="1:26">
      <c r="A454" s="17">
        <v>10252</v>
      </c>
      <c r="B454" s="17">
        <v>1</v>
      </c>
      <c r="C454" s="17">
        <v>4</v>
      </c>
      <c r="D454" s="17" t="s">
        <v>565</v>
      </c>
      <c r="E454" s="17" t="s">
        <v>216</v>
      </c>
      <c r="F454" s="17" t="str">
        <f>TEXT(data[[#This Row],[ShipDate]],"yyyy - mmmm")</f>
        <v>2016 - August</v>
      </c>
      <c r="G454" s="17" t="str">
        <f>data[[#This Row],[OriginCity]] &amp; " - "  &amp; data[[#This Row],[DestinationCity]]</f>
        <v>Indianapolis - Northbrook</v>
      </c>
      <c r="H454" s="17" t="s">
        <v>43</v>
      </c>
      <c r="I454" s="17" t="s">
        <v>44</v>
      </c>
      <c r="J454" s="17">
        <v>6</v>
      </c>
      <c r="K454" s="17" t="s">
        <v>45</v>
      </c>
      <c r="L454" s="17" t="s">
        <v>31</v>
      </c>
      <c r="M454" s="17" t="s">
        <v>34</v>
      </c>
      <c r="N454" s="17">
        <v>411</v>
      </c>
      <c r="O454" s="17">
        <v>411</v>
      </c>
      <c r="P454" s="26">
        <f>(data[[#This Row],[LoadedMiles]]/data[[#This Row],[TotalMiles]])*100</f>
        <v>100</v>
      </c>
      <c r="Q454" s="25">
        <f>data[[#This Row],[ShippingCost]]/data[[#This Row],[TotalMiles]]</f>
        <v>19.944038929440389</v>
      </c>
      <c r="R454" s="17">
        <v>8197</v>
      </c>
      <c r="S454" s="25">
        <f>data[[#This Row],[Revenue]]/data[[#This Row],[TotalMiles]]</f>
        <v>14.250608272506083</v>
      </c>
      <c r="T454" s="26">
        <f>data[[#This Row],[Revenue]]-data[[#This Row],[ShippingCost]]</f>
        <v>-2340</v>
      </c>
      <c r="U454" s="17">
        <v>5857</v>
      </c>
      <c r="V454" s="17">
        <v>57</v>
      </c>
      <c r="W454" s="17" t="s">
        <v>68</v>
      </c>
      <c r="X454" s="17">
        <v>8</v>
      </c>
      <c r="Y454" s="17">
        <f>data[[#This Row],[DeliveryDate]]-data[[#This Row],[ShipDate]]</f>
        <v>6</v>
      </c>
      <c r="Z454" s="17" t="str">
        <f>IF(data[[#This Row],[Actual Delivery Days]]&gt;AD455,"Yes","No")</f>
        <v>Yes</v>
      </c>
    </row>
    <row r="455" spans="1:26">
      <c r="A455" s="17">
        <v>10258</v>
      </c>
      <c r="B455" s="17">
        <v>1</v>
      </c>
      <c r="C455" s="17">
        <v>6</v>
      </c>
      <c r="D455" s="17" t="s">
        <v>573</v>
      </c>
      <c r="E455" s="17" t="s">
        <v>574</v>
      </c>
      <c r="F455" s="17" t="str">
        <f>TEXT(data[[#This Row],[ShipDate]],"yyyy - mmmm")</f>
        <v>2016 - January</v>
      </c>
      <c r="G455" s="17" t="str">
        <f>data[[#This Row],[OriginCity]] &amp; " - "  &amp; data[[#This Row],[DestinationCity]]</f>
        <v>Green Bay - Joliet</v>
      </c>
      <c r="H455" s="17" t="s">
        <v>75</v>
      </c>
      <c r="I455" s="17" t="s">
        <v>29</v>
      </c>
      <c r="J455" s="17">
        <v>6</v>
      </c>
      <c r="K455" s="17" t="s">
        <v>61</v>
      </c>
      <c r="L455" s="17" t="s">
        <v>31</v>
      </c>
      <c r="M455" s="17" t="s">
        <v>246</v>
      </c>
      <c r="N455" s="17">
        <v>1145</v>
      </c>
      <c r="O455" s="17">
        <v>583</v>
      </c>
      <c r="P455" s="26">
        <f>(data[[#This Row],[LoadedMiles]]/data[[#This Row],[TotalMiles]])*100</f>
        <v>50.917030567685593</v>
      </c>
      <c r="Q455" s="25">
        <f>data[[#This Row],[ShippingCost]]/data[[#This Row],[TotalMiles]]</f>
        <v>6.890829694323144</v>
      </c>
      <c r="R455" s="17">
        <v>7890</v>
      </c>
      <c r="S455" s="25">
        <f>data[[#This Row],[Revenue]]/data[[#This Row],[TotalMiles]]</f>
        <v>7.2759825327510921</v>
      </c>
      <c r="T455" s="26">
        <f>data[[#This Row],[Revenue]]-data[[#This Row],[ShippingCost]]</f>
        <v>441</v>
      </c>
      <c r="U455" s="17">
        <v>8331</v>
      </c>
      <c r="V455" s="17">
        <v>68</v>
      </c>
      <c r="W455" s="17" t="s">
        <v>68</v>
      </c>
      <c r="X455" s="17">
        <v>2</v>
      </c>
      <c r="Y455" s="17">
        <f>data[[#This Row],[DeliveryDate]]-data[[#This Row],[ShipDate]]</f>
        <v>3</v>
      </c>
      <c r="Z455" s="17" t="str">
        <f>IF(data[[#This Row],[Actual Delivery Days]]&gt;AD456,"Yes","No")</f>
        <v>Yes</v>
      </c>
    </row>
    <row r="456" spans="1:26">
      <c r="A456" s="17">
        <v>10269</v>
      </c>
      <c r="B456" s="17">
        <v>1</v>
      </c>
      <c r="C456" s="17">
        <v>5</v>
      </c>
      <c r="D456" s="17" t="s">
        <v>586</v>
      </c>
      <c r="E456" s="17" t="s">
        <v>118</v>
      </c>
      <c r="F456" s="17" t="str">
        <f>TEXT(data[[#This Row],[ShipDate]],"yyyy - mmmm")</f>
        <v>2016 - August</v>
      </c>
      <c r="G456" s="17" t="str">
        <f>data[[#This Row],[OriginCity]] &amp; " - "  &amp; data[[#This Row],[DestinationCity]]</f>
        <v>Kalamazoo - Bangor</v>
      </c>
      <c r="H456" s="17" t="s">
        <v>71</v>
      </c>
      <c r="I456" s="17" t="s">
        <v>21</v>
      </c>
      <c r="J456" s="17">
        <v>6</v>
      </c>
      <c r="K456" s="17" t="s">
        <v>104</v>
      </c>
      <c r="L456" s="17" t="s">
        <v>21</v>
      </c>
      <c r="M456" s="17" t="s">
        <v>587</v>
      </c>
      <c r="N456" s="17">
        <v>248</v>
      </c>
      <c r="O456" s="17">
        <v>248</v>
      </c>
      <c r="P456" s="26">
        <f>(data[[#This Row],[LoadedMiles]]/data[[#This Row],[TotalMiles]])*100</f>
        <v>100</v>
      </c>
      <c r="Q456" s="25">
        <f>data[[#This Row],[ShippingCost]]/data[[#This Row],[TotalMiles]]</f>
        <v>32.83064516129032</v>
      </c>
      <c r="R456" s="17">
        <v>8142</v>
      </c>
      <c r="S456" s="25">
        <f>data[[#This Row],[Revenue]]/data[[#This Row],[TotalMiles]]</f>
        <v>35.552419354838712</v>
      </c>
      <c r="T456" s="26">
        <f>data[[#This Row],[Revenue]]-data[[#This Row],[ShippingCost]]</f>
        <v>675</v>
      </c>
      <c r="U456" s="17">
        <v>8817</v>
      </c>
      <c r="V456" s="17">
        <v>56</v>
      </c>
      <c r="W456" s="17" t="s">
        <v>68</v>
      </c>
      <c r="X456" s="17">
        <v>10</v>
      </c>
      <c r="Y456" s="17">
        <f>data[[#This Row],[DeliveryDate]]-data[[#This Row],[ShipDate]]</f>
        <v>6</v>
      </c>
      <c r="Z456" s="17" t="str">
        <f>IF(data[[#This Row],[Actual Delivery Days]]&gt;AD457,"Yes","No")</f>
        <v>Yes</v>
      </c>
    </row>
    <row r="457" spans="1:26">
      <c r="A457" s="17">
        <v>10288</v>
      </c>
      <c r="B457" s="17">
        <v>1</v>
      </c>
      <c r="C457" s="17">
        <v>4</v>
      </c>
      <c r="D457" s="17" t="s">
        <v>41</v>
      </c>
      <c r="E457" s="17" t="s">
        <v>234</v>
      </c>
      <c r="F457" s="17" t="str">
        <f>TEXT(data[[#This Row],[ShipDate]],"yyyy - mmmm")</f>
        <v>2016 - March</v>
      </c>
      <c r="G457" s="17" t="str">
        <f>data[[#This Row],[OriginCity]] &amp; " - "  &amp; data[[#This Row],[DestinationCity]]</f>
        <v>Elgin - Cincinnati</v>
      </c>
      <c r="H457" s="17" t="s">
        <v>94</v>
      </c>
      <c r="I457" s="17" t="s">
        <v>31</v>
      </c>
      <c r="J457" s="17">
        <v>6</v>
      </c>
      <c r="K457" s="17" t="s">
        <v>89</v>
      </c>
      <c r="L457" s="17" t="s">
        <v>23</v>
      </c>
      <c r="M457" s="17" t="s">
        <v>122</v>
      </c>
      <c r="N457" s="17">
        <v>381</v>
      </c>
      <c r="O457" s="17">
        <v>381</v>
      </c>
      <c r="P457" s="26">
        <f>(data[[#This Row],[LoadedMiles]]/data[[#This Row],[TotalMiles]])*100</f>
        <v>100</v>
      </c>
      <c r="Q457" s="25">
        <f>data[[#This Row],[ShippingCost]]/data[[#This Row],[TotalMiles]]</f>
        <v>15.496062992125983</v>
      </c>
      <c r="R457" s="17">
        <v>5904</v>
      </c>
      <c r="S457" s="25">
        <f>data[[#This Row],[Revenue]]/data[[#This Row],[TotalMiles]]</f>
        <v>10.20997375328084</v>
      </c>
      <c r="T457" s="26">
        <f>data[[#This Row],[Revenue]]-data[[#This Row],[ShippingCost]]</f>
        <v>-2014</v>
      </c>
      <c r="U457" s="17">
        <v>3890</v>
      </c>
      <c r="V457" s="17">
        <v>74</v>
      </c>
      <c r="W457" s="17" t="s">
        <v>68</v>
      </c>
      <c r="X457" s="17">
        <v>9</v>
      </c>
      <c r="Y457" s="17">
        <f>data[[#This Row],[DeliveryDate]]-data[[#This Row],[ShipDate]]</f>
        <v>6</v>
      </c>
      <c r="Z457" s="17" t="str">
        <f>IF(data[[#This Row],[Actual Delivery Days]]&gt;AD458,"Yes","No")</f>
        <v>Yes</v>
      </c>
    </row>
    <row r="458" spans="1:26">
      <c r="A458" s="17">
        <v>10307</v>
      </c>
      <c r="B458" s="17">
        <v>2</v>
      </c>
      <c r="C458" s="17">
        <v>8</v>
      </c>
      <c r="D458" s="17" t="s">
        <v>117</v>
      </c>
      <c r="E458" s="17" t="s">
        <v>193</v>
      </c>
      <c r="F458" s="17" t="str">
        <f>TEXT(data[[#This Row],[ShipDate]],"yyyy - mmmm")</f>
        <v>2016 - January</v>
      </c>
      <c r="G458" s="17" t="str">
        <f>data[[#This Row],[OriginCity]] &amp; " - "  &amp; data[[#This Row],[DestinationCity]]</f>
        <v>Dayton - Elgin</v>
      </c>
      <c r="H458" s="17" t="s">
        <v>93</v>
      </c>
      <c r="I458" s="17" t="s">
        <v>23</v>
      </c>
      <c r="J458" s="17">
        <v>6</v>
      </c>
      <c r="K458" s="17" t="s">
        <v>94</v>
      </c>
      <c r="L458" s="17" t="s">
        <v>31</v>
      </c>
      <c r="M458" s="17" t="s">
        <v>394</v>
      </c>
      <c r="N458" s="17">
        <v>742</v>
      </c>
      <c r="O458" s="17">
        <v>698</v>
      </c>
      <c r="P458" s="26">
        <f>(data[[#This Row],[LoadedMiles]]/data[[#This Row],[TotalMiles]])*100</f>
        <v>94.070080862533686</v>
      </c>
      <c r="Q458" s="25">
        <f>data[[#This Row],[ShippingCost]]/data[[#This Row],[TotalMiles]]</f>
        <v>6.5</v>
      </c>
      <c r="R458" s="17">
        <v>4823</v>
      </c>
      <c r="S458" s="25">
        <f>data[[#This Row],[Revenue]]/data[[#This Row],[TotalMiles]]</f>
        <v>6.9824797843665767</v>
      </c>
      <c r="T458" s="26">
        <f>data[[#This Row],[Revenue]]-data[[#This Row],[ShippingCost]]</f>
        <v>358</v>
      </c>
      <c r="U458" s="17">
        <v>5181</v>
      </c>
      <c r="V458" s="17">
        <v>86</v>
      </c>
      <c r="W458" s="17" t="s">
        <v>68</v>
      </c>
      <c r="X458" s="17">
        <v>3</v>
      </c>
      <c r="Y458" s="17">
        <f>data[[#This Row],[DeliveryDate]]-data[[#This Row],[ShipDate]]</f>
        <v>6</v>
      </c>
      <c r="Z458" s="17" t="str">
        <f>IF(data[[#This Row],[Actual Delivery Days]]&gt;AD459,"Yes","No")</f>
        <v>Yes</v>
      </c>
    </row>
    <row r="459" spans="1:26">
      <c r="A459" s="17">
        <v>10308</v>
      </c>
      <c r="B459" s="17">
        <v>1</v>
      </c>
      <c r="C459" s="17">
        <v>7</v>
      </c>
      <c r="D459" s="17" t="s">
        <v>120</v>
      </c>
      <c r="E459" s="17" t="s">
        <v>608</v>
      </c>
      <c r="F459" s="17" t="str">
        <f>TEXT(data[[#This Row],[ShipDate]],"yyyy - mmmm")</f>
        <v>2016 - July</v>
      </c>
      <c r="G459" s="17" t="str">
        <f>data[[#This Row],[OriginCity]] &amp; " - "  &amp; data[[#This Row],[DestinationCity]]</f>
        <v>Toledo - Detriot</v>
      </c>
      <c r="H459" s="17" t="s">
        <v>22</v>
      </c>
      <c r="I459" s="17" t="s">
        <v>23</v>
      </c>
      <c r="J459" s="17">
        <v>6</v>
      </c>
      <c r="K459" s="17" t="s">
        <v>52</v>
      </c>
      <c r="L459" s="17" t="s">
        <v>21</v>
      </c>
      <c r="M459" s="17" t="s">
        <v>82</v>
      </c>
      <c r="N459" s="17">
        <v>523</v>
      </c>
      <c r="O459" s="17">
        <v>295</v>
      </c>
      <c r="P459" s="26">
        <f>(data[[#This Row],[LoadedMiles]]/data[[#This Row],[TotalMiles]])*100</f>
        <v>56.40535372848948</v>
      </c>
      <c r="Q459" s="25">
        <f>data[[#This Row],[ShippingCost]]/data[[#This Row],[TotalMiles]]</f>
        <v>5.3441682600382405</v>
      </c>
      <c r="R459" s="17">
        <v>2795</v>
      </c>
      <c r="S459" s="25">
        <f>data[[#This Row],[Revenue]]/data[[#This Row],[TotalMiles]]</f>
        <v>6.2906309751434035</v>
      </c>
      <c r="T459" s="26">
        <f>data[[#This Row],[Revenue]]-data[[#This Row],[ShippingCost]]</f>
        <v>495</v>
      </c>
      <c r="U459" s="17">
        <v>3290</v>
      </c>
      <c r="V459" s="17">
        <v>53</v>
      </c>
      <c r="W459" s="17" t="s">
        <v>68</v>
      </c>
      <c r="X459" s="17">
        <v>7</v>
      </c>
      <c r="Y459" s="17">
        <f>data[[#This Row],[DeliveryDate]]-data[[#This Row],[ShipDate]]</f>
        <v>-112</v>
      </c>
      <c r="Z459" s="17" t="str">
        <f>IF(data[[#This Row],[Actual Delivery Days]]&gt;AD460,"Yes","No")</f>
        <v>No</v>
      </c>
    </row>
    <row r="460" spans="1:26">
      <c r="A460" s="17">
        <v>10323</v>
      </c>
      <c r="B460" s="17">
        <v>2</v>
      </c>
      <c r="C460" s="17">
        <v>6</v>
      </c>
      <c r="D460" s="17" t="s">
        <v>169</v>
      </c>
      <c r="E460" s="17" t="s">
        <v>200</v>
      </c>
      <c r="F460" s="17" t="str">
        <f>TEXT(data[[#This Row],[ShipDate]],"yyyy - mmmm")</f>
        <v>2016 - March</v>
      </c>
      <c r="G460" s="17" t="str">
        <f>data[[#This Row],[OriginCity]] &amp; " - "  &amp; data[[#This Row],[DestinationCity]]</f>
        <v>Green Bay - Joliet</v>
      </c>
      <c r="H460" s="17" t="s">
        <v>75</v>
      </c>
      <c r="I460" s="17" t="s">
        <v>29</v>
      </c>
      <c r="J460" s="17">
        <v>6</v>
      </c>
      <c r="K460" s="17" t="s">
        <v>61</v>
      </c>
      <c r="L460" s="17" t="s">
        <v>31</v>
      </c>
      <c r="M460" s="17" t="s">
        <v>51</v>
      </c>
      <c r="N460" s="17">
        <v>496</v>
      </c>
      <c r="O460" s="17">
        <v>496</v>
      </c>
      <c r="P460" s="26">
        <f>(data[[#This Row],[LoadedMiles]]/data[[#This Row],[TotalMiles]])*100</f>
        <v>100</v>
      </c>
      <c r="Q460" s="25">
        <f>data[[#This Row],[ShippingCost]]/data[[#This Row],[TotalMiles]]</f>
        <v>1.5584677419354838</v>
      </c>
      <c r="R460" s="17">
        <v>773</v>
      </c>
      <c r="S460" s="25">
        <f>data[[#This Row],[Revenue]]/data[[#This Row],[TotalMiles]]</f>
        <v>3.1088709677419355</v>
      </c>
      <c r="T460" s="26">
        <f>data[[#This Row],[Revenue]]-data[[#This Row],[ShippingCost]]</f>
        <v>769</v>
      </c>
      <c r="U460" s="17">
        <v>1542</v>
      </c>
      <c r="V460" s="17">
        <v>72</v>
      </c>
      <c r="W460" s="17" t="s">
        <v>68</v>
      </c>
      <c r="X460" s="17">
        <v>10</v>
      </c>
      <c r="Y460" s="17">
        <f>data[[#This Row],[DeliveryDate]]-data[[#This Row],[ShipDate]]</f>
        <v>6</v>
      </c>
      <c r="Z460" s="17" t="str">
        <f>IF(data[[#This Row],[Actual Delivery Days]]&gt;AD461,"Yes","No")</f>
        <v>Yes</v>
      </c>
    </row>
    <row r="461" spans="1:26">
      <c r="A461" s="17">
        <v>10356</v>
      </c>
      <c r="B461" s="17">
        <v>1</v>
      </c>
      <c r="C461" s="17">
        <v>8</v>
      </c>
      <c r="D461" s="17" t="s">
        <v>251</v>
      </c>
      <c r="E461" s="17" t="s">
        <v>387</v>
      </c>
      <c r="F461" s="17" t="str">
        <f>TEXT(data[[#This Row],[ShipDate]],"yyyy - mmmm")</f>
        <v>2016 - August</v>
      </c>
      <c r="G461" s="17" t="str">
        <f>data[[#This Row],[OriginCity]] &amp; " - "  &amp; data[[#This Row],[DestinationCity]]</f>
        <v>Milwaukee - Springfield</v>
      </c>
      <c r="H461" s="17" t="s">
        <v>28</v>
      </c>
      <c r="I461" s="17" t="s">
        <v>29</v>
      </c>
      <c r="J461" s="17">
        <v>6</v>
      </c>
      <c r="K461" s="17" t="s">
        <v>30</v>
      </c>
      <c r="L461" s="17" t="s">
        <v>31</v>
      </c>
      <c r="M461" s="17" t="s">
        <v>307</v>
      </c>
      <c r="N461" s="17">
        <v>208</v>
      </c>
      <c r="O461" s="17">
        <v>208</v>
      </c>
      <c r="P461" s="26">
        <f>(data[[#This Row],[LoadedMiles]]/data[[#This Row],[TotalMiles]])*100</f>
        <v>100</v>
      </c>
      <c r="Q461" s="25">
        <f>data[[#This Row],[ShippingCost]]/data[[#This Row],[TotalMiles]]</f>
        <v>7.3990384615384617</v>
      </c>
      <c r="R461" s="17">
        <v>1539</v>
      </c>
      <c r="S461" s="25">
        <f>data[[#This Row],[Revenue]]/data[[#This Row],[TotalMiles]]</f>
        <v>8.6394230769230766</v>
      </c>
      <c r="T461" s="26">
        <f>data[[#This Row],[Revenue]]-data[[#This Row],[ShippingCost]]</f>
        <v>258</v>
      </c>
      <c r="U461" s="17">
        <v>1797</v>
      </c>
      <c r="V461" s="17">
        <v>59</v>
      </c>
      <c r="W461" s="17" t="s">
        <v>68</v>
      </c>
      <c r="X461" s="17">
        <v>4</v>
      </c>
      <c r="Y461" s="17">
        <f>data[[#This Row],[DeliveryDate]]-data[[#This Row],[ShipDate]]</f>
        <v>6</v>
      </c>
      <c r="Z461" s="17" t="str">
        <f>IF(data[[#This Row],[Actual Delivery Days]]&gt;AD462,"Yes","No")</f>
        <v>Yes</v>
      </c>
    </row>
    <row r="462" spans="1:26">
      <c r="A462" s="17">
        <v>10357</v>
      </c>
      <c r="B462" s="17">
        <v>2</v>
      </c>
      <c r="C462" s="17">
        <v>4</v>
      </c>
      <c r="D462" s="17" t="s">
        <v>254</v>
      </c>
      <c r="E462" s="17" t="s">
        <v>221</v>
      </c>
      <c r="F462" s="17" t="str">
        <f>TEXT(data[[#This Row],[ShipDate]],"yyyy - mmmm")</f>
        <v>2016 - April</v>
      </c>
      <c r="G462" s="17" t="str">
        <f>data[[#This Row],[OriginCity]] &amp; " - "  &amp; data[[#This Row],[DestinationCity]]</f>
        <v>Springfield - Skokie</v>
      </c>
      <c r="H462" s="17" t="s">
        <v>30</v>
      </c>
      <c r="I462" s="17" t="s">
        <v>31</v>
      </c>
      <c r="J462" s="17">
        <v>6</v>
      </c>
      <c r="K462" s="17" t="s">
        <v>35</v>
      </c>
      <c r="L462" s="17" t="s">
        <v>31</v>
      </c>
      <c r="M462" s="17" t="s">
        <v>609</v>
      </c>
      <c r="N462" s="17">
        <v>1152</v>
      </c>
      <c r="O462" s="17">
        <v>568</v>
      </c>
      <c r="P462" s="26">
        <f>(data[[#This Row],[LoadedMiles]]/data[[#This Row],[TotalMiles]])*100</f>
        <v>49.305555555555557</v>
      </c>
      <c r="Q462" s="25">
        <f>data[[#This Row],[ShippingCost]]/data[[#This Row],[TotalMiles]]</f>
        <v>5.817708333333333</v>
      </c>
      <c r="R462" s="17">
        <v>6702</v>
      </c>
      <c r="S462" s="25">
        <f>data[[#This Row],[Revenue]]/data[[#This Row],[TotalMiles]]</f>
        <v>4.3211805555555554</v>
      </c>
      <c r="T462" s="26">
        <f>data[[#This Row],[Revenue]]-data[[#This Row],[ShippingCost]]</f>
        <v>-1724</v>
      </c>
      <c r="U462" s="17">
        <v>4978</v>
      </c>
      <c r="V462" s="17">
        <v>94</v>
      </c>
      <c r="W462" s="17" t="s">
        <v>68</v>
      </c>
      <c r="X462" s="17">
        <v>2</v>
      </c>
      <c r="Y462" s="17">
        <f>data[[#This Row],[DeliveryDate]]-data[[#This Row],[ShipDate]]</f>
        <v>6</v>
      </c>
      <c r="Z462" s="17" t="str">
        <f>IF(data[[#This Row],[Actual Delivery Days]]&gt;AD463,"Yes","No")</f>
        <v>Yes</v>
      </c>
    </row>
    <row r="463" spans="1:26">
      <c r="A463" s="17">
        <v>10396</v>
      </c>
      <c r="B463" s="17">
        <v>1</v>
      </c>
      <c r="C463" s="17">
        <v>7</v>
      </c>
      <c r="D463" s="17" t="s">
        <v>326</v>
      </c>
      <c r="E463" s="17" t="s">
        <v>509</v>
      </c>
      <c r="F463" s="17" t="str">
        <f>TEXT(data[[#This Row],[ShipDate]],"yyyy - mmmm")</f>
        <v>2016 - May</v>
      </c>
      <c r="G463" s="17" t="str">
        <f>data[[#This Row],[OriginCity]] &amp; " - "  &amp; data[[#This Row],[DestinationCity]]</f>
        <v>Toledo - Detriot</v>
      </c>
      <c r="H463" s="17" t="s">
        <v>22</v>
      </c>
      <c r="I463" s="17" t="s">
        <v>23</v>
      </c>
      <c r="J463" s="17">
        <v>6</v>
      </c>
      <c r="K463" s="17" t="s">
        <v>52</v>
      </c>
      <c r="L463" s="17" t="s">
        <v>21</v>
      </c>
      <c r="M463" s="17" t="s">
        <v>365</v>
      </c>
      <c r="N463" s="17">
        <v>346</v>
      </c>
      <c r="O463" s="17">
        <v>258</v>
      </c>
      <c r="P463" s="26">
        <f>(data[[#This Row],[LoadedMiles]]/data[[#This Row],[TotalMiles]])*100</f>
        <v>74.566473988439313</v>
      </c>
      <c r="Q463" s="25">
        <f>data[[#This Row],[ShippingCost]]/data[[#This Row],[TotalMiles]]</f>
        <v>15.765895953757225</v>
      </c>
      <c r="R463" s="17">
        <v>5455</v>
      </c>
      <c r="S463" s="25">
        <f>data[[#This Row],[Revenue]]/data[[#This Row],[TotalMiles]]</f>
        <v>17.156069364161851</v>
      </c>
      <c r="T463" s="26">
        <f>data[[#This Row],[Revenue]]-data[[#This Row],[ShippingCost]]</f>
        <v>481</v>
      </c>
      <c r="U463" s="17">
        <v>5936</v>
      </c>
      <c r="V463" s="17">
        <v>79</v>
      </c>
      <c r="W463" s="17" t="s">
        <v>68</v>
      </c>
      <c r="X463" s="17">
        <v>1</v>
      </c>
      <c r="Y463" s="17">
        <f>data[[#This Row],[DeliveryDate]]-data[[#This Row],[ShipDate]]</f>
        <v>6</v>
      </c>
      <c r="Z463" s="17" t="str">
        <f>IF(data[[#This Row],[Actual Delivery Days]]&gt;AD464,"Yes","No")</f>
        <v>Yes</v>
      </c>
    </row>
    <row r="464" spans="1:26">
      <c r="A464" s="17">
        <v>10435</v>
      </c>
      <c r="B464" s="17">
        <v>1</v>
      </c>
      <c r="C464" s="17">
        <v>6</v>
      </c>
      <c r="D464" s="17" t="s">
        <v>390</v>
      </c>
      <c r="E464" s="17" t="s">
        <v>240</v>
      </c>
      <c r="F464" s="17" t="str">
        <f>TEXT(data[[#This Row],[ShipDate]],"yyyy - mmmm")</f>
        <v>2016 - August</v>
      </c>
      <c r="G464" s="17" t="str">
        <f>data[[#This Row],[OriginCity]] &amp; " - "  &amp; data[[#This Row],[DestinationCity]]</f>
        <v>Madison - Kalamazoo</v>
      </c>
      <c r="H464" s="17" t="s">
        <v>62</v>
      </c>
      <c r="I464" s="17" t="s">
        <v>29</v>
      </c>
      <c r="J464" s="17">
        <v>6</v>
      </c>
      <c r="K464" s="17" t="s">
        <v>71</v>
      </c>
      <c r="L464" s="17" t="s">
        <v>21</v>
      </c>
      <c r="M464" s="17" t="s">
        <v>618</v>
      </c>
      <c r="N464" s="17">
        <v>469</v>
      </c>
      <c r="O464" s="17">
        <v>300</v>
      </c>
      <c r="P464" s="26">
        <f>(data[[#This Row],[LoadedMiles]]/data[[#This Row],[TotalMiles]])*100</f>
        <v>63.965884861407254</v>
      </c>
      <c r="Q464" s="25">
        <f>data[[#This Row],[ShippingCost]]/data[[#This Row],[TotalMiles]]</f>
        <v>12.665245202558635</v>
      </c>
      <c r="R464" s="17">
        <v>5940</v>
      </c>
      <c r="S464" s="25">
        <f>data[[#This Row],[Revenue]]/data[[#This Row],[TotalMiles]]</f>
        <v>14.191897654584222</v>
      </c>
      <c r="T464" s="26">
        <f>data[[#This Row],[Revenue]]-data[[#This Row],[ShippingCost]]</f>
        <v>716</v>
      </c>
      <c r="U464" s="17">
        <v>6656</v>
      </c>
      <c r="V464" s="17">
        <v>62</v>
      </c>
      <c r="W464" s="17" t="s">
        <v>68</v>
      </c>
      <c r="X464" s="17">
        <v>3</v>
      </c>
      <c r="Y464" s="17">
        <f>data[[#This Row],[DeliveryDate]]-data[[#This Row],[ShipDate]]</f>
        <v>6</v>
      </c>
      <c r="Z464" s="17" t="str">
        <f>IF(data[[#This Row],[Actual Delivery Days]]&gt;AD465,"Yes","No")</f>
        <v>Yes</v>
      </c>
    </row>
    <row r="465" spans="1:26">
      <c r="A465" s="17">
        <v>10455</v>
      </c>
      <c r="B465" s="17">
        <v>1</v>
      </c>
      <c r="C465" s="17">
        <v>8</v>
      </c>
      <c r="D465" s="17" t="s">
        <v>428</v>
      </c>
      <c r="E465" s="17" t="s">
        <v>214</v>
      </c>
      <c r="F465" s="17" t="str">
        <f>TEXT(data[[#This Row],[ShipDate]],"yyyy - mmmm")</f>
        <v>2016 - August</v>
      </c>
      <c r="G465" s="17" t="str">
        <f>data[[#This Row],[OriginCity]] &amp; " - "  &amp; data[[#This Row],[DestinationCity]]</f>
        <v>Monon - Lansing</v>
      </c>
      <c r="H465" s="17" t="s">
        <v>53</v>
      </c>
      <c r="I465" s="17" t="s">
        <v>44</v>
      </c>
      <c r="J465" s="17">
        <v>6</v>
      </c>
      <c r="K465" s="17" t="s">
        <v>66</v>
      </c>
      <c r="L465" s="17" t="s">
        <v>21</v>
      </c>
      <c r="M465" s="17" t="s">
        <v>82</v>
      </c>
      <c r="N465" s="17">
        <v>353</v>
      </c>
      <c r="O465" s="17">
        <v>258</v>
      </c>
      <c r="P465" s="26">
        <f>(data[[#This Row],[LoadedMiles]]/data[[#This Row],[TotalMiles]])*100</f>
        <v>73.087818696883858</v>
      </c>
      <c r="Q465" s="25">
        <f>data[[#This Row],[ShippingCost]]/data[[#This Row],[TotalMiles]]</f>
        <v>0.92351274787535409</v>
      </c>
      <c r="R465" s="17">
        <v>326</v>
      </c>
      <c r="S465" s="25">
        <f>data[[#This Row],[Revenue]]/data[[#This Row],[TotalMiles]]</f>
        <v>1.9206798866855523</v>
      </c>
      <c r="T465" s="26">
        <f>data[[#This Row],[Revenue]]-data[[#This Row],[ShippingCost]]</f>
        <v>352</v>
      </c>
      <c r="U465" s="17">
        <v>678</v>
      </c>
      <c r="V465" s="17">
        <v>70</v>
      </c>
      <c r="W465" s="17" t="s">
        <v>68</v>
      </c>
      <c r="X465" s="17">
        <v>3</v>
      </c>
      <c r="Y465" s="17">
        <f>data[[#This Row],[DeliveryDate]]-data[[#This Row],[ShipDate]]</f>
        <v>-148</v>
      </c>
      <c r="Z465" s="17" t="str">
        <f>IF(data[[#This Row],[Actual Delivery Days]]&gt;AD466,"Yes","No")</f>
        <v>No</v>
      </c>
    </row>
    <row r="466" spans="1:26">
      <c r="A466" s="17">
        <v>10470</v>
      </c>
      <c r="B466" s="17">
        <v>2</v>
      </c>
      <c r="C466" s="17">
        <v>7</v>
      </c>
      <c r="D466" s="17" t="s">
        <v>451</v>
      </c>
      <c r="E466" s="17" t="s">
        <v>613</v>
      </c>
      <c r="F466" s="17" t="str">
        <f>TEXT(data[[#This Row],[ShipDate]],"yyyy - mmmm")</f>
        <v>2016 - June</v>
      </c>
      <c r="G466" s="17" t="str">
        <f>data[[#This Row],[OriginCity]] &amp; " - "  &amp; data[[#This Row],[DestinationCity]]</f>
        <v>Milwaukee - Springfield</v>
      </c>
      <c r="H466" s="17" t="s">
        <v>28</v>
      </c>
      <c r="I466" s="17" t="s">
        <v>29</v>
      </c>
      <c r="J466" s="17">
        <v>6</v>
      </c>
      <c r="K466" s="17" t="s">
        <v>30</v>
      </c>
      <c r="L466" s="17" t="s">
        <v>31</v>
      </c>
      <c r="M466" s="17" t="s">
        <v>177</v>
      </c>
      <c r="N466" s="17">
        <v>642</v>
      </c>
      <c r="O466" s="17">
        <v>642</v>
      </c>
      <c r="P466" s="26">
        <f>(data[[#This Row],[LoadedMiles]]/data[[#This Row],[TotalMiles]])*100</f>
        <v>100</v>
      </c>
      <c r="Q466" s="25">
        <f>data[[#This Row],[ShippingCost]]/data[[#This Row],[TotalMiles]]</f>
        <v>8.3068535825545169</v>
      </c>
      <c r="R466" s="17">
        <v>5333</v>
      </c>
      <c r="S466" s="25">
        <f>data[[#This Row],[Revenue]]/data[[#This Row],[TotalMiles]]</f>
        <v>9.473520249221183</v>
      </c>
      <c r="T466" s="26">
        <f>data[[#This Row],[Revenue]]-data[[#This Row],[ShippingCost]]</f>
        <v>749</v>
      </c>
      <c r="U466" s="17">
        <v>6082</v>
      </c>
      <c r="V466" s="17">
        <v>77</v>
      </c>
      <c r="W466" s="17" t="s">
        <v>68</v>
      </c>
      <c r="X466" s="17">
        <v>5</v>
      </c>
      <c r="Y466" s="17">
        <f>data[[#This Row],[DeliveryDate]]-data[[#This Row],[ShipDate]]</f>
        <v>6</v>
      </c>
      <c r="Z466" s="17" t="str">
        <f>IF(data[[#This Row],[Actual Delivery Days]]&gt;AD467,"Yes","No")</f>
        <v>Yes</v>
      </c>
    </row>
    <row r="467" spans="1:26">
      <c r="A467" s="17">
        <v>10473</v>
      </c>
      <c r="B467" s="17">
        <v>2</v>
      </c>
      <c r="C467" s="17">
        <v>4</v>
      </c>
      <c r="D467" s="17" t="s">
        <v>456</v>
      </c>
      <c r="E467" s="17" t="s">
        <v>56</v>
      </c>
      <c r="F467" s="17" t="str">
        <f>TEXT(data[[#This Row],[ShipDate]],"yyyy - mmmm")</f>
        <v>2016 - May</v>
      </c>
      <c r="G467" s="17" t="str">
        <f>data[[#This Row],[OriginCity]] &amp; " - "  &amp; data[[#This Row],[DestinationCity]]</f>
        <v>Indianapolis - Northbrook</v>
      </c>
      <c r="H467" s="17" t="s">
        <v>43</v>
      </c>
      <c r="I467" s="17" t="s">
        <v>44</v>
      </c>
      <c r="J467" s="17">
        <v>6</v>
      </c>
      <c r="K467" s="17" t="s">
        <v>45</v>
      </c>
      <c r="L467" s="17" t="s">
        <v>31</v>
      </c>
      <c r="M467" s="17" t="s">
        <v>42</v>
      </c>
      <c r="N467" s="17">
        <v>608</v>
      </c>
      <c r="O467" s="17">
        <v>517</v>
      </c>
      <c r="P467" s="26">
        <f>(data[[#This Row],[LoadedMiles]]/data[[#This Row],[TotalMiles]])*100</f>
        <v>85.032894736842096</v>
      </c>
      <c r="Q467" s="25">
        <f>data[[#This Row],[ShippingCost]]/data[[#This Row],[TotalMiles]]</f>
        <v>6.0164473684210522</v>
      </c>
      <c r="R467" s="17">
        <v>3658</v>
      </c>
      <c r="S467" s="25">
        <f>data[[#This Row],[Revenue]]/data[[#This Row],[TotalMiles]]</f>
        <v>4.0345394736842106</v>
      </c>
      <c r="T467" s="26">
        <f>data[[#This Row],[Revenue]]-data[[#This Row],[ShippingCost]]</f>
        <v>-1205</v>
      </c>
      <c r="U467" s="17">
        <v>2453</v>
      </c>
      <c r="V467" s="17">
        <v>86</v>
      </c>
      <c r="W467" s="17" t="s">
        <v>68</v>
      </c>
      <c r="X467" s="17">
        <v>6</v>
      </c>
      <c r="Y467" s="17">
        <f>data[[#This Row],[DeliveryDate]]-data[[#This Row],[ShipDate]]</f>
        <v>6</v>
      </c>
      <c r="Z467" s="17" t="str">
        <f>IF(data[[#This Row],[Actual Delivery Days]]&gt;AD468,"Yes","No")</f>
        <v>Yes</v>
      </c>
    </row>
    <row r="468" spans="1:26">
      <c r="A468" s="17">
        <v>10496</v>
      </c>
      <c r="B468" s="17">
        <v>1</v>
      </c>
      <c r="C468" s="17">
        <v>8</v>
      </c>
      <c r="D468" s="17" t="s">
        <v>490</v>
      </c>
      <c r="E468" s="17" t="s">
        <v>19</v>
      </c>
      <c r="F468" s="17" t="str">
        <f>TEXT(data[[#This Row],[ShipDate]],"yyyy - mmmm")</f>
        <v>2016 - July</v>
      </c>
      <c r="G468" s="17" t="str">
        <f>data[[#This Row],[OriginCity]] &amp; " - "  &amp; data[[#This Row],[DestinationCity]]</f>
        <v>Gary - Milwaukee</v>
      </c>
      <c r="H468" s="17" t="s">
        <v>57</v>
      </c>
      <c r="I468" s="17" t="s">
        <v>44</v>
      </c>
      <c r="J468" s="17">
        <v>6</v>
      </c>
      <c r="K468" s="17" t="s">
        <v>28</v>
      </c>
      <c r="L468" s="17" t="s">
        <v>29</v>
      </c>
      <c r="M468" s="17" t="s">
        <v>179</v>
      </c>
      <c r="N468" s="17">
        <v>222</v>
      </c>
      <c r="O468" s="17">
        <v>222</v>
      </c>
      <c r="P468" s="26">
        <f>(data[[#This Row],[LoadedMiles]]/data[[#This Row],[TotalMiles]])*100</f>
        <v>100</v>
      </c>
      <c r="Q468" s="25">
        <f>data[[#This Row],[ShippingCost]]/data[[#This Row],[TotalMiles]]</f>
        <v>12.328828828828829</v>
      </c>
      <c r="R468" s="17">
        <v>2737</v>
      </c>
      <c r="S468" s="25">
        <f>data[[#This Row],[Revenue]]/data[[#This Row],[TotalMiles]]</f>
        <v>15.77027027027027</v>
      </c>
      <c r="T468" s="26">
        <f>data[[#This Row],[Revenue]]-data[[#This Row],[ShippingCost]]</f>
        <v>764</v>
      </c>
      <c r="U468" s="17">
        <v>3501</v>
      </c>
      <c r="V468" s="17">
        <v>89</v>
      </c>
      <c r="W468" s="17" t="s">
        <v>68</v>
      </c>
      <c r="X468" s="17">
        <v>3</v>
      </c>
      <c r="Y468" s="17">
        <f>data[[#This Row],[DeliveryDate]]-data[[#This Row],[ShipDate]]</f>
        <v>5</v>
      </c>
      <c r="Z468" s="17" t="str">
        <f>IF(data[[#This Row],[Actual Delivery Days]]&gt;AD469,"Yes","No")</f>
        <v>Yes</v>
      </c>
    </row>
    <row r="469" spans="1:26">
      <c r="A469" s="17">
        <v>10524</v>
      </c>
      <c r="B469" s="17">
        <v>1</v>
      </c>
      <c r="C469" s="17">
        <v>8</v>
      </c>
      <c r="D469" s="17" t="s">
        <v>527</v>
      </c>
      <c r="E469" s="17" t="s">
        <v>309</v>
      </c>
      <c r="F469" s="17" t="str">
        <f>TEXT(data[[#This Row],[ShipDate]],"yyyy - mmmm")</f>
        <v>2016 - February</v>
      </c>
      <c r="G469" s="17" t="str">
        <f>data[[#This Row],[OriginCity]] &amp; " - "  &amp; data[[#This Row],[DestinationCity]]</f>
        <v>Rockford - Green Bay</v>
      </c>
      <c r="H469" s="17" t="s">
        <v>40</v>
      </c>
      <c r="I469" s="17" t="s">
        <v>31</v>
      </c>
      <c r="J469" s="17">
        <v>6</v>
      </c>
      <c r="K469" s="17" t="s">
        <v>75</v>
      </c>
      <c r="L469" s="17" t="s">
        <v>29</v>
      </c>
      <c r="M469" s="17" t="s">
        <v>290</v>
      </c>
      <c r="N469" s="17">
        <v>955</v>
      </c>
      <c r="O469" s="17">
        <v>280</v>
      </c>
      <c r="P469" s="26">
        <f>(data[[#This Row],[LoadedMiles]]/data[[#This Row],[TotalMiles]])*100</f>
        <v>29.319371727748688</v>
      </c>
      <c r="Q469" s="25">
        <f>data[[#This Row],[ShippingCost]]/data[[#This Row],[TotalMiles]]</f>
        <v>0.13717277486910995</v>
      </c>
      <c r="R469" s="17">
        <v>131</v>
      </c>
      <c r="S469" s="25">
        <f>data[[#This Row],[Revenue]]/data[[#This Row],[TotalMiles]]</f>
        <v>0.87434554973821987</v>
      </c>
      <c r="T469" s="26">
        <f>data[[#This Row],[Revenue]]-data[[#This Row],[ShippingCost]]</f>
        <v>704</v>
      </c>
      <c r="U469" s="17">
        <v>835</v>
      </c>
      <c r="V469" s="17">
        <v>92</v>
      </c>
      <c r="W469" s="17" t="s">
        <v>68</v>
      </c>
      <c r="X469" s="17">
        <v>3</v>
      </c>
      <c r="Y469" s="17">
        <f>data[[#This Row],[DeliveryDate]]-data[[#This Row],[ShipDate]]</f>
        <v>6</v>
      </c>
      <c r="Z469" s="17" t="str">
        <f>IF(data[[#This Row],[Actual Delivery Days]]&gt;AD470,"Yes","No")</f>
        <v>Yes</v>
      </c>
    </row>
    <row r="470" spans="1:26">
      <c r="A470" s="17">
        <v>10586</v>
      </c>
      <c r="B470" s="17">
        <v>1</v>
      </c>
      <c r="C470" s="17">
        <v>7</v>
      </c>
      <c r="D470" s="17" t="s">
        <v>33</v>
      </c>
      <c r="E470" s="17" t="s">
        <v>47</v>
      </c>
      <c r="F470" s="17" t="str">
        <f>TEXT(data[[#This Row],[ShipDate]],"yyyy - mmmm")</f>
        <v>2016 - April</v>
      </c>
      <c r="G470" s="17" t="str">
        <f>data[[#This Row],[OriginCity]] &amp; " - "  &amp; data[[#This Row],[DestinationCity]]</f>
        <v>Madison - Kalamazoo</v>
      </c>
      <c r="H470" s="17" t="s">
        <v>62</v>
      </c>
      <c r="I470" s="17" t="s">
        <v>29</v>
      </c>
      <c r="J470" s="17">
        <v>6</v>
      </c>
      <c r="K470" s="17" t="s">
        <v>71</v>
      </c>
      <c r="L470" s="17" t="s">
        <v>21</v>
      </c>
      <c r="M470" s="17" t="s">
        <v>624</v>
      </c>
      <c r="N470" s="17">
        <v>343</v>
      </c>
      <c r="O470" s="17">
        <v>343</v>
      </c>
      <c r="P470" s="26">
        <f>(data[[#This Row],[LoadedMiles]]/data[[#This Row],[TotalMiles]])*100</f>
        <v>100</v>
      </c>
      <c r="Q470" s="25">
        <f>data[[#This Row],[ShippingCost]]/data[[#This Row],[TotalMiles]]</f>
        <v>23.303206997084548</v>
      </c>
      <c r="R470" s="17">
        <v>7993</v>
      </c>
      <c r="S470" s="25">
        <f>data[[#This Row],[Revenue]]/data[[#This Row],[TotalMiles]]</f>
        <v>24.947521865889211</v>
      </c>
      <c r="T470" s="26">
        <f>data[[#This Row],[Revenue]]-data[[#This Row],[ShippingCost]]</f>
        <v>564</v>
      </c>
      <c r="U470" s="17">
        <v>8557</v>
      </c>
      <c r="V470" s="17">
        <v>79</v>
      </c>
      <c r="W470" s="17" t="s">
        <v>68</v>
      </c>
      <c r="X470" s="17">
        <v>3</v>
      </c>
      <c r="Y470" s="17">
        <f>data[[#This Row],[DeliveryDate]]-data[[#This Row],[ShipDate]]</f>
        <v>5</v>
      </c>
      <c r="Z470" s="17" t="str">
        <f>IF(data[[#This Row],[Actual Delivery Days]]&gt;AD471,"Yes","No")</f>
        <v>Yes</v>
      </c>
    </row>
    <row r="471" spans="1:26">
      <c r="A471" s="17">
        <v>10587</v>
      </c>
      <c r="B471" s="17">
        <v>1</v>
      </c>
      <c r="C471" s="17">
        <v>7</v>
      </c>
      <c r="D471" s="17" t="s">
        <v>37</v>
      </c>
      <c r="E471" s="17" t="s">
        <v>179</v>
      </c>
      <c r="F471" s="17" t="str">
        <f>TEXT(data[[#This Row],[ShipDate]],"yyyy - mmmm")</f>
        <v>2016 - July</v>
      </c>
      <c r="G471" s="17" t="str">
        <f>data[[#This Row],[OriginCity]] &amp; " - "  &amp; data[[#This Row],[DestinationCity]]</f>
        <v>Green Bay - Joliet</v>
      </c>
      <c r="H471" s="17" t="s">
        <v>75</v>
      </c>
      <c r="I471" s="17" t="s">
        <v>29</v>
      </c>
      <c r="J471" s="17">
        <v>6</v>
      </c>
      <c r="K471" s="17" t="s">
        <v>61</v>
      </c>
      <c r="L471" s="17" t="s">
        <v>31</v>
      </c>
      <c r="M471" s="17" t="s">
        <v>155</v>
      </c>
      <c r="N471" s="17">
        <v>311</v>
      </c>
      <c r="O471" s="17">
        <v>311</v>
      </c>
      <c r="P471" s="26">
        <f>(data[[#This Row],[LoadedMiles]]/data[[#This Row],[TotalMiles]])*100</f>
        <v>100</v>
      </c>
      <c r="Q471" s="25">
        <f>data[[#This Row],[ShippingCost]]/data[[#This Row],[TotalMiles]]</f>
        <v>16.887459807073956</v>
      </c>
      <c r="R471" s="17">
        <v>5252</v>
      </c>
      <c r="S471" s="25">
        <f>data[[#This Row],[Revenue]]/data[[#This Row],[TotalMiles]]</f>
        <v>17.938906752411576</v>
      </c>
      <c r="T471" s="26">
        <f>data[[#This Row],[Revenue]]-data[[#This Row],[ShippingCost]]</f>
        <v>327</v>
      </c>
      <c r="U471" s="17">
        <v>5579</v>
      </c>
      <c r="V471" s="17">
        <v>87</v>
      </c>
      <c r="W471" s="17" t="s">
        <v>68</v>
      </c>
      <c r="X471" s="17">
        <v>8</v>
      </c>
      <c r="Y471" s="17">
        <f>data[[#This Row],[DeliveryDate]]-data[[#This Row],[ShipDate]]</f>
        <v>4</v>
      </c>
      <c r="Z471" s="17" t="str">
        <f>IF(data[[#This Row],[Actual Delivery Days]]&gt;AD472,"Yes","No")</f>
        <v>Yes</v>
      </c>
    </row>
    <row r="472" spans="1:26">
      <c r="A472" s="17">
        <v>10606</v>
      </c>
      <c r="B472" s="17">
        <v>2</v>
      </c>
      <c r="C472" s="17">
        <v>5</v>
      </c>
      <c r="D472" s="17" t="s">
        <v>115</v>
      </c>
      <c r="E472" s="17" t="s">
        <v>623</v>
      </c>
      <c r="F472" s="17" t="str">
        <f>TEXT(data[[#This Row],[ShipDate]],"yyyy - mmmm")</f>
        <v>2016 - April</v>
      </c>
      <c r="G472" s="17" t="str">
        <f>data[[#This Row],[OriginCity]] &amp; " - "  &amp; data[[#This Row],[DestinationCity]]</f>
        <v>Gary - Milwaukee</v>
      </c>
      <c r="H472" s="17" t="s">
        <v>57</v>
      </c>
      <c r="I472" s="17" t="s">
        <v>44</v>
      </c>
      <c r="J472" s="17">
        <v>6</v>
      </c>
      <c r="K472" s="17" t="s">
        <v>28</v>
      </c>
      <c r="L472" s="17" t="s">
        <v>29</v>
      </c>
      <c r="M472" s="17" t="s">
        <v>609</v>
      </c>
      <c r="N472" s="17">
        <v>663</v>
      </c>
      <c r="O472" s="17">
        <v>350</v>
      </c>
      <c r="P472" s="26">
        <f>(data[[#This Row],[LoadedMiles]]/data[[#This Row],[TotalMiles]])*100</f>
        <v>52.790346907993971</v>
      </c>
      <c r="Q472" s="25">
        <f>data[[#This Row],[ShippingCost]]/data[[#This Row],[TotalMiles]]</f>
        <v>10.176470588235293</v>
      </c>
      <c r="R472" s="17">
        <v>6747</v>
      </c>
      <c r="S472" s="25">
        <f>data[[#This Row],[Revenue]]/data[[#This Row],[TotalMiles]]</f>
        <v>11.116138763197586</v>
      </c>
      <c r="T472" s="26">
        <f>data[[#This Row],[Revenue]]-data[[#This Row],[ShippingCost]]</f>
        <v>623</v>
      </c>
      <c r="U472" s="17">
        <v>7370</v>
      </c>
      <c r="V472" s="17">
        <v>80</v>
      </c>
      <c r="W472" s="17" t="s">
        <v>68</v>
      </c>
      <c r="X472" s="17">
        <v>2</v>
      </c>
      <c r="Y472" s="17">
        <f>data[[#This Row],[DeliveryDate]]-data[[#This Row],[ShipDate]]</f>
        <v>5</v>
      </c>
      <c r="Z472" s="17" t="str">
        <f>IF(data[[#This Row],[Actual Delivery Days]]&gt;AD473,"Yes","No")</f>
        <v>Yes</v>
      </c>
    </row>
    <row r="473" spans="1:26">
      <c r="A473" s="17">
        <v>10619</v>
      </c>
      <c r="B473" s="17">
        <v>1</v>
      </c>
      <c r="C473" s="17">
        <v>4</v>
      </c>
      <c r="D473" s="17" t="s">
        <v>154</v>
      </c>
      <c r="E473" s="17" t="s">
        <v>166</v>
      </c>
      <c r="F473" s="17" t="str">
        <f>TEXT(data[[#This Row],[ShipDate]],"yyyy - mmmm")</f>
        <v>2016 - January</v>
      </c>
      <c r="G473" s="17" t="str">
        <f>data[[#This Row],[OriginCity]] &amp; " - "  &amp; data[[#This Row],[DestinationCity]]</f>
        <v>Skokie - Chicago</v>
      </c>
      <c r="H473" s="17" t="s">
        <v>35</v>
      </c>
      <c r="I473" s="17" t="s">
        <v>31</v>
      </c>
      <c r="J473" s="17">
        <v>6</v>
      </c>
      <c r="K473" s="17" t="s">
        <v>39</v>
      </c>
      <c r="L473" s="17" t="s">
        <v>31</v>
      </c>
      <c r="M473" s="17" t="s">
        <v>82</v>
      </c>
      <c r="N473" s="17">
        <v>658</v>
      </c>
      <c r="O473" s="17">
        <v>220</v>
      </c>
      <c r="P473" s="26">
        <f>(data[[#This Row],[LoadedMiles]]/data[[#This Row],[TotalMiles]])*100</f>
        <v>33.434650455927049</v>
      </c>
      <c r="Q473" s="25">
        <f>data[[#This Row],[ShippingCost]]/data[[#This Row],[TotalMiles]]</f>
        <v>5.2948328267477205</v>
      </c>
      <c r="R473" s="17">
        <v>3484</v>
      </c>
      <c r="S473" s="25">
        <f>data[[#This Row],[Revenue]]/data[[#This Row],[TotalMiles]]</f>
        <v>1.9103343465045592</v>
      </c>
      <c r="T473" s="26">
        <f>data[[#This Row],[Revenue]]-data[[#This Row],[ShippingCost]]</f>
        <v>-2227</v>
      </c>
      <c r="U473" s="17">
        <v>1257</v>
      </c>
      <c r="V473" s="17">
        <v>61</v>
      </c>
      <c r="W473" s="17" t="s">
        <v>68</v>
      </c>
      <c r="X473" s="17">
        <v>1</v>
      </c>
      <c r="Y473" s="17">
        <f>data[[#This Row],[DeliveryDate]]-data[[#This Row],[ShipDate]]</f>
        <v>52</v>
      </c>
      <c r="Z473" s="17" t="str">
        <f>IF(data[[#This Row],[Actual Delivery Days]]&gt;AD474,"Yes","No")</f>
        <v>Yes</v>
      </c>
    </row>
    <row r="474" spans="1:26">
      <c r="A474" s="17">
        <v>10634</v>
      </c>
      <c r="B474" s="17">
        <v>1</v>
      </c>
      <c r="C474" s="17">
        <v>5</v>
      </c>
      <c r="D474" s="17" t="s">
        <v>192</v>
      </c>
      <c r="E474" s="17" t="s">
        <v>394</v>
      </c>
      <c r="F474" s="17" t="str">
        <f>TEXT(data[[#This Row],[ShipDate]],"yyyy - mmmm")</f>
        <v>2016 - January</v>
      </c>
      <c r="G474" s="17" t="str">
        <f>data[[#This Row],[OriginCity]] &amp; " - "  &amp; data[[#This Row],[DestinationCity]]</f>
        <v>Rockford - Green Bay</v>
      </c>
      <c r="H474" s="17" t="s">
        <v>40</v>
      </c>
      <c r="I474" s="17" t="s">
        <v>31</v>
      </c>
      <c r="J474" s="17">
        <v>6</v>
      </c>
      <c r="K474" s="17" t="s">
        <v>75</v>
      </c>
      <c r="L474" s="17" t="s">
        <v>29</v>
      </c>
      <c r="M474" s="17" t="s">
        <v>153</v>
      </c>
      <c r="N474" s="17">
        <v>966</v>
      </c>
      <c r="O474" s="17">
        <v>790</v>
      </c>
      <c r="P474" s="26">
        <f>(data[[#This Row],[LoadedMiles]]/data[[#This Row],[TotalMiles]])*100</f>
        <v>81.780538302277421</v>
      </c>
      <c r="Q474" s="25">
        <f>data[[#This Row],[ShippingCost]]/data[[#This Row],[TotalMiles]]</f>
        <v>6.1469979296066253</v>
      </c>
      <c r="R474" s="17">
        <v>5938</v>
      </c>
      <c r="S474" s="25">
        <f>data[[#This Row],[Revenue]]/data[[#This Row],[TotalMiles]]</f>
        <v>6.4347826086956523</v>
      </c>
      <c r="T474" s="26">
        <f>data[[#This Row],[Revenue]]-data[[#This Row],[ShippingCost]]</f>
        <v>278</v>
      </c>
      <c r="U474" s="17">
        <v>6216</v>
      </c>
      <c r="V474" s="17">
        <v>52</v>
      </c>
      <c r="W474" s="17" t="s">
        <v>68</v>
      </c>
      <c r="X474" s="17">
        <v>10</v>
      </c>
      <c r="Y474" s="17">
        <f>data[[#This Row],[DeliveryDate]]-data[[#This Row],[ShipDate]]</f>
        <v>6</v>
      </c>
      <c r="Z474" s="17" t="str">
        <f>IF(data[[#This Row],[Actual Delivery Days]]&gt;AD475,"Yes","No")</f>
        <v>Yes</v>
      </c>
    </row>
    <row r="475" spans="1:26">
      <c r="A475" s="17">
        <v>10654</v>
      </c>
      <c r="B475" s="17">
        <v>2</v>
      </c>
      <c r="C475" s="17">
        <v>6</v>
      </c>
      <c r="D475" s="17" t="s">
        <v>237</v>
      </c>
      <c r="E475" s="17" t="s">
        <v>111</v>
      </c>
      <c r="F475" s="17" t="str">
        <f>TEXT(data[[#This Row],[ShipDate]],"yyyy - mmmm")</f>
        <v>2016 - January</v>
      </c>
      <c r="G475" s="17" t="str">
        <f>data[[#This Row],[OriginCity]] &amp; " - "  &amp; data[[#This Row],[DestinationCity]]</f>
        <v>Madison - Kalamazoo</v>
      </c>
      <c r="H475" s="17" t="s">
        <v>62</v>
      </c>
      <c r="I475" s="17" t="s">
        <v>29</v>
      </c>
      <c r="J475" s="17">
        <v>6</v>
      </c>
      <c r="K475" s="17" t="s">
        <v>71</v>
      </c>
      <c r="L475" s="17" t="s">
        <v>21</v>
      </c>
      <c r="M475" s="17" t="s">
        <v>625</v>
      </c>
      <c r="N475" s="17">
        <v>552</v>
      </c>
      <c r="O475" s="17">
        <v>266</v>
      </c>
      <c r="P475" s="26">
        <f>(data[[#This Row],[LoadedMiles]]/data[[#This Row],[TotalMiles]])*100</f>
        <v>48.188405797101446</v>
      </c>
      <c r="Q475" s="25">
        <f>data[[#This Row],[ShippingCost]]/data[[#This Row],[TotalMiles]]</f>
        <v>11.947463768115941</v>
      </c>
      <c r="R475" s="17">
        <v>6595</v>
      </c>
      <c r="S475" s="25">
        <f>data[[#This Row],[Revenue]]/data[[#This Row],[TotalMiles]]</f>
        <v>13.047101449275363</v>
      </c>
      <c r="T475" s="26">
        <f>data[[#This Row],[Revenue]]-data[[#This Row],[ShippingCost]]</f>
        <v>607</v>
      </c>
      <c r="U475" s="17">
        <v>7202</v>
      </c>
      <c r="V475" s="17">
        <v>57</v>
      </c>
      <c r="W475" s="17" t="s">
        <v>68</v>
      </c>
      <c r="X475" s="17">
        <v>10</v>
      </c>
      <c r="Y475" s="17">
        <f>data[[#This Row],[DeliveryDate]]-data[[#This Row],[ShipDate]]</f>
        <v>6</v>
      </c>
      <c r="Z475" s="17" t="str">
        <f>IF(data[[#This Row],[Actual Delivery Days]]&gt;AD476,"Yes","No")</f>
        <v>Yes</v>
      </c>
    </row>
    <row r="476" spans="1:26">
      <c r="A476" s="17">
        <v>10661</v>
      </c>
      <c r="B476" s="17">
        <v>2</v>
      </c>
      <c r="C476" s="17">
        <v>5</v>
      </c>
      <c r="D476" s="17" t="s">
        <v>254</v>
      </c>
      <c r="E476" s="17" t="s">
        <v>72</v>
      </c>
      <c r="F476" s="17" t="str">
        <f>TEXT(data[[#This Row],[ShipDate]],"yyyy - mmmm")</f>
        <v>2016 - January</v>
      </c>
      <c r="G476" s="17" t="str">
        <f>data[[#This Row],[OriginCity]] &amp; " - "  &amp; data[[#This Row],[DestinationCity]]</f>
        <v>Lansing - Dayton</v>
      </c>
      <c r="H476" s="17" t="s">
        <v>66</v>
      </c>
      <c r="I476" s="17" t="s">
        <v>21</v>
      </c>
      <c r="J476" s="17">
        <v>6</v>
      </c>
      <c r="K476" s="17" t="s">
        <v>93</v>
      </c>
      <c r="L476" s="17" t="s">
        <v>23</v>
      </c>
      <c r="M476" s="17" t="s">
        <v>583</v>
      </c>
      <c r="N476" s="17">
        <v>513</v>
      </c>
      <c r="O476" s="17">
        <v>435</v>
      </c>
      <c r="P476" s="26">
        <f>(data[[#This Row],[LoadedMiles]]/data[[#This Row],[TotalMiles]])*100</f>
        <v>84.795321637426895</v>
      </c>
      <c r="Q476" s="25">
        <f>data[[#This Row],[ShippingCost]]/data[[#This Row],[TotalMiles]]</f>
        <v>15.69785575048733</v>
      </c>
      <c r="R476" s="17">
        <v>8053</v>
      </c>
      <c r="S476" s="25">
        <f>data[[#This Row],[Revenue]]/data[[#This Row],[TotalMiles]]</f>
        <v>16.750487329434698</v>
      </c>
      <c r="T476" s="26">
        <f>data[[#This Row],[Revenue]]-data[[#This Row],[ShippingCost]]</f>
        <v>540</v>
      </c>
      <c r="U476" s="17">
        <v>8593</v>
      </c>
      <c r="V476" s="17">
        <v>66</v>
      </c>
      <c r="W476" s="17" t="s">
        <v>68</v>
      </c>
      <c r="X476" s="17">
        <v>9</v>
      </c>
      <c r="Y476" s="17">
        <f>data[[#This Row],[DeliveryDate]]-data[[#This Row],[ShipDate]]</f>
        <v>5</v>
      </c>
      <c r="Z476" s="17" t="str">
        <f>IF(data[[#This Row],[Actual Delivery Days]]&gt;AD477,"Yes","No")</f>
        <v>Yes</v>
      </c>
    </row>
    <row r="477" spans="1:26">
      <c r="A477" s="17">
        <v>10690</v>
      </c>
      <c r="B477" s="17">
        <v>2</v>
      </c>
      <c r="C477" s="17">
        <v>7</v>
      </c>
      <c r="D477" s="17" t="s">
        <v>314</v>
      </c>
      <c r="E477" s="17" t="s">
        <v>183</v>
      </c>
      <c r="F477" s="17" t="str">
        <f>TEXT(data[[#This Row],[ShipDate]],"yyyy - mmmm")</f>
        <v>2016 - July</v>
      </c>
      <c r="G477" s="17" t="str">
        <f>data[[#This Row],[OriginCity]] &amp; " - "  &amp; data[[#This Row],[DestinationCity]]</f>
        <v>Springfield - Skokie</v>
      </c>
      <c r="H477" s="17" t="s">
        <v>30</v>
      </c>
      <c r="I477" s="17" t="s">
        <v>31</v>
      </c>
      <c r="J477" s="17">
        <v>6</v>
      </c>
      <c r="K477" s="17" t="s">
        <v>35</v>
      </c>
      <c r="L477" s="17" t="s">
        <v>31</v>
      </c>
      <c r="M477" s="17" t="s">
        <v>405</v>
      </c>
      <c r="N477" s="17">
        <v>643</v>
      </c>
      <c r="O477" s="17">
        <v>328</v>
      </c>
      <c r="P477" s="26">
        <f>(data[[#This Row],[LoadedMiles]]/data[[#This Row],[TotalMiles]])*100</f>
        <v>51.010886469673409</v>
      </c>
      <c r="Q477" s="25">
        <f>data[[#This Row],[ShippingCost]]/data[[#This Row],[TotalMiles]]</f>
        <v>1.5847589424572317</v>
      </c>
      <c r="R477" s="17">
        <v>1019</v>
      </c>
      <c r="S477" s="25">
        <f>data[[#This Row],[Revenue]]/data[[#This Row],[TotalMiles]]</f>
        <v>1.9004665629860031</v>
      </c>
      <c r="T477" s="26">
        <f>data[[#This Row],[Revenue]]-data[[#This Row],[ShippingCost]]</f>
        <v>203</v>
      </c>
      <c r="U477" s="17">
        <v>1222</v>
      </c>
      <c r="V477" s="17">
        <v>55</v>
      </c>
      <c r="W477" s="17" t="s">
        <v>68</v>
      </c>
      <c r="X477" s="17">
        <v>10</v>
      </c>
      <c r="Y477" s="17">
        <f>data[[#This Row],[DeliveryDate]]-data[[#This Row],[ShipDate]]</f>
        <v>6</v>
      </c>
      <c r="Z477" s="17" t="str">
        <f>IF(data[[#This Row],[Actual Delivery Days]]&gt;AD478,"Yes","No")</f>
        <v>Yes</v>
      </c>
    </row>
    <row r="478" spans="1:26">
      <c r="A478" s="17">
        <v>10693</v>
      </c>
      <c r="B478" s="17">
        <v>1</v>
      </c>
      <c r="C478" s="17">
        <v>8</v>
      </c>
      <c r="D478" s="17" t="s">
        <v>321</v>
      </c>
      <c r="E478" s="17" t="s">
        <v>180</v>
      </c>
      <c r="F478" s="17" t="str">
        <f>TEXT(data[[#This Row],[ShipDate]],"yyyy - mmmm")</f>
        <v>2016 - July</v>
      </c>
      <c r="G478" s="17" t="str">
        <f>data[[#This Row],[OriginCity]] &amp; " - "  &amp; data[[#This Row],[DestinationCity]]</f>
        <v>Northbrook - Naperville</v>
      </c>
      <c r="H478" s="17" t="s">
        <v>45</v>
      </c>
      <c r="I478" s="17" t="s">
        <v>31</v>
      </c>
      <c r="J478" s="17">
        <v>6</v>
      </c>
      <c r="K478" s="17" t="s">
        <v>48</v>
      </c>
      <c r="L478" s="17" t="s">
        <v>31</v>
      </c>
      <c r="M478" s="17" t="s">
        <v>82</v>
      </c>
      <c r="N478" s="17">
        <v>400</v>
      </c>
      <c r="O478" s="17">
        <v>400</v>
      </c>
      <c r="P478" s="26">
        <f>(data[[#This Row],[LoadedMiles]]/data[[#This Row],[TotalMiles]])*100</f>
        <v>100</v>
      </c>
      <c r="Q478" s="25">
        <f>data[[#This Row],[ShippingCost]]/data[[#This Row],[TotalMiles]]</f>
        <v>2.1825000000000001</v>
      </c>
      <c r="R478" s="17">
        <v>873</v>
      </c>
      <c r="S478" s="25">
        <f>data[[#This Row],[Revenue]]/data[[#This Row],[TotalMiles]]</f>
        <v>2.5</v>
      </c>
      <c r="T478" s="26">
        <f>data[[#This Row],[Revenue]]-data[[#This Row],[ShippingCost]]</f>
        <v>127</v>
      </c>
      <c r="U478" s="17">
        <v>1000</v>
      </c>
      <c r="V478" s="17">
        <v>87</v>
      </c>
      <c r="W478" s="17" t="s">
        <v>68</v>
      </c>
      <c r="X478" s="17">
        <v>5</v>
      </c>
      <c r="Y478" s="17">
        <f>data[[#This Row],[DeliveryDate]]-data[[#This Row],[ShipDate]]</f>
        <v>-117</v>
      </c>
      <c r="Z478" s="17" t="str">
        <f>IF(data[[#This Row],[Actual Delivery Days]]&gt;AD479,"Yes","No")</f>
        <v>No</v>
      </c>
    </row>
    <row r="479" spans="1:26">
      <c r="A479" s="17">
        <v>10697</v>
      </c>
      <c r="B479" s="17">
        <v>2</v>
      </c>
      <c r="C479" s="17">
        <v>5</v>
      </c>
      <c r="D479" s="17" t="s">
        <v>328</v>
      </c>
      <c r="E479" s="17" t="s">
        <v>161</v>
      </c>
      <c r="F479" s="17" t="str">
        <f>TEXT(data[[#This Row],[ShipDate]],"yyyy - mmmm")</f>
        <v>2016 - April</v>
      </c>
      <c r="G479" s="17" t="str">
        <f>data[[#This Row],[OriginCity]] &amp; " - "  &amp; data[[#This Row],[DestinationCity]]</f>
        <v>Madison - Kalamazoo</v>
      </c>
      <c r="H479" s="17" t="s">
        <v>62</v>
      </c>
      <c r="I479" s="17" t="s">
        <v>29</v>
      </c>
      <c r="J479" s="17">
        <v>6</v>
      </c>
      <c r="K479" s="17" t="s">
        <v>71</v>
      </c>
      <c r="L479" s="17" t="s">
        <v>21</v>
      </c>
      <c r="M479" s="17" t="s">
        <v>100</v>
      </c>
      <c r="N479" s="17">
        <v>553</v>
      </c>
      <c r="O479" s="17">
        <v>553</v>
      </c>
      <c r="P479" s="26">
        <f>(data[[#This Row],[LoadedMiles]]/data[[#This Row],[TotalMiles]])*100</f>
        <v>100</v>
      </c>
      <c r="Q479" s="25">
        <f>data[[#This Row],[ShippingCost]]/data[[#This Row],[TotalMiles]]</f>
        <v>7.3725135623869802</v>
      </c>
      <c r="R479" s="17">
        <v>4077</v>
      </c>
      <c r="S479" s="25">
        <f>data[[#This Row],[Revenue]]/data[[#This Row],[TotalMiles]]</f>
        <v>9.0235081374321879</v>
      </c>
      <c r="T479" s="26">
        <f>data[[#This Row],[Revenue]]-data[[#This Row],[ShippingCost]]</f>
        <v>913</v>
      </c>
      <c r="U479" s="17">
        <v>4990</v>
      </c>
      <c r="V479" s="17">
        <v>63</v>
      </c>
      <c r="W479" s="17" t="s">
        <v>68</v>
      </c>
      <c r="X479" s="17">
        <v>6</v>
      </c>
      <c r="Y479" s="17">
        <f>data[[#This Row],[DeliveryDate]]-data[[#This Row],[ShipDate]]</f>
        <v>5</v>
      </c>
      <c r="Z479" s="17" t="str">
        <f>IF(data[[#This Row],[Actual Delivery Days]]&gt;AD480,"Yes","No")</f>
        <v>Yes</v>
      </c>
    </row>
    <row r="480" spans="1:26">
      <c r="A480" s="17">
        <v>10726</v>
      </c>
      <c r="B480" s="17">
        <v>1</v>
      </c>
      <c r="C480" s="17">
        <v>6</v>
      </c>
      <c r="D480" s="17" t="s">
        <v>377</v>
      </c>
      <c r="E480" s="17" t="s">
        <v>88</v>
      </c>
      <c r="F480" s="17" t="str">
        <f>TEXT(data[[#This Row],[ShipDate]],"yyyy - mmmm")</f>
        <v>2016 - February</v>
      </c>
      <c r="G480" s="17" t="str">
        <f>data[[#This Row],[OriginCity]] &amp; " - "  &amp; data[[#This Row],[DestinationCity]]</f>
        <v>Toledo - Detriot</v>
      </c>
      <c r="H480" s="17" t="s">
        <v>22</v>
      </c>
      <c r="I480" s="17" t="s">
        <v>23</v>
      </c>
      <c r="J480" s="17">
        <v>6</v>
      </c>
      <c r="K480" s="17" t="s">
        <v>52</v>
      </c>
      <c r="L480" s="17" t="s">
        <v>21</v>
      </c>
      <c r="M480" s="17" t="s">
        <v>132</v>
      </c>
      <c r="N480" s="17">
        <v>702</v>
      </c>
      <c r="O480" s="17">
        <v>702</v>
      </c>
      <c r="P480" s="26">
        <f>(data[[#This Row],[LoadedMiles]]/data[[#This Row],[TotalMiles]])*100</f>
        <v>100</v>
      </c>
      <c r="Q480" s="25">
        <f>data[[#This Row],[ShippingCost]]/data[[#This Row],[TotalMiles]]</f>
        <v>5.816239316239316</v>
      </c>
      <c r="R480" s="17">
        <v>4083</v>
      </c>
      <c r="S480" s="25">
        <f>data[[#This Row],[Revenue]]/data[[#This Row],[TotalMiles]]</f>
        <v>6.0455840455840457</v>
      </c>
      <c r="T480" s="26">
        <f>data[[#This Row],[Revenue]]-data[[#This Row],[ShippingCost]]</f>
        <v>161</v>
      </c>
      <c r="U480" s="17">
        <v>4244</v>
      </c>
      <c r="V480" s="17">
        <v>77</v>
      </c>
      <c r="W480" s="17" t="s">
        <v>68</v>
      </c>
      <c r="X480" s="17">
        <v>3</v>
      </c>
      <c r="Y480" s="17">
        <f>data[[#This Row],[DeliveryDate]]-data[[#This Row],[ShipDate]]</f>
        <v>6</v>
      </c>
      <c r="Z480" s="17" t="str">
        <f>IF(data[[#This Row],[Actual Delivery Days]]&gt;AD481,"Yes","No")</f>
        <v>Yes</v>
      </c>
    </row>
    <row r="481" spans="1:26">
      <c r="A481" s="17">
        <v>10733</v>
      </c>
      <c r="B481" s="17">
        <v>2</v>
      </c>
      <c r="C481" s="17">
        <v>8</v>
      </c>
      <c r="D481" s="17" t="s">
        <v>390</v>
      </c>
      <c r="E481" s="17" t="s">
        <v>399</v>
      </c>
      <c r="F481" s="17" t="str">
        <f>TEXT(data[[#This Row],[ShipDate]],"yyyy - mmmm")</f>
        <v>2016 - July</v>
      </c>
      <c r="G481" s="17" t="str">
        <f>data[[#This Row],[OriginCity]] &amp; " - "  &amp; data[[#This Row],[DestinationCity]]</f>
        <v>Springfield - Skokie</v>
      </c>
      <c r="H481" s="17" t="s">
        <v>30</v>
      </c>
      <c r="I481" s="17" t="s">
        <v>31</v>
      </c>
      <c r="J481" s="17">
        <v>6</v>
      </c>
      <c r="K481" s="17" t="s">
        <v>35</v>
      </c>
      <c r="L481" s="17" t="s">
        <v>31</v>
      </c>
      <c r="M481" s="17" t="s">
        <v>499</v>
      </c>
      <c r="N481" s="17">
        <v>917</v>
      </c>
      <c r="O481" s="17">
        <v>769</v>
      </c>
      <c r="P481" s="26">
        <f>(data[[#This Row],[LoadedMiles]]/data[[#This Row],[TotalMiles]])*100</f>
        <v>83.860414394765542</v>
      </c>
      <c r="Q481" s="25">
        <f>data[[#This Row],[ShippingCost]]/data[[#This Row],[TotalMiles]]</f>
        <v>5.0926935659760089</v>
      </c>
      <c r="R481" s="17">
        <v>4670</v>
      </c>
      <c r="S481" s="25">
        <f>data[[#This Row],[Revenue]]/data[[#This Row],[TotalMiles]]</f>
        <v>5.4460196292257361</v>
      </c>
      <c r="T481" s="26">
        <f>data[[#This Row],[Revenue]]-data[[#This Row],[ShippingCost]]</f>
        <v>324</v>
      </c>
      <c r="U481" s="17">
        <v>4994</v>
      </c>
      <c r="V481" s="17">
        <v>63</v>
      </c>
      <c r="W481" s="17" t="s">
        <v>68</v>
      </c>
      <c r="X481" s="17">
        <v>8</v>
      </c>
      <c r="Y481" s="17">
        <f>data[[#This Row],[DeliveryDate]]-data[[#This Row],[ShipDate]]</f>
        <v>5</v>
      </c>
      <c r="Z481" s="17" t="str">
        <f>IF(data[[#This Row],[Actual Delivery Days]]&gt;AD482,"Yes","No")</f>
        <v>Yes</v>
      </c>
    </row>
    <row r="482" spans="1:26">
      <c r="A482" s="17">
        <v>10742</v>
      </c>
      <c r="B482" s="17">
        <v>1</v>
      </c>
      <c r="C482" s="17">
        <v>5</v>
      </c>
      <c r="D482" s="17" t="s">
        <v>407</v>
      </c>
      <c r="E482" s="17" t="s">
        <v>453</v>
      </c>
      <c r="F482" s="17" t="str">
        <f>TEXT(data[[#This Row],[ShipDate]],"yyyy - mmmm")</f>
        <v>2016 - March</v>
      </c>
      <c r="G482" s="17" t="str">
        <f>data[[#This Row],[OriginCity]] &amp; " - "  &amp; data[[#This Row],[DestinationCity]]</f>
        <v>Rockford - Green Bay</v>
      </c>
      <c r="H482" s="17" t="s">
        <v>40</v>
      </c>
      <c r="I482" s="17" t="s">
        <v>31</v>
      </c>
      <c r="J482" s="17">
        <v>6</v>
      </c>
      <c r="K482" s="17" t="s">
        <v>75</v>
      </c>
      <c r="L482" s="17" t="s">
        <v>29</v>
      </c>
      <c r="M482" s="17" t="s">
        <v>381</v>
      </c>
      <c r="N482" s="17">
        <v>863</v>
      </c>
      <c r="O482" s="17">
        <v>517</v>
      </c>
      <c r="P482" s="26">
        <f>(data[[#This Row],[LoadedMiles]]/data[[#This Row],[TotalMiles]])*100</f>
        <v>59.907300115874854</v>
      </c>
      <c r="Q482" s="25">
        <f>data[[#This Row],[ShippingCost]]/data[[#This Row],[TotalMiles]]</f>
        <v>2.7010428736964078</v>
      </c>
      <c r="R482" s="17">
        <v>2331</v>
      </c>
      <c r="S482" s="25">
        <f>data[[#This Row],[Revenue]]/data[[#This Row],[TotalMiles]]</f>
        <v>3.8122827346465815</v>
      </c>
      <c r="T482" s="26">
        <f>data[[#This Row],[Revenue]]-data[[#This Row],[ShippingCost]]</f>
        <v>959</v>
      </c>
      <c r="U482" s="17">
        <v>3290</v>
      </c>
      <c r="V482" s="17">
        <v>98</v>
      </c>
      <c r="W482" s="17" t="s">
        <v>68</v>
      </c>
      <c r="X482" s="17">
        <v>5</v>
      </c>
      <c r="Y482" s="17">
        <f>data[[#This Row],[DeliveryDate]]-data[[#This Row],[ShipDate]]</f>
        <v>6</v>
      </c>
      <c r="Z482" s="17" t="str">
        <f>IF(data[[#This Row],[Actual Delivery Days]]&gt;AD483,"Yes","No")</f>
        <v>Yes</v>
      </c>
    </row>
    <row r="483" spans="1:26">
      <c r="A483" s="17">
        <v>10788</v>
      </c>
      <c r="B483" s="17">
        <v>1</v>
      </c>
      <c r="C483" s="17">
        <v>8</v>
      </c>
      <c r="D483" s="17" t="s">
        <v>482</v>
      </c>
      <c r="E483" s="17" t="s">
        <v>620</v>
      </c>
      <c r="F483" s="17" t="str">
        <f>TEXT(data[[#This Row],[ShipDate]],"yyyy - mmmm")</f>
        <v>2016 - April</v>
      </c>
      <c r="G483" s="17" t="str">
        <f>data[[#This Row],[OriginCity]] &amp; " - "  &amp; data[[#This Row],[DestinationCity]]</f>
        <v>Cincinnati - Gary</v>
      </c>
      <c r="H483" s="17" t="s">
        <v>89</v>
      </c>
      <c r="I483" s="17" t="s">
        <v>23</v>
      </c>
      <c r="J483" s="17">
        <v>6</v>
      </c>
      <c r="K483" s="17" t="s">
        <v>57</v>
      </c>
      <c r="L483" s="17" t="s">
        <v>44</v>
      </c>
      <c r="M483" s="17" t="s">
        <v>222</v>
      </c>
      <c r="N483" s="17">
        <v>768</v>
      </c>
      <c r="O483" s="17">
        <v>693</v>
      </c>
      <c r="P483" s="26">
        <f>(data[[#This Row],[LoadedMiles]]/data[[#This Row],[TotalMiles]])*100</f>
        <v>90.234375</v>
      </c>
      <c r="Q483" s="25">
        <f>data[[#This Row],[ShippingCost]]/data[[#This Row],[TotalMiles]]</f>
        <v>9.58203125</v>
      </c>
      <c r="R483" s="17">
        <v>7359</v>
      </c>
      <c r="S483" s="25">
        <f>data[[#This Row],[Revenue]]/data[[#This Row],[TotalMiles]]</f>
        <v>9.7669270833333339</v>
      </c>
      <c r="T483" s="26">
        <f>data[[#This Row],[Revenue]]-data[[#This Row],[ShippingCost]]</f>
        <v>142</v>
      </c>
      <c r="U483" s="17">
        <v>7501</v>
      </c>
      <c r="V483" s="17">
        <v>50</v>
      </c>
      <c r="W483" s="17" t="s">
        <v>68</v>
      </c>
      <c r="X483" s="17">
        <v>2</v>
      </c>
      <c r="Y483" s="17">
        <f>data[[#This Row],[DeliveryDate]]-data[[#This Row],[ShipDate]]</f>
        <v>5</v>
      </c>
      <c r="Z483" s="17" t="str">
        <f>IF(data[[#This Row],[Actual Delivery Days]]&gt;AD484,"Yes","No")</f>
        <v>Yes</v>
      </c>
    </row>
    <row r="484" spans="1:26">
      <c r="A484" s="17">
        <v>10815</v>
      </c>
      <c r="B484" s="17">
        <v>2</v>
      </c>
      <c r="C484" s="17">
        <v>7</v>
      </c>
      <c r="D484" s="17" t="s">
        <v>518</v>
      </c>
      <c r="E484" s="17" t="s">
        <v>625</v>
      </c>
      <c r="F484" s="17" t="str">
        <f>TEXT(data[[#This Row],[ShipDate]],"yyyy - mmmm")</f>
        <v>2016 - January</v>
      </c>
      <c r="G484" s="17" t="str">
        <f>data[[#This Row],[OriginCity]] &amp; " - "  &amp; data[[#This Row],[DestinationCity]]</f>
        <v>Kalamazoo - Bangor</v>
      </c>
      <c r="H484" s="17" t="s">
        <v>71</v>
      </c>
      <c r="I484" s="17" t="s">
        <v>21</v>
      </c>
      <c r="J484" s="17">
        <v>6</v>
      </c>
      <c r="K484" s="17" t="s">
        <v>104</v>
      </c>
      <c r="L484" s="17" t="s">
        <v>21</v>
      </c>
      <c r="M484" s="17" t="s">
        <v>72</v>
      </c>
      <c r="N484" s="17">
        <v>1153</v>
      </c>
      <c r="O484" s="17">
        <v>673</v>
      </c>
      <c r="P484" s="26">
        <f>(data[[#This Row],[LoadedMiles]]/data[[#This Row],[TotalMiles]])*100</f>
        <v>58.369470945359936</v>
      </c>
      <c r="Q484" s="25">
        <f>data[[#This Row],[ShippingCost]]/data[[#This Row],[TotalMiles]]</f>
        <v>5.2810060711188207</v>
      </c>
      <c r="R484" s="17">
        <v>6089</v>
      </c>
      <c r="S484" s="25">
        <f>data[[#This Row],[Revenue]]/data[[#This Row],[TotalMiles]]</f>
        <v>5.7432784041630525</v>
      </c>
      <c r="T484" s="26">
        <f>data[[#This Row],[Revenue]]-data[[#This Row],[ShippingCost]]</f>
        <v>533</v>
      </c>
      <c r="U484" s="17">
        <v>6622</v>
      </c>
      <c r="V484" s="17">
        <v>51</v>
      </c>
      <c r="W484" s="17" t="s">
        <v>68</v>
      </c>
      <c r="X484" s="17">
        <v>2</v>
      </c>
      <c r="Y484" s="17">
        <f>data[[#This Row],[DeliveryDate]]-data[[#This Row],[ShipDate]]</f>
        <v>6</v>
      </c>
      <c r="Z484" s="17" t="str">
        <f>IF(data[[#This Row],[Actual Delivery Days]]&gt;AD485,"Yes","No")</f>
        <v>Yes</v>
      </c>
    </row>
    <row r="485" spans="1:26">
      <c r="A485" s="17">
        <v>10834</v>
      </c>
      <c r="B485" s="17">
        <v>2</v>
      </c>
      <c r="C485" s="17">
        <v>4</v>
      </c>
      <c r="D485" s="17" t="s">
        <v>547</v>
      </c>
      <c r="E485" s="17" t="s">
        <v>270</v>
      </c>
      <c r="F485" s="17" t="str">
        <f>TEXT(data[[#This Row],[ShipDate]],"yyyy - mmmm")</f>
        <v>2016 - April</v>
      </c>
      <c r="G485" s="17" t="str">
        <f>data[[#This Row],[OriginCity]] &amp; " - "  &amp; data[[#This Row],[DestinationCity]]</f>
        <v>Bangor - Davenport</v>
      </c>
      <c r="H485" s="17" t="s">
        <v>104</v>
      </c>
      <c r="I485" s="17" t="s">
        <v>21</v>
      </c>
      <c r="J485" s="17">
        <v>6</v>
      </c>
      <c r="K485" s="17" t="s">
        <v>105</v>
      </c>
      <c r="L485" s="17" t="s">
        <v>106</v>
      </c>
      <c r="M485" s="17" t="s">
        <v>221</v>
      </c>
      <c r="N485" s="17">
        <v>212</v>
      </c>
      <c r="O485" s="17">
        <v>212</v>
      </c>
      <c r="P485" s="26">
        <f>(data[[#This Row],[LoadedMiles]]/data[[#This Row],[TotalMiles]])*100</f>
        <v>100</v>
      </c>
      <c r="Q485" s="25">
        <f>data[[#This Row],[ShippingCost]]/data[[#This Row],[TotalMiles]]</f>
        <v>39.028301886792455</v>
      </c>
      <c r="R485" s="17">
        <v>8274</v>
      </c>
      <c r="S485" s="25">
        <f>data[[#This Row],[Revenue]]/data[[#This Row],[TotalMiles]]</f>
        <v>31.650943396226417</v>
      </c>
      <c r="T485" s="26">
        <f>data[[#This Row],[Revenue]]-data[[#This Row],[ShippingCost]]</f>
        <v>-1564</v>
      </c>
      <c r="U485" s="17">
        <v>6710</v>
      </c>
      <c r="V485" s="17">
        <v>53</v>
      </c>
      <c r="W485" s="17" t="s">
        <v>68</v>
      </c>
      <c r="X485" s="17">
        <v>7</v>
      </c>
      <c r="Y485" s="17">
        <f>data[[#This Row],[DeliveryDate]]-data[[#This Row],[ShipDate]]</f>
        <v>6</v>
      </c>
      <c r="Z485" s="17" t="str">
        <f>IF(data[[#This Row],[Actual Delivery Days]]&gt;AD486,"Yes","No")</f>
        <v>Yes</v>
      </c>
    </row>
    <row r="486" spans="1:26">
      <c r="A486" s="17">
        <v>10852</v>
      </c>
      <c r="B486" s="17">
        <v>1</v>
      </c>
      <c r="C486" s="17">
        <v>3</v>
      </c>
      <c r="D486" s="17" t="s">
        <v>566</v>
      </c>
      <c r="E486" s="17" t="s">
        <v>139</v>
      </c>
      <c r="F486" s="17" t="str">
        <f>TEXT(data[[#This Row],[ShipDate]],"yyyy - mmmm")</f>
        <v>2016 - August</v>
      </c>
      <c r="G486" s="17" t="str">
        <f>data[[#This Row],[OriginCity]] &amp; " - "  &amp; data[[#This Row],[DestinationCity]]</f>
        <v>Rockford - Green Bay</v>
      </c>
      <c r="H486" s="17" t="s">
        <v>40</v>
      </c>
      <c r="I486" s="17" t="s">
        <v>31</v>
      </c>
      <c r="J486" s="17">
        <v>6</v>
      </c>
      <c r="K486" s="17" t="s">
        <v>75</v>
      </c>
      <c r="L486" s="17" t="s">
        <v>29</v>
      </c>
      <c r="M486" s="17" t="s">
        <v>339</v>
      </c>
      <c r="N486" s="17">
        <v>1098</v>
      </c>
      <c r="O486" s="17">
        <v>786</v>
      </c>
      <c r="P486" s="26">
        <f>(data[[#This Row],[LoadedMiles]]/data[[#This Row],[TotalMiles]])*100</f>
        <v>71.58469945355192</v>
      </c>
      <c r="Q486" s="25">
        <f>data[[#This Row],[ShippingCost]]/data[[#This Row],[TotalMiles]]</f>
        <v>1.1320582877959928</v>
      </c>
      <c r="R486" s="17">
        <v>1243</v>
      </c>
      <c r="S486" s="25">
        <f>data[[#This Row],[Revenue]]/data[[#This Row],[TotalMiles]]</f>
        <v>1.8761384335154827</v>
      </c>
      <c r="T486" s="26">
        <f>data[[#This Row],[Revenue]]-data[[#This Row],[ShippingCost]]</f>
        <v>817</v>
      </c>
      <c r="U486" s="17">
        <v>2060</v>
      </c>
      <c r="V486" s="17">
        <v>84</v>
      </c>
      <c r="W486" s="17" t="s">
        <v>68</v>
      </c>
      <c r="X486" s="17">
        <v>2</v>
      </c>
      <c r="Y486" s="17">
        <f>data[[#This Row],[DeliveryDate]]-data[[#This Row],[ShipDate]]</f>
        <v>6</v>
      </c>
      <c r="Z486" s="17" t="str">
        <f>IF(data[[#This Row],[Actual Delivery Days]]&gt;AD487,"Yes","No")</f>
        <v>Yes</v>
      </c>
    </row>
    <row r="487" spans="1:26">
      <c r="A487" s="17">
        <v>10855</v>
      </c>
      <c r="B487" s="17">
        <v>1</v>
      </c>
      <c r="C487" s="17">
        <v>3</v>
      </c>
      <c r="D487" s="17" t="s">
        <v>570</v>
      </c>
      <c r="E487" s="17" t="s">
        <v>141</v>
      </c>
      <c r="F487" s="17" t="str">
        <f>TEXT(data[[#This Row],[ShipDate]],"yyyy - mmmm")</f>
        <v>2016 - August</v>
      </c>
      <c r="G487" s="17" t="str">
        <f>data[[#This Row],[OriginCity]] &amp; " - "  &amp; data[[#This Row],[DestinationCity]]</f>
        <v>Dayton - Elgin</v>
      </c>
      <c r="H487" s="17" t="s">
        <v>93</v>
      </c>
      <c r="I487" s="17" t="s">
        <v>23</v>
      </c>
      <c r="J487" s="17">
        <v>6</v>
      </c>
      <c r="K487" s="17" t="s">
        <v>94</v>
      </c>
      <c r="L487" s="17" t="s">
        <v>31</v>
      </c>
      <c r="M487" s="17" t="s">
        <v>211</v>
      </c>
      <c r="N487" s="17">
        <v>742</v>
      </c>
      <c r="O487" s="17">
        <v>434</v>
      </c>
      <c r="P487" s="26">
        <f>(data[[#This Row],[LoadedMiles]]/data[[#This Row],[TotalMiles]])*100</f>
        <v>58.490566037735846</v>
      </c>
      <c r="Q487" s="25">
        <f>data[[#This Row],[ShippingCost]]/data[[#This Row],[TotalMiles]]</f>
        <v>8.59299191374663</v>
      </c>
      <c r="R487" s="17">
        <v>6376</v>
      </c>
      <c r="S487" s="25">
        <f>data[[#This Row],[Revenue]]/data[[#This Row],[TotalMiles]]</f>
        <v>9.4353099730458219</v>
      </c>
      <c r="T487" s="26">
        <f>data[[#This Row],[Revenue]]-data[[#This Row],[ShippingCost]]</f>
        <v>625</v>
      </c>
      <c r="U487" s="17">
        <v>7001</v>
      </c>
      <c r="V487" s="17">
        <v>93</v>
      </c>
      <c r="W487" s="17" t="s">
        <v>68</v>
      </c>
      <c r="X487" s="17">
        <v>2</v>
      </c>
      <c r="Y487" s="17">
        <f>data[[#This Row],[DeliveryDate]]-data[[#This Row],[ShipDate]]</f>
        <v>6</v>
      </c>
      <c r="Z487" s="17" t="str">
        <f>IF(data[[#This Row],[Actual Delivery Days]]&gt;AD488,"Yes","No")</f>
        <v>Yes</v>
      </c>
    </row>
    <row r="488" spans="1:26">
      <c r="A488" s="17">
        <v>10880</v>
      </c>
      <c r="B488" s="17">
        <v>1</v>
      </c>
      <c r="C488" s="17">
        <v>2</v>
      </c>
      <c r="D488" s="17" t="s">
        <v>601</v>
      </c>
      <c r="E488" s="17" t="s">
        <v>229</v>
      </c>
      <c r="F488" s="17" t="str">
        <f>TEXT(data[[#This Row],[ShipDate]],"yyyy - mmmm")</f>
        <v>2016 - January</v>
      </c>
      <c r="G488" s="17" t="str">
        <f>data[[#This Row],[OriginCity]] &amp; " - "  &amp; data[[#This Row],[DestinationCity]]</f>
        <v>Bangor - Davenport</v>
      </c>
      <c r="H488" s="17" t="s">
        <v>104</v>
      </c>
      <c r="I488" s="17" t="s">
        <v>21</v>
      </c>
      <c r="J488" s="17">
        <v>6</v>
      </c>
      <c r="K488" s="17" t="s">
        <v>105</v>
      </c>
      <c r="L488" s="17" t="s">
        <v>106</v>
      </c>
      <c r="M488" s="17" t="s">
        <v>166</v>
      </c>
      <c r="N488" s="17">
        <v>936</v>
      </c>
      <c r="O488" s="17">
        <v>237</v>
      </c>
      <c r="P488" s="26">
        <f>(data[[#This Row],[LoadedMiles]]/data[[#This Row],[TotalMiles]])*100</f>
        <v>25.320512820512818</v>
      </c>
      <c r="Q488" s="25">
        <f>data[[#This Row],[ShippingCost]]/data[[#This Row],[TotalMiles]]</f>
        <v>7.6452991452991457</v>
      </c>
      <c r="R488" s="17">
        <v>7156</v>
      </c>
      <c r="S488" s="25">
        <f>data[[#This Row],[Revenue]]/data[[#This Row],[TotalMiles]]</f>
        <v>8.2585470085470085</v>
      </c>
      <c r="T488" s="26">
        <f>data[[#This Row],[Revenue]]-data[[#This Row],[ShippingCost]]</f>
        <v>574</v>
      </c>
      <c r="U488" s="17">
        <v>7730</v>
      </c>
      <c r="V488" s="17">
        <v>85</v>
      </c>
      <c r="W488" s="17" t="s">
        <v>68</v>
      </c>
      <c r="X488" s="17">
        <v>5</v>
      </c>
      <c r="Y488" s="17">
        <f>data[[#This Row],[DeliveryDate]]-data[[#This Row],[ShipDate]]</f>
        <v>4</v>
      </c>
      <c r="Z488" s="17" t="str">
        <f>IF(data[[#This Row],[Actual Delivery Days]]&gt;AD489,"Yes","No")</f>
        <v>Yes</v>
      </c>
    </row>
    <row r="489" spans="1:26">
      <c r="A489" s="17">
        <v>10890</v>
      </c>
      <c r="B489" s="17">
        <v>2</v>
      </c>
      <c r="C489" s="17">
        <v>2</v>
      </c>
      <c r="D489" s="17" t="s">
        <v>50</v>
      </c>
      <c r="E489" s="17" t="s">
        <v>278</v>
      </c>
      <c r="F489" s="17" t="str">
        <f>TEXT(data[[#This Row],[ShipDate]],"yyyy - mmmm")</f>
        <v>2016 - June</v>
      </c>
      <c r="G489" s="17" t="str">
        <f>data[[#This Row],[OriginCity]] &amp; " - "  &amp; data[[#This Row],[DestinationCity]]</f>
        <v>Detriot - Monon</v>
      </c>
      <c r="H489" s="17" t="s">
        <v>52</v>
      </c>
      <c r="I489" s="17" t="s">
        <v>21</v>
      </c>
      <c r="J489" s="17">
        <v>6</v>
      </c>
      <c r="K489" s="17" t="s">
        <v>53</v>
      </c>
      <c r="L489" s="17" t="s">
        <v>44</v>
      </c>
      <c r="M489" s="17" t="s">
        <v>176</v>
      </c>
      <c r="N489" s="17">
        <v>450</v>
      </c>
      <c r="O489" s="17">
        <v>450</v>
      </c>
      <c r="P489" s="26">
        <f>(data[[#This Row],[LoadedMiles]]/data[[#This Row],[TotalMiles]])*100</f>
        <v>100</v>
      </c>
      <c r="Q489" s="25">
        <f>data[[#This Row],[ShippingCost]]/data[[#This Row],[TotalMiles]]</f>
        <v>11.315555555555555</v>
      </c>
      <c r="R489" s="17">
        <v>5092</v>
      </c>
      <c r="S489" s="25">
        <f>data[[#This Row],[Revenue]]/data[[#This Row],[TotalMiles]]</f>
        <v>12.124444444444444</v>
      </c>
      <c r="T489" s="26">
        <f>data[[#This Row],[Revenue]]-data[[#This Row],[ShippingCost]]</f>
        <v>364</v>
      </c>
      <c r="U489" s="17">
        <v>5456</v>
      </c>
      <c r="V489" s="17">
        <v>80</v>
      </c>
      <c r="W489" s="17" t="s">
        <v>68</v>
      </c>
      <c r="X489" s="17">
        <v>2</v>
      </c>
      <c r="Y489" s="17">
        <f>data[[#This Row],[DeliveryDate]]-data[[#This Row],[ShipDate]]</f>
        <v>6</v>
      </c>
      <c r="Z489" s="17" t="str">
        <f>IF(data[[#This Row],[Actual Delivery Days]]&gt;AD490,"Yes","No")</f>
        <v>Yes</v>
      </c>
    </row>
    <row r="490" spans="1:26">
      <c r="A490" s="17">
        <v>10891</v>
      </c>
      <c r="B490" s="17">
        <v>1</v>
      </c>
      <c r="C490" s="17">
        <v>6</v>
      </c>
      <c r="D490" s="17" t="s">
        <v>55</v>
      </c>
      <c r="E490" s="17" t="s">
        <v>291</v>
      </c>
      <c r="F490" s="17" t="str">
        <f>TEXT(data[[#This Row],[ShipDate]],"yyyy - mmmm")</f>
        <v>2016 - February</v>
      </c>
      <c r="G490" s="17" t="str">
        <f>data[[#This Row],[OriginCity]] &amp; " - "  &amp; data[[#This Row],[DestinationCity]]</f>
        <v>Gary - Milwaukee</v>
      </c>
      <c r="H490" s="17" t="s">
        <v>57</v>
      </c>
      <c r="I490" s="17" t="s">
        <v>44</v>
      </c>
      <c r="J490" s="17">
        <v>6</v>
      </c>
      <c r="K490" s="17" t="s">
        <v>28</v>
      </c>
      <c r="L490" s="17" t="s">
        <v>29</v>
      </c>
      <c r="M490" s="17" t="s">
        <v>333</v>
      </c>
      <c r="N490" s="17">
        <v>782</v>
      </c>
      <c r="O490" s="17">
        <v>270</v>
      </c>
      <c r="P490" s="26">
        <f>(data[[#This Row],[LoadedMiles]]/data[[#This Row],[TotalMiles]])*100</f>
        <v>34.526854219948852</v>
      </c>
      <c r="Q490" s="25">
        <f>data[[#This Row],[ShippingCost]]/data[[#This Row],[TotalMiles]]</f>
        <v>4.0716112531969308</v>
      </c>
      <c r="R490" s="17">
        <v>3184</v>
      </c>
      <c r="S490" s="25">
        <f>data[[#This Row],[Revenue]]/data[[#This Row],[TotalMiles]]</f>
        <v>4.7864450127877234</v>
      </c>
      <c r="T490" s="26">
        <f>data[[#This Row],[Revenue]]-data[[#This Row],[ShippingCost]]</f>
        <v>559</v>
      </c>
      <c r="U490" s="17">
        <v>3743</v>
      </c>
      <c r="V490" s="17">
        <v>62</v>
      </c>
      <c r="W490" s="17" t="s">
        <v>68</v>
      </c>
      <c r="X490" s="17">
        <v>7</v>
      </c>
      <c r="Y490" s="17">
        <f>data[[#This Row],[DeliveryDate]]-data[[#This Row],[ShipDate]]</f>
        <v>6</v>
      </c>
      <c r="Z490" s="17" t="str">
        <f>IF(data[[#This Row],[Actual Delivery Days]]&gt;AD491,"Yes","No")</f>
        <v>Yes</v>
      </c>
    </row>
    <row r="491" spans="1:26">
      <c r="A491" s="17">
        <v>10909</v>
      </c>
      <c r="B491" s="17">
        <v>1</v>
      </c>
      <c r="C491" s="17">
        <v>5</v>
      </c>
      <c r="D491" s="17" t="s">
        <v>120</v>
      </c>
      <c r="E491" s="17" t="s">
        <v>413</v>
      </c>
      <c r="F491" s="17" t="str">
        <f>TEXT(data[[#This Row],[ShipDate]],"yyyy - mmmm")</f>
        <v>2016 - April</v>
      </c>
      <c r="G491" s="17" t="str">
        <f>data[[#This Row],[OriginCity]] &amp; " - "  &amp; data[[#This Row],[DestinationCity]]</f>
        <v>Milwaukee - Springfield</v>
      </c>
      <c r="H491" s="17" t="s">
        <v>28</v>
      </c>
      <c r="I491" s="17" t="s">
        <v>29</v>
      </c>
      <c r="J491" s="17">
        <v>6</v>
      </c>
      <c r="K491" s="17" t="s">
        <v>30</v>
      </c>
      <c r="L491" s="17" t="s">
        <v>31</v>
      </c>
      <c r="M491" s="17" t="s">
        <v>114</v>
      </c>
      <c r="N491" s="17">
        <v>471</v>
      </c>
      <c r="O491" s="17">
        <v>471</v>
      </c>
      <c r="P491" s="26">
        <f>(data[[#This Row],[LoadedMiles]]/data[[#This Row],[TotalMiles]])*100</f>
        <v>100</v>
      </c>
      <c r="Q491" s="25">
        <f>data[[#This Row],[ShippingCost]]/data[[#This Row],[TotalMiles]]</f>
        <v>12.972399150743099</v>
      </c>
      <c r="R491" s="17">
        <v>6110</v>
      </c>
      <c r="S491" s="25">
        <f>data[[#This Row],[Revenue]]/data[[#This Row],[TotalMiles]]</f>
        <v>14.968152866242038</v>
      </c>
      <c r="T491" s="26">
        <f>data[[#This Row],[Revenue]]-data[[#This Row],[ShippingCost]]</f>
        <v>940</v>
      </c>
      <c r="U491" s="17">
        <v>7050</v>
      </c>
      <c r="V491" s="17">
        <v>54</v>
      </c>
      <c r="W491" s="17" t="s">
        <v>68</v>
      </c>
      <c r="X491" s="17">
        <v>5</v>
      </c>
      <c r="Y491" s="17">
        <f>data[[#This Row],[DeliveryDate]]-data[[#This Row],[ShipDate]]</f>
        <v>6</v>
      </c>
      <c r="Z491" s="17" t="str">
        <f>IF(data[[#This Row],[Actual Delivery Days]]&gt;AD492,"Yes","No")</f>
        <v>Yes</v>
      </c>
    </row>
    <row r="492" spans="1:26">
      <c r="A492" s="17">
        <v>10911</v>
      </c>
      <c r="B492" s="17">
        <v>2</v>
      </c>
      <c r="C492" s="17">
        <v>4</v>
      </c>
      <c r="D492" s="17" t="s">
        <v>126</v>
      </c>
      <c r="E492" s="17" t="s">
        <v>49</v>
      </c>
      <c r="F492" s="17" t="str">
        <f>TEXT(data[[#This Row],[ShipDate]],"yyyy - mmmm")</f>
        <v>2016 - April</v>
      </c>
      <c r="G492" s="17" t="str">
        <f>data[[#This Row],[OriginCity]] &amp; " - "  &amp; data[[#This Row],[DestinationCity]]</f>
        <v>Chicago - Rockford</v>
      </c>
      <c r="H492" s="17" t="s">
        <v>39</v>
      </c>
      <c r="I492" s="17" t="s">
        <v>31</v>
      </c>
      <c r="J492" s="17">
        <v>6</v>
      </c>
      <c r="K492" s="17" t="s">
        <v>40</v>
      </c>
      <c r="L492" s="17" t="s">
        <v>31</v>
      </c>
      <c r="M492" s="17" t="s">
        <v>286</v>
      </c>
      <c r="N492" s="17">
        <v>956</v>
      </c>
      <c r="O492" s="17">
        <v>643</v>
      </c>
      <c r="P492" s="26">
        <f>(data[[#This Row],[LoadedMiles]]/data[[#This Row],[TotalMiles]])*100</f>
        <v>67.259414225941427</v>
      </c>
      <c r="Q492" s="25">
        <f>data[[#This Row],[ShippingCost]]/data[[#This Row],[TotalMiles]]</f>
        <v>5.497907949790795</v>
      </c>
      <c r="R492" s="17">
        <v>5256</v>
      </c>
      <c r="S492" s="25">
        <f>data[[#This Row],[Revenue]]/data[[#This Row],[TotalMiles]]</f>
        <v>3.256276150627615</v>
      </c>
      <c r="T492" s="26">
        <f>data[[#This Row],[Revenue]]-data[[#This Row],[ShippingCost]]</f>
        <v>-2143</v>
      </c>
      <c r="U492" s="17">
        <v>3113</v>
      </c>
      <c r="V492" s="17">
        <v>72</v>
      </c>
      <c r="W492" s="17" t="s">
        <v>68</v>
      </c>
      <c r="X492" s="17">
        <v>1</v>
      </c>
      <c r="Y492" s="17">
        <f>data[[#This Row],[DeliveryDate]]-data[[#This Row],[ShipDate]]</f>
        <v>6</v>
      </c>
      <c r="Z492" s="17" t="str">
        <f>IF(data[[#This Row],[Actual Delivery Days]]&gt;AD493,"Yes","No")</f>
        <v>Yes</v>
      </c>
    </row>
    <row r="493" spans="1:26">
      <c r="A493" s="17">
        <v>10930</v>
      </c>
      <c r="B493" s="17">
        <v>3</v>
      </c>
      <c r="C493" s="17">
        <v>3</v>
      </c>
      <c r="D493" s="17" t="s">
        <v>175</v>
      </c>
      <c r="E493" s="17" t="s">
        <v>248</v>
      </c>
      <c r="F493" s="17" t="str">
        <f>TEXT(data[[#This Row],[ShipDate]],"yyyy - mmmm")</f>
        <v>2016 - May</v>
      </c>
      <c r="G493" s="17" t="str">
        <f>data[[#This Row],[OriginCity]] &amp; " - "  &amp; data[[#This Row],[DestinationCity]]</f>
        <v>Kalamazoo - Bangor</v>
      </c>
      <c r="H493" s="17" t="s">
        <v>71</v>
      </c>
      <c r="I493" s="17" t="s">
        <v>21</v>
      </c>
      <c r="J493" s="17">
        <v>6</v>
      </c>
      <c r="K493" s="17" t="s">
        <v>104</v>
      </c>
      <c r="L493" s="17" t="s">
        <v>21</v>
      </c>
      <c r="M493" s="17" t="s">
        <v>84</v>
      </c>
      <c r="N493" s="17">
        <v>478</v>
      </c>
      <c r="O493" s="17">
        <v>478</v>
      </c>
      <c r="P493" s="26">
        <f>(data[[#This Row],[LoadedMiles]]/data[[#This Row],[TotalMiles]])*100</f>
        <v>100</v>
      </c>
      <c r="Q493" s="25">
        <f>data[[#This Row],[ShippingCost]]/data[[#This Row],[TotalMiles]]</f>
        <v>8.539748953974895</v>
      </c>
      <c r="R493" s="17">
        <v>4082</v>
      </c>
      <c r="S493" s="25">
        <f>data[[#This Row],[Revenue]]/data[[#This Row],[TotalMiles]]</f>
        <v>9.6506276150627617</v>
      </c>
      <c r="T493" s="26">
        <f>data[[#This Row],[Revenue]]-data[[#This Row],[ShippingCost]]</f>
        <v>531</v>
      </c>
      <c r="U493" s="17">
        <v>4613</v>
      </c>
      <c r="V493" s="17">
        <v>65</v>
      </c>
      <c r="W493" s="17" t="s">
        <v>68</v>
      </c>
      <c r="X493" s="17">
        <v>1</v>
      </c>
      <c r="Y493" s="17">
        <f>data[[#This Row],[DeliveryDate]]-data[[#This Row],[ShipDate]]</f>
        <v>6</v>
      </c>
      <c r="Z493" s="17" t="str">
        <f>IF(data[[#This Row],[Actual Delivery Days]]&gt;AD494,"Yes","No")</f>
        <v>Yes</v>
      </c>
    </row>
    <row r="494" spans="1:26">
      <c r="A494" s="17">
        <v>10961</v>
      </c>
      <c r="B494" s="17">
        <v>2</v>
      </c>
      <c r="C494" s="17">
        <v>2</v>
      </c>
      <c r="D494" s="17" t="s">
        <v>260</v>
      </c>
      <c r="E494" s="17" t="s">
        <v>324</v>
      </c>
      <c r="F494" s="17" t="str">
        <f>TEXT(data[[#This Row],[ShipDate]],"yyyy - mmmm")</f>
        <v>2016 - March</v>
      </c>
      <c r="G494" s="17" t="str">
        <f>data[[#This Row],[OriginCity]] &amp; " - "  &amp; data[[#This Row],[DestinationCity]]</f>
        <v>Rockford - Green Bay</v>
      </c>
      <c r="H494" s="17" t="s">
        <v>40</v>
      </c>
      <c r="I494" s="17" t="s">
        <v>31</v>
      </c>
      <c r="J494" s="17">
        <v>6</v>
      </c>
      <c r="K494" s="17" t="s">
        <v>75</v>
      </c>
      <c r="L494" s="17" t="s">
        <v>29</v>
      </c>
      <c r="M494" s="17" t="s">
        <v>274</v>
      </c>
      <c r="N494" s="17">
        <v>401</v>
      </c>
      <c r="O494" s="17">
        <v>401</v>
      </c>
      <c r="P494" s="26">
        <f>(data[[#This Row],[LoadedMiles]]/data[[#This Row],[TotalMiles]])*100</f>
        <v>100</v>
      </c>
      <c r="Q494" s="25">
        <f>data[[#This Row],[ShippingCost]]/data[[#This Row],[TotalMiles]]</f>
        <v>17.885286783042392</v>
      </c>
      <c r="R494" s="17">
        <v>7172</v>
      </c>
      <c r="S494" s="25">
        <f>data[[#This Row],[Revenue]]/data[[#This Row],[TotalMiles]]</f>
        <v>19.593516209476309</v>
      </c>
      <c r="T494" s="26">
        <f>data[[#This Row],[Revenue]]-data[[#This Row],[ShippingCost]]</f>
        <v>685</v>
      </c>
      <c r="U494" s="17">
        <v>7857</v>
      </c>
      <c r="V494" s="17">
        <v>68</v>
      </c>
      <c r="W494" s="17" t="s">
        <v>68</v>
      </c>
      <c r="X494" s="17">
        <v>6</v>
      </c>
      <c r="Y494" s="17">
        <f>data[[#This Row],[DeliveryDate]]-data[[#This Row],[ShipDate]]</f>
        <v>6</v>
      </c>
      <c r="Z494" s="17" t="str">
        <f>IF(data[[#This Row],[Actual Delivery Days]]&gt;AD495,"Yes","No")</f>
        <v>Yes</v>
      </c>
    </row>
    <row r="495" spans="1:26">
      <c r="A495" s="17">
        <v>10964</v>
      </c>
      <c r="B495" s="17">
        <v>2</v>
      </c>
      <c r="C495" s="17">
        <v>2</v>
      </c>
      <c r="D495" s="17" t="s">
        <v>267</v>
      </c>
      <c r="E495" s="17" t="s">
        <v>19</v>
      </c>
      <c r="F495" s="17" t="str">
        <f>TEXT(data[[#This Row],[ShipDate]],"yyyy - mmmm")</f>
        <v>2016 - July</v>
      </c>
      <c r="G495" s="17" t="str">
        <f>data[[#This Row],[OriginCity]] &amp; " - "  &amp; data[[#This Row],[DestinationCity]]</f>
        <v>Toledo - Detriot</v>
      </c>
      <c r="H495" s="17" t="s">
        <v>22</v>
      </c>
      <c r="I495" s="17" t="s">
        <v>23</v>
      </c>
      <c r="J495" s="17">
        <v>6</v>
      </c>
      <c r="K495" s="17" t="s">
        <v>52</v>
      </c>
      <c r="L495" s="17" t="s">
        <v>21</v>
      </c>
      <c r="M495" s="17" t="s">
        <v>82</v>
      </c>
      <c r="N495" s="17">
        <v>700</v>
      </c>
      <c r="O495" s="17">
        <v>220</v>
      </c>
      <c r="P495" s="26">
        <f>(data[[#This Row],[LoadedMiles]]/data[[#This Row],[TotalMiles]])*100</f>
        <v>31.428571428571427</v>
      </c>
      <c r="Q495" s="25">
        <f>data[[#This Row],[ShippingCost]]/data[[#This Row],[TotalMiles]]</f>
        <v>7.3971428571428568</v>
      </c>
      <c r="R495" s="17">
        <v>5178</v>
      </c>
      <c r="S495" s="25">
        <f>data[[#This Row],[Revenue]]/data[[#This Row],[TotalMiles]]</f>
        <v>7.9057142857142857</v>
      </c>
      <c r="T495" s="26">
        <f>data[[#This Row],[Revenue]]-data[[#This Row],[ShippingCost]]</f>
        <v>356</v>
      </c>
      <c r="U495" s="17">
        <v>5534</v>
      </c>
      <c r="V495" s="17">
        <v>94</v>
      </c>
      <c r="W495" s="17" t="s">
        <v>68</v>
      </c>
      <c r="X495" s="17">
        <v>6</v>
      </c>
      <c r="Y495" s="17">
        <f>data[[#This Row],[DeliveryDate]]-data[[#This Row],[ShipDate]]</f>
        <v>-109</v>
      </c>
      <c r="Z495" s="17" t="str">
        <f>IF(data[[#This Row],[Actual Delivery Days]]&gt;AD496,"Yes","No")</f>
        <v>No</v>
      </c>
    </row>
    <row r="496" spans="1:26">
      <c r="A496" s="17">
        <v>10978</v>
      </c>
      <c r="B496" s="17">
        <v>3</v>
      </c>
      <c r="C496" s="17">
        <v>5</v>
      </c>
      <c r="D496" s="17" t="s">
        <v>297</v>
      </c>
      <c r="E496" s="17" t="s">
        <v>355</v>
      </c>
      <c r="F496" s="17" t="str">
        <f>TEXT(data[[#This Row],[ShipDate]],"yyyy - mmmm")</f>
        <v>2016 - March</v>
      </c>
      <c r="G496" s="17" t="str">
        <f>data[[#This Row],[OriginCity]] &amp; " - "  &amp; data[[#This Row],[DestinationCity]]</f>
        <v>Monon - Lansing</v>
      </c>
      <c r="H496" s="17" t="s">
        <v>53</v>
      </c>
      <c r="I496" s="17" t="s">
        <v>44</v>
      </c>
      <c r="J496" s="17">
        <v>6</v>
      </c>
      <c r="K496" s="17" t="s">
        <v>66</v>
      </c>
      <c r="L496" s="17" t="s">
        <v>21</v>
      </c>
      <c r="M496" s="17" t="s">
        <v>253</v>
      </c>
      <c r="N496" s="17">
        <v>233</v>
      </c>
      <c r="O496" s="17">
        <v>233</v>
      </c>
      <c r="P496" s="26">
        <f>(data[[#This Row],[LoadedMiles]]/data[[#This Row],[TotalMiles]])*100</f>
        <v>100</v>
      </c>
      <c r="Q496" s="25">
        <f>data[[#This Row],[ShippingCost]]/data[[#This Row],[TotalMiles]]</f>
        <v>34.502145922746784</v>
      </c>
      <c r="R496" s="17">
        <v>8039</v>
      </c>
      <c r="S496" s="25">
        <f>data[[#This Row],[Revenue]]/data[[#This Row],[TotalMiles]]</f>
        <v>36.815450643776821</v>
      </c>
      <c r="T496" s="26">
        <f>data[[#This Row],[Revenue]]-data[[#This Row],[ShippingCost]]</f>
        <v>539</v>
      </c>
      <c r="U496" s="17">
        <v>8578</v>
      </c>
      <c r="V496" s="17">
        <v>66</v>
      </c>
      <c r="W496" s="17" t="s">
        <v>68</v>
      </c>
      <c r="X496" s="17">
        <v>8</v>
      </c>
      <c r="Y496" s="17">
        <f>data[[#This Row],[DeliveryDate]]-data[[#This Row],[ShipDate]]</f>
        <v>6</v>
      </c>
      <c r="Z496" s="17" t="str">
        <f>IF(data[[#This Row],[Actual Delivery Days]]&gt;AD497,"Yes","No")</f>
        <v>Yes</v>
      </c>
    </row>
    <row r="497" spans="1:26">
      <c r="A497" s="17">
        <v>10988</v>
      </c>
      <c r="B497" s="17">
        <v>2</v>
      </c>
      <c r="C497" s="17">
        <v>6</v>
      </c>
      <c r="D497" s="17" t="s">
        <v>317</v>
      </c>
      <c r="E497" s="17" t="s">
        <v>27</v>
      </c>
      <c r="F497" s="17" t="str">
        <f>TEXT(data[[#This Row],[ShipDate]],"yyyy - mmmm")</f>
        <v>2016 - May</v>
      </c>
      <c r="G497" s="17" t="str">
        <f>data[[#This Row],[OriginCity]] &amp; " - "  &amp; data[[#This Row],[DestinationCity]]</f>
        <v>Bangor - Davenport</v>
      </c>
      <c r="H497" s="17" t="s">
        <v>104</v>
      </c>
      <c r="I497" s="17" t="s">
        <v>21</v>
      </c>
      <c r="J497" s="17">
        <v>6</v>
      </c>
      <c r="K497" s="17" t="s">
        <v>105</v>
      </c>
      <c r="L497" s="17" t="s">
        <v>106</v>
      </c>
      <c r="M497" s="17" t="s">
        <v>108</v>
      </c>
      <c r="N497" s="17">
        <v>271</v>
      </c>
      <c r="O497" s="17">
        <v>271</v>
      </c>
      <c r="P497" s="26">
        <f>(data[[#This Row],[LoadedMiles]]/data[[#This Row],[TotalMiles]])*100</f>
        <v>100</v>
      </c>
      <c r="Q497" s="25">
        <f>data[[#This Row],[ShippingCost]]/data[[#This Row],[TotalMiles]]</f>
        <v>7.0295202952029516</v>
      </c>
      <c r="R497" s="17">
        <v>1905</v>
      </c>
      <c r="S497" s="25">
        <f>data[[#This Row],[Revenue]]/data[[#This Row],[TotalMiles]]</f>
        <v>8.6383763837638377</v>
      </c>
      <c r="T497" s="26">
        <f>data[[#This Row],[Revenue]]-data[[#This Row],[ShippingCost]]</f>
        <v>436</v>
      </c>
      <c r="U497" s="17">
        <v>2341</v>
      </c>
      <c r="V497" s="17">
        <v>66</v>
      </c>
      <c r="W497" s="17" t="s">
        <v>68</v>
      </c>
      <c r="X497" s="17">
        <v>7</v>
      </c>
      <c r="Y497" s="17">
        <f>data[[#This Row],[DeliveryDate]]-data[[#This Row],[ShipDate]]</f>
        <v>3</v>
      </c>
      <c r="Z497" s="17" t="str">
        <f>IF(data[[#This Row],[Actual Delivery Days]]&gt;AD498,"Yes","No")</f>
        <v>Yes</v>
      </c>
    </row>
    <row r="498" spans="1:26">
      <c r="A498" s="17">
        <v>10996</v>
      </c>
      <c r="B498" s="17">
        <v>2</v>
      </c>
      <c r="C498" s="17">
        <v>2</v>
      </c>
      <c r="D498" s="17" t="s">
        <v>331</v>
      </c>
      <c r="E498" s="17" t="s">
        <v>396</v>
      </c>
      <c r="F498" s="17" t="str">
        <f>TEXT(data[[#This Row],[ShipDate]],"yyyy - mmmm")</f>
        <v>2016 - January</v>
      </c>
      <c r="G498" s="17" t="str">
        <f>data[[#This Row],[OriginCity]] &amp; " - "  &amp; data[[#This Row],[DestinationCity]]</f>
        <v>Northbrook - Naperville</v>
      </c>
      <c r="H498" s="17" t="s">
        <v>45</v>
      </c>
      <c r="I498" s="17" t="s">
        <v>31</v>
      </c>
      <c r="J498" s="17">
        <v>6</v>
      </c>
      <c r="K498" s="17" t="s">
        <v>48</v>
      </c>
      <c r="L498" s="17" t="s">
        <v>31</v>
      </c>
      <c r="M498" s="17" t="s">
        <v>95</v>
      </c>
      <c r="N498" s="17">
        <v>345</v>
      </c>
      <c r="O498" s="17">
        <v>214</v>
      </c>
      <c r="P498" s="26">
        <f>(data[[#This Row],[LoadedMiles]]/data[[#This Row],[TotalMiles]])*100</f>
        <v>62.028985507246382</v>
      </c>
      <c r="Q498" s="25">
        <f>data[[#This Row],[ShippingCost]]/data[[#This Row],[TotalMiles]]</f>
        <v>24.713043478260868</v>
      </c>
      <c r="R498" s="17">
        <v>8526</v>
      </c>
      <c r="S498" s="25">
        <f>data[[#This Row],[Revenue]]/data[[#This Row],[TotalMiles]]</f>
        <v>25.318840579710145</v>
      </c>
      <c r="T498" s="26">
        <f>data[[#This Row],[Revenue]]-data[[#This Row],[ShippingCost]]</f>
        <v>209</v>
      </c>
      <c r="U498" s="17">
        <v>8735</v>
      </c>
      <c r="V498" s="17">
        <v>68</v>
      </c>
      <c r="W498" s="17" t="s">
        <v>68</v>
      </c>
      <c r="X498" s="17">
        <v>10</v>
      </c>
      <c r="Y498" s="17">
        <f>data[[#This Row],[DeliveryDate]]-data[[#This Row],[ShipDate]]</f>
        <v>6</v>
      </c>
      <c r="Z498" s="17" t="str">
        <f>IF(data[[#This Row],[Actual Delivery Days]]&gt;AD499,"Yes","No")</f>
        <v>Yes</v>
      </c>
    </row>
    <row r="499" spans="1:26">
      <c r="A499" s="17">
        <v>10998</v>
      </c>
      <c r="B499" s="17">
        <v>2</v>
      </c>
      <c r="C499" s="17">
        <v>3</v>
      </c>
      <c r="D499" s="17" t="s">
        <v>336</v>
      </c>
      <c r="E499" s="17" t="s">
        <v>130</v>
      </c>
      <c r="F499" s="17" t="str">
        <f>TEXT(data[[#This Row],[ShipDate]],"yyyy - mmmm")</f>
        <v>2016 - March</v>
      </c>
      <c r="G499" s="17" t="str">
        <f>data[[#This Row],[OriginCity]] &amp; " - "  &amp; data[[#This Row],[DestinationCity]]</f>
        <v>Joliet - Madison</v>
      </c>
      <c r="H499" s="17" t="s">
        <v>61</v>
      </c>
      <c r="I499" s="17" t="s">
        <v>31</v>
      </c>
      <c r="J499" s="17">
        <v>6</v>
      </c>
      <c r="K499" s="17" t="s">
        <v>62</v>
      </c>
      <c r="L499" s="17" t="s">
        <v>29</v>
      </c>
      <c r="M499" s="17" t="s">
        <v>200</v>
      </c>
      <c r="N499" s="17">
        <v>594</v>
      </c>
      <c r="O499" s="17">
        <v>594</v>
      </c>
      <c r="P499" s="26">
        <f>(data[[#This Row],[LoadedMiles]]/data[[#This Row],[TotalMiles]])*100</f>
        <v>100</v>
      </c>
      <c r="Q499" s="25">
        <f>data[[#This Row],[ShippingCost]]/data[[#This Row],[TotalMiles]]</f>
        <v>7.7525252525252526</v>
      </c>
      <c r="R499" s="17">
        <v>4605</v>
      </c>
      <c r="S499" s="25">
        <f>data[[#This Row],[Revenue]]/data[[#This Row],[TotalMiles]]</f>
        <v>9.3350168350168357</v>
      </c>
      <c r="T499" s="26">
        <f>data[[#This Row],[Revenue]]-data[[#This Row],[ShippingCost]]</f>
        <v>940</v>
      </c>
      <c r="U499" s="17">
        <v>5545</v>
      </c>
      <c r="V499" s="17">
        <v>67</v>
      </c>
      <c r="W499" s="17" t="s">
        <v>68</v>
      </c>
      <c r="X499" s="17">
        <v>7</v>
      </c>
      <c r="Y499" s="17">
        <f>data[[#This Row],[DeliveryDate]]-data[[#This Row],[ShipDate]]</f>
        <v>6</v>
      </c>
      <c r="Z499" s="17" t="str">
        <f>IF(data[[#This Row],[Actual Delivery Days]]&gt;AD500,"Yes","No")</f>
        <v>Yes</v>
      </c>
    </row>
    <row r="500" spans="1:26">
      <c r="A500" s="17">
        <v>11016</v>
      </c>
      <c r="B500" s="17">
        <v>2</v>
      </c>
      <c r="C500" s="17">
        <v>3</v>
      </c>
      <c r="D500" s="17" t="s">
        <v>369</v>
      </c>
      <c r="E500" s="17" t="s">
        <v>119</v>
      </c>
      <c r="F500" s="17" t="str">
        <f>TEXT(data[[#This Row],[ShipDate]],"yyyy - mmmm")</f>
        <v>2016 - August</v>
      </c>
      <c r="G500" s="17" t="str">
        <f>data[[#This Row],[OriginCity]] &amp; " - "  &amp; data[[#This Row],[DestinationCity]]</f>
        <v>Chicago - Rockford</v>
      </c>
      <c r="H500" s="17" t="s">
        <v>39</v>
      </c>
      <c r="I500" s="17" t="s">
        <v>31</v>
      </c>
      <c r="J500" s="17">
        <v>6</v>
      </c>
      <c r="K500" s="17" t="s">
        <v>40</v>
      </c>
      <c r="L500" s="17" t="s">
        <v>31</v>
      </c>
      <c r="M500" s="17" t="s">
        <v>36</v>
      </c>
      <c r="N500" s="17">
        <v>1088</v>
      </c>
      <c r="O500" s="17">
        <v>692</v>
      </c>
      <c r="P500" s="26">
        <f>(data[[#This Row],[LoadedMiles]]/data[[#This Row],[TotalMiles]])*100</f>
        <v>63.602941176470587</v>
      </c>
      <c r="Q500" s="25">
        <f>data[[#This Row],[ShippingCost]]/data[[#This Row],[TotalMiles]]</f>
        <v>7.6148897058823533</v>
      </c>
      <c r="R500" s="17">
        <v>8285</v>
      </c>
      <c r="S500" s="25">
        <f>data[[#This Row],[Revenue]]/data[[#This Row],[TotalMiles]]</f>
        <v>7.9512867647058822</v>
      </c>
      <c r="T500" s="26">
        <f>data[[#This Row],[Revenue]]-data[[#This Row],[ShippingCost]]</f>
        <v>366</v>
      </c>
      <c r="U500" s="17">
        <v>8651</v>
      </c>
      <c r="V500" s="17">
        <v>50</v>
      </c>
      <c r="W500" s="17" t="s">
        <v>68</v>
      </c>
      <c r="X500" s="17">
        <v>5</v>
      </c>
      <c r="Y500" s="17">
        <f>data[[#This Row],[DeliveryDate]]-data[[#This Row],[ShipDate]]</f>
        <v>6</v>
      </c>
      <c r="Z500" s="17" t="str">
        <f>IF(data[[#This Row],[Actual Delivery Days]]&gt;AD501,"Yes","No")</f>
        <v>Yes</v>
      </c>
    </row>
    <row r="501" spans="1:26">
      <c r="A501" s="17">
        <v>11094</v>
      </c>
      <c r="B501" s="17">
        <v>3</v>
      </c>
      <c r="C501" s="17">
        <v>2</v>
      </c>
      <c r="D501" s="17" t="s">
        <v>494</v>
      </c>
      <c r="E501" s="17" t="s">
        <v>272</v>
      </c>
      <c r="F501" s="17" t="str">
        <f>TEXT(data[[#This Row],[ShipDate]],"yyyy - mmmm")</f>
        <v>2016 - March</v>
      </c>
      <c r="G501" s="17" t="str">
        <f>data[[#This Row],[OriginCity]] &amp; " - "  &amp; data[[#This Row],[DestinationCity]]</f>
        <v>Lansing - Dayton</v>
      </c>
      <c r="H501" s="17" t="s">
        <v>66</v>
      </c>
      <c r="I501" s="17" t="s">
        <v>21</v>
      </c>
      <c r="J501" s="17">
        <v>6</v>
      </c>
      <c r="K501" s="17" t="s">
        <v>93</v>
      </c>
      <c r="L501" s="17" t="s">
        <v>23</v>
      </c>
      <c r="M501" s="17" t="s">
        <v>252</v>
      </c>
      <c r="N501" s="17">
        <v>300</v>
      </c>
      <c r="O501" s="17">
        <v>283</v>
      </c>
      <c r="P501" s="26">
        <f>(data[[#This Row],[LoadedMiles]]/data[[#This Row],[TotalMiles]])*100</f>
        <v>94.333333333333343</v>
      </c>
      <c r="Q501" s="25">
        <f>data[[#This Row],[ShippingCost]]/data[[#This Row],[TotalMiles]]</f>
        <v>5.5333333333333332</v>
      </c>
      <c r="R501" s="17">
        <v>1660</v>
      </c>
      <c r="S501" s="25">
        <f>data[[#This Row],[Revenue]]/data[[#This Row],[TotalMiles]]</f>
        <v>7.4</v>
      </c>
      <c r="T501" s="26">
        <f>data[[#This Row],[Revenue]]-data[[#This Row],[ShippingCost]]</f>
        <v>560</v>
      </c>
      <c r="U501" s="17">
        <v>2220</v>
      </c>
      <c r="V501" s="17">
        <v>62</v>
      </c>
      <c r="W501" s="17" t="s">
        <v>68</v>
      </c>
      <c r="X501" s="17">
        <v>3</v>
      </c>
      <c r="Y501" s="17">
        <f>data[[#This Row],[DeliveryDate]]-data[[#This Row],[ShipDate]]</f>
        <v>5</v>
      </c>
      <c r="Z501" s="17" t="str">
        <f>IF(data[[#This Row],[Actual Delivery Days]]&gt;AD502,"Yes","No")</f>
        <v>Yes</v>
      </c>
    </row>
    <row r="502" spans="1:26">
      <c r="A502" s="17">
        <v>11107</v>
      </c>
      <c r="B502" s="17">
        <v>2</v>
      </c>
      <c r="C502" s="17">
        <v>3</v>
      </c>
      <c r="D502" s="17" t="s">
        <v>512</v>
      </c>
      <c r="E502" s="17" t="s">
        <v>47</v>
      </c>
      <c r="F502" s="17" t="str">
        <f>TEXT(data[[#This Row],[ShipDate]],"yyyy - mmmm")</f>
        <v>2016 - April</v>
      </c>
      <c r="G502" s="17" t="str">
        <f>data[[#This Row],[OriginCity]] &amp; " - "  &amp; data[[#This Row],[DestinationCity]]</f>
        <v>Monon - Lansing</v>
      </c>
      <c r="H502" s="17" t="s">
        <v>53</v>
      </c>
      <c r="I502" s="17" t="s">
        <v>44</v>
      </c>
      <c r="J502" s="17">
        <v>6</v>
      </c>
      <c r="K502" s="17" t="s">
        <v>66</v>
      </c>
      <c r="L502" s="17" t="s">
        <v>21</v>
      </c>
      <c r="M502" s="17" t="s">
        <v>82</v>
      </c>
      <c r="N502" s="17">
        <v>766</v>
      </c>
      <c r="O502" s="17">
        <v>314</v>
      </c>
      <c r="P502" s="26">
        <f>(data[[#This Row],[LoadedMiles]]/data[[#This Row],[TotalMiles]])*100</f>
        <v>40.992167101827675</v>
      </c>
      <c r="Q502" s="25">
        <f>data[[#This Row],[ShippingCost]]/data[[#This Row],[TotalMiles]]</f>
        <v>7.6409921671018273</v>
      </c>
      <c r="R502" s="17">
        <v>5853</v>
      </c>
      <c r="S502" s="25">
        <f>data[[#This Row],[Revenue]]/data[[#This Row],[TotalMiles]]</f>
        <v>7.7872062663185382</v>
      </c>
      <c r="T502" s="26">
        <f>data[[#This Row],[Revenue]]-data[[#This Row],[ShippingCost]]</f>
        <v>112</v>
      </c>
      <c r="U502" s="17">
        <v>5965</v>
      </c>
      <c r="V502" s="17">
        <v>58</v>
      </c>
      <c r="W502" s="17" t="s">
        <v>68</v>
      </c>
      <c r="X502" s="17">
        <v>6</v>
      </c>
      <c r="Y502" s="17">
        <f>data[[#This Row],[DeliveryDate]]-data[[#This Row],[ShipDate]]</f>
        <v>-35</v>
      </c>
      <c r="Z502" s="17" t="str">
        <f>IF(data[[#This Row],[Actual Delivery Days]]&gt;AD503,"Yes","No")</f>
        <v>No</v>
      </c>
    </row>
    <row r="503" spans="1:26">
      <c r="A503" s="17">
        <v>11163</v>
      </c>
      <c r="B503" s="17">
        <v>3</v>
      </c>
      <c r="C503" s="17">
        <v>4</v>
      </c>
      <c r="D503" s="17" t="s">
        <v>584</v>
      </c>
      <c r="E503" s="17" t="s">
        <v>166</v>
      </c>
      <c r="F503" s="17" t="str">
        <f>TEXT(data[[#This Row],[ShipDate]],"yyyy - mmmm")</f>
        <v>2016 - January</v>
      </c>
      <c r="G503" s="17" t="str">
        <f>data[[#This Row],[OriginCity]] &amp; " - "  &amp; data[[#This Row],[DestinationCity]]</f>
        <v>Elgin - Cincinnati</v>
      </c>
      <c r="H503" s="17" t="s">
        <v>94</v>
      </c>
      <c r="I503" s="17" t="s">
        <v>31</v>
      </c>
      <c r="J503" s="17">
        <v>6</v>
      </c>
      <c r="K503" s="17" t="s">
        <v>89</v>
      </c>
      <c r="L503" s="17" t="s">
        <v>23</v>
      </c>
      <c r="M503" s="17" t="s">
        <v>309</v>
      </c>
      <c r="N503" s="17">
        <v>352</v>
      </c>
      <c r="O503" s="17">
        <v>352</v>
      </c>
      <c r="P503" s="26">
        <f>(data[[#This Row],[LoadedMiles]]/data[[#This Row],[TotalMiles]])*100</f>
        <v>100</v>
      </c>
      <c r="Q503" s="25">
        <f>data[[#This Row],[ShippingCost]]/data[[#This Row],[TotalMiles]]</f>
        <v>17.55965909090909</v>
      </c>
      <c r="R503" s="17">
        <v>6181</v>
      </c>
      <c r="S503" s="25">
        <f>data[[#This Row],[Revenue]]/data[[#This Row],[TotalMiles]]</f>
        <v>14.278409090909092</v>
      </c>
      <c r="T503" s="26">
        <f>data[[#This Row],[Revenue]]-data[[#This Row],[ShippingCost]]</f>
        <v>-1155</v>
      </c>
      <c r="U503" s="17">
        <v>5026</v>
      </c>
      <c r="V503" s="17">
        <v>72</v>
      </c>
      <c r="W503" s="17" t="s">
        <v>68</v>
      </c>
      <c r="X503" s="17">
        <v>8</v>
      </c>
      <c r="Y503" s="17">
        <f>data[[#This Row],[DeliveryDate]]-data[[#This Row],[ShipDate]]</f>
        <v>6</v>
      </c>
      <c r="Z503" s="17" t="str">
        <f>IF(data[[#This Row],[Actual Delivery Days]]&gt;AD504,"Yes","No")</f>
        <v>Yes</v>
      </c>
    </row>
    <row r="504" spans="1:26">
      <c r="A504" s="17">
        <v>11180</v>
      </c>
      <c r="B504" s="17">
        <v>3</v>
      </c>
      <c r="C504" s="17">
        <v>5</v>
      </c>
      <c r="D504" s="17" t="s">
        <v>603</v>
      </c>
      <c r="E504" s="17" t="s">
        <v>622</v>
      </c>
      <c r="F504" s="17" t="str">
        <f>TEXT(data[[#This Row],[ShipDate]],"yyyy - mmmm")</f>
        <v>2016 - July</v>
      </c>
      <c r="G504" s="17" t="str">
        <f>data[[#This Row],[OriginCity]] &amp; " - "  &amp; data[[#This Row],[DestinationCity]]</f>
        <v>Rockford - Green Bay</v>
      </c>
      <c r="H504" s="17" t="s">
        <v>40</v>
      </c>
      <c r="I504" s="17" t="s">
        <v>31</v>
      </c>
      <c r="J504" s="17">
        <v>6</v>
      </c>
      <c r="K504" s="17" t="s">
        <v>75</v>
      </c>
      <c r="L504" s="17" t="s">
        <v>29</v>
      </c>
      <c r="M504" s="17" t="s">
        <v>180</v>
      </c>
      <c r="N504" s="17">
        <v>601</v>
      </c>
      <c r="O504" s="17">
        <v>274</v>
      </c>
      <c r="P504" s="26">
        <f>(data[[#This Row],[LoadedMiles]]/data[[#This Row],[TotalMiles]])*100</f>
        <v>45.590682196339429</v>
      </c>
      <c r="Q504" s="25">
        <f>data[[#This Row],[ShippingCost]]/data[[#This Row],[TotalMiles]]</f>
        <v>13.527454242928453</v>
      </c>
      <c r="R504" s="17">
        <v>8130</v>
      </c>
      <c r="S504" s="25">
        <f>data[[#This Row],[Revenue]]/data[[#This Row],[TotalMiles]]</f>
        <v>14.590682196339435</v>
      </c>
      <c r="T504" s="26">
        <f>data[[#This Row],[Revenue]]-data[[#This Row],[ShippingCost]]</f>
        <v>639</v>
      </c>
      <c r="U504" s="17">
        <v>8769</v>
      </c>
      <c r="V504" s="17">
        <v>55</v>
      </c>
      <c r="W504" s="17" t="s">
        <v>68</v>
      </c>
      <c r="X504" s="17">
        <v>10</v>
      </c>
      <c r="Y504" s="17">
        <f>data[[#This Row],[DeliveryDate]]-data[[#This Row],[ShipDate]]</f>
        <v>6</v>
      </c>
      <c r="Z504" s="17" t="str">
        <f>IF(data[[#This Row],[Actual Delivery Days]]&gt;AD505,"Yes","No")</f>
        <v>Yes</v>
      </c>
    </row>
    <row r="505" spans="1:26">
      <c r="A505" s="17">
        <v>11184</v>
      </c>
      <c r="B505" s="17">
        <v>3</v>
      </c>
      <c r="C505" s="17">
        <v>1</v>
      </c>
      <c r="D505" s="17" t="s">
        <v>26</v>
      </c>
      <c r="E505" s="17" t="s">
        <v>158</v>
      </c>
      <c r="F505" s="17" t="str">
        <f>TEXT(data[[#This Row],[ShipDate]],"yyyy - mmmm")</f>
        <v>2016 - April</v>
      </c>
      <c r="G505" s="17" t="str">
        <f>data[[#This Row],[OriginCity]] &amp; " - "  &amp; data[[#This Row],[DestinationCity]]</f>
        <v>Toledo - Detriot</v>
      </c>
      <c r="H505" s="17" t="s">
        <v>22</v>
      </c>
      <c r="I505" s="17" t="s">
        <v>23</v>
      </c>
      <c r="J505" s="17">
        <v>6</v>
      </c>
      <c r="K505" s="17" t="s">
        <v>52</v>
      </c>
      <c r="L505" s="17" t="s">
        <v>21</v>
      </c>
      <c r="M505" s="17" t="s">
        <v>82</v>
      </c>
      <c r="N505" s="17">
        <v>256</v>
      </c>
      <c r="O505" s="17">
        <v>256</v>
      </c>
      <c r="P505" s="26">
        <f>(data[[#This Row],[LoadedMiles]]/data[[#This Row],[TotalMiles]])*100</f>
        <v>100</v>
      </c>
      <c r="Q505" s="25">
        <f>data[[#This Row],[ShippingCost]]/data[[#This Row],[TotalMiles]]</f>
        <v>24.7421875</v>
      </c>
      <c r="R505" s="17">
        <v>6334</v>
      </c>
      <c r="S505" s="25">
        <f>data[[#This Row],[Revenue]]/data[[#This Row],[TotalMiles]]</f>
        <v>44.56640625</v>
      </c>
      <c r="T505" s="26">
        <f>data[[#This Row],[Revenue]]-data[[#This Row],[ShippingCost]]</f>
        <v>5075</v>
      </c>
      <c r="U505" s="17">
        <v>11409</v>
      </c>
      <c r="V505" s="17">
        <v>98</v>
      </c>
      <c r="W505" s="17" t="s">
        <v>68</v>
      </c>
      <c r="X505" s="17">
        <v>7</v>
      </c>
      <c r="Y505" s="17">
        <f>data[[#This Row],[DeliveryDate]]-data[[#This Row],[ShipDate]]</f>
        <v>-23</v>
      </c>
      <c r="Z505" s="17" t="str">
        <f>IF(data[[#This Row],[Actual Delivery Days]]&gt;AD506,"Yes","No")</f>
        <v>No</v>
      </c>
    </row>
    <row r="506" spans="1:26">
      <c r="A506" s="17">
        <v>11201</v>
      </c>
      <c r="B506" s="17">
        <v>2</v>
      </c>
      <c r="C506" s="17">
        <v>4</v>
      </c>
      <c r="D506" s="17" t="s">
        <v>107</v>
      </c>
      <c r="E506" s="17" t="s">
        <v>122</v>
      </c>
      <c r="F506" s="17" t="str">
        <f>TEXT(data[[#This Row],[ShipDate]],"yyyy - mmmm")</f>
        <v>2016 - April</v>
      </c>
      <c r="G506" s="17" t="str">
        <f>data[[#This Row],[OriginCity]] &amp; " - "  &amp; data[[#This Row],[DestinationCity]]</f>
        <v>Naperville - Indianapolis</v>
      </c>
      <c r="H506" s="17" t="s">
        <v>48</v>
      </c>
      <c r="I506" s="17" t="s">
        <v>31</v>
      </c>
      <c r="J506" s="17">
        <v>6</v>
      </c>
      <c r="K506" s="17" t="s">
        <v>43</v>
      </c>
      <c r="L506" s="17" t="s">
        <v>44</v>
      </c>
      <c r="M506" s="17" t="s">
        <v>623</v>
      </c>
      <c r="N506" s="17">
        <v>955</v>
      </c>
      <c r="O506" s="17">
        <v>452</v>
      </c>
      <c r="P506" s="26">
        <f>(data[[#This Row],[LoadedMiles]]/data[[#This Row],[TotalMiles]])*100</f>
        <v>47.329842931937172</v>
      </c>
      <c r="Q506" s="25">
        <f>data[[#This Row],[ShippingCost]]/data[[#This Row],[TotalMiles]]</f>
        <v>4.2743455497382197</v>
      </c>
      <c r="R506" s="17">
        <v>4082</v>
      </c>
      <c r="S506" s="25">
        <f>data[[#This Row],[Revenue]]/data[[#This Row],[TotalMiles]]</f>
        <v>3.0272251308900522</v>
      </c>
      <c r="T506" s="26">
        <f>data[[#This Row],[Revenue]]-data[[#This Row],[ShippingCost]]</f>
        <v>-1191</v>
      </c>
      <c r="U506" s="17">
        <v>2891</v>
      </c>
      <c r="V506" s="17">
        <v>95</v>
      </c>
      <c r="W506" s="17" t="s">
        <v>68</v>
      </c>
      <c r="X506" s="17">
        <v>8</v>
      </c>
      <c r="Y506" s="17">
        <f>data[[#This Row],[DeliveryDate]]-data[[#This Row],[ShipDate]]</f>
        <v>6</v>
      </c>
      <c r="Z506" s="17" t="str">
        <f>IF(data[[#This Row],[Actual Delivery Days]]&gt;AD507,"Yes","No")</f>
        <v>Yes</v>
      </c>
    </row>
    <row r="507" spans="1:26">
      <c r="A507" s="17">
        <v>11202</v>
      </c>
      <c r="B507" s="17">
        <v>3</v>
      </c>
      <c r="C507" s="17">
        <v>4</v>
      </c>
      <c r="D507" s="17" t="s">
        <v>110</v>
      </c>
      <c r="E507" s="17" t="s">
        <v>111</v>
      </c>
      <c r="F507" s="17" t="str">
        <f>TEXT(data[[#This Row],[ShipDate]],"yyyy - mmmm")</f>
        <v>2016 - January</v>
      </c>
      <c r="G507" s="17" t="str">
        <f>data[[#This Row],[OriginCity]] &amp; " - "  &amp; data[[#This Row],[DestinationCity]]</f>
        <v>Rockford - Green Bay</v>
      </c>
      <c r="H507" s="17" t="s">
        <v>40</v>
      </c>
      <c r="I507" s="17" t="s">
        <v>31</v>
      </c>
      <c r="J507" s="17">
        <v>6</v>
      </c>
      <c r="K507" s="17" t="s">
        <v>75</v>
      </c>
      <c r="L507" s="17" t="s">
        <v>29</v>
      </c>
      <c r="M507" s="17" t="s">
        <v>82</v>
      </c>
      <c r="N507" s="17">
        <v>224</v>
      </c>
      <c r="O507" s="17">
        <v>224</v>
      </c>
      <c r="P507" s="26">
        <f>(data[[#This Row],[LoadedMiles]]/data[[#This Row],[TotalMiles]])*100</f>
        <v>100</v>
      </c>
      <c r="Q507" s="25">
        <f>data[[#This Row],[ShippingCost]]/data[[#This Row],[TotalMiles]]</f>
        <v>12.375</v>
      </c>
      <c r="R507" s="17">
        <v>2772</v>
      </c>
      <c r="S507" s="25">
        <f>data[[#This Row],[Revenue]]/data[[#This Row],[TotalMiles]]</f>
        <v>4.96875</v>
      </c>
      <c r="T507" s="26">
        <f>data[[#This Row],[Revenue]]-data[[#This Row],[ShippingCost]]</f>
        <v>-1659</v>
      </c>
      <c r="U507" s="17">
        <v>1113</v>
      </c>
      <c r="V507" s="17">
        <v>72</v>
      </c>
      <c r="W507" s="17" t="s">
        <v>68</v>
      </c>
      <c r="X507" s="17">
        <v>3</v>
      </c>
      <c r="Y507" s="17">
        <f>data[[#This Row],[DeliveryDate]]-data[[#This Row],[ShipDate]]</f>
        <v>78</v>
      </c>
      <c r="Z507" s="17" t="str">
        <f>IF(data[[#This Row],[Actual Delivery Days]]&gt;AD508,"Yes","No")</f>
        <v>Yes</v>
      </c>
    </row>
    <row r="508" spans="1:26">
      <c r="A508" s="17">
        <v>11255</v>
      </c>
      <c r="B508" s="17">
        <v>3</v>
      </c>
      <c r="C508" s="17">
        <v>6</v>
      </c>
      <c r="D508" s="17" t="s">
        <v>250</v>
      </c>
      <c r="E508" s="17" t="s">
        <v>191</v>
      </c>
      <c r="F508" s="17" t="str">
        <f>TEXT(data[[#This Row],[ShipDate]],"yyyy - mmmm")</f>
        <v>2016 - July</v>
      </c>
      <c r="G508" s="17" t="str">
        <f>data[[#This Row],[OriginCity]] &amp; " - "  &amp; data[[#This Row],[DestinationCity]]</f>
        <v>Grand Rapids - Toledo</v>
      </c>
      <c r="H508" s="17" t="s">
        <v>20</v>
      </c>
      <c r="I508" s="17" t="s">
        <v>21</v>
      </c>
      <c r="J508" s="17">
        <v>6</v>
      </c>
      <c r="K508" s="17" t="s">
        <v>22</v>
      </c>
      <c r="L508" s="17" t="s">
        <v>23</v>
      </c>
      <c r="M508" s="17" t="s">
        <v>553</v>
      </c>
      <c r="N508" s="17">
        <v>1160</v>
      </c>
      <c r="O508" s="17">
        <v>724</v>
      </c>
      <c r="P508" s="26">
        <f>(data[[#This Row],[LoadedMiles]]/data[[#This Row],[TotalMiles]])*100</f>
        <v>62.413793103448278</v>
      </c>
      <c r="Q508" s="25">
        <f>data[[#This Row],[ShippingCost]]/data[[#This Row],[TotalMiles]]</f>
        <v>5.2465517241379311</v>
      </c>
      <c r="R508" s="17">
        <v>6086</v>
      </c>
      <c r="S508" s="25">
        <f>data[[#This Row],[Revenue]]/data[[#This Row],[TotalMiles]]</f>
        <v>6.0517241379310347</v>
      </c>
      <c r="T508" s="26">
        <f>data[[#This Row],[Revenue]]-data[[#This Row],[ShippingCost]]</f>
        <v>934</v>
      </c>
      <c r="U508" s="17">
        <v>7020</v>
      </c>
      <c r="V508" s="17">
        <v>89</v>
      </c>
      <c r="W508" s="17" t="s">
        <v>68</v>
      </c>
      <c r="X508" s="17">
        <v>3</v>
      </c>
      <c r="Y508" s="17">
        <f>data[[#This Row],[DeliveryDate]]-data[[#This Row],[ShipDate]]</f>
        <v>6</v>
      </c>
      <c r="Z508" s="17" t="str">
        <f>IF(data[[#This Row],[Actual Delivery Days]]&gt;AD509,"Yes","No")</f>
        <v>Yes</v>
      </c>
    </row>
    <row r="509" spans="1:26">
      <c r="A509" s="17">
        <v>11261</v>
      </c>
      <c r="B509" s="17">
        <v>3</v>
      </c>
      <c r="C509" s="17">
        <v>3</v>
      </c>
      <c r="D509" s="17" t="s">
        <v>265</v>
      </c>
      <c r="E509" s="17" t="s">
        <v>542</v>
      </c>
      <c r="F509" s="17" t="str">
        <f>TEXT(data[[#This Row],[ShipDate]],"yyyy - mmmm")</f>
        <v>2016 - June</v>
      </c>
      <c r="G509" s="17" t="str">
        <f>data[[#This Row],[OriginCity]] &amp; " - "  &amp; data[[#This Row],[DestinationCity]]</f>
        <v>Gary - Milwaukee</v>
      </c>
      <c r="H509" s="17" t="s">
        <v>57</v>
      </c>
      <c r="I509" s="17" t="s">
        <v>44</v>
      </c>
      <c r="J509" s="17">
        <v>6</v>
      </c>
      <c r="K509" s="17" t="s">
        <v>28</v>
      </c>
      <c r="L509" s="17" t="s">
        <v>29</v>
      </c>
      <c r="M509" s="17" t="s">
        <v>298</v>
      </c>
      <c r="N509" s="17">
        <v>927</v>
      </c>
      <c r="O509" s="17">
        <v>542</v>
      </c>
      <c r="P509" s="26">
        <f>(data[[#This Row],[LoadedMiles]]/data[[#This Row],[TotalMiles]])*100</f>
        <v>58.468176914778859</v>
      </c>
      <c r="Q509" s="25">
        <f>data[[#This Row],[ShippingCost]]/data[[#This Row],[TotalMiles]]</f>
        <v>3.5480043149946061</v>
      </c>
      <c r="R509" s="17">
        <v>3289</v>
      </c>
      <c r="S509" s="25">
        <f>data[[#This Row],[Revenue]]/data[[#This Row],[TotalMiles]]</f>
        <v>4.4865156418554477</v>
      </c>
      <c r="T509" s="26">
        <f>data[[#This Row],[Revenue]]-data[[#This Row],[ShippingCost]]</f>
        <v>870</v>
      </c>
      <c r="U509" s="17">
        <v>4159</v>
      </c>
      <c r="V509" s="17">
        <v>65</v>
      </c>
      <c r="W509" s="17" t="s">
        <v>68</v>
      </c>
      <c r="X509" s="17">
        <v>7</v>
      </c>
      <c r="Y509" s="17">
        <f>data[[#This Row],[DeliveryDate]]-data[[#This Row],[ShipDate]]</f>
        <v>4</v>
      </c>
      <c r="Z509" s="17" t="str">
        <f>IF(data[[#This Row],[Actual Delivery Days]]&gt;AD510,"Yes","No")</f>
        <v>Yes</v>
      </c>
    </row>
    <row r="510" spans="1:26">
      <c r="A510" s="17">
        <v>11328</v>
      </c>
      <c r="B510" s="17">
        <v>3</v>
      </c>
      <c r="C510" s="17">
        <v>5</v>
      </c>
      <c r="D510" s="17" t="s">
        <v>388</v>
      </c>
      <c r="E510" s="17" t="s">
        <v>101</v>
      </c>
      <c r="F510" s="17" t="str">
        <f>TEXT(data[[#This Row],[ShipDate]],"yyyy - mmmm")</f>
        <v>2016 - April</v>
      </c>
      <c r="G510" s="17" t="str">
        <f>data[[#This Row],[OriginCity]] &amp; " - "  &amp; data[[#This Row],[DestinationCity]]</f>
        <v>Joliet - Madison</v>
      </c>
      <c r="H510" s="17" t="s">
        <v>61</v>
      </c>
      <c r="I510" s="17" t="s">
        <v>31</v>
      </c>
      <c r="J510" s="17">
        <v>6</v>
      </c>
      <c r="K510" s="17" t="s">
        <v>62</v>
      </c>
      <c r="L510" s="17" t="s">
        <v>29</v>
      </c>
      <c r="M510" s="17" t="s">
        <v>196</v>
      </c>
      <c r="N510" s="17">
        <v>953</v>
      </c>
      <c r="O510" s="17">
        <v>654</v>
      </c>
      <c r="P510" s="26">
        <f>(data[[#This Row],[LoadedMiles]]/data[[#This Row],[TotalMiles]])*100</f>
        <v>68.625393494228746</v>
      </c>
      <c r="Q510" s="25">
        <f>data[[#This Row],[ShippingCost]]/data[[#This Row],[TotalMiles]]</f>
        <v>2.3043022035676812</v>
      </c>
      <c r="R510" s="17">
        <v>2196</v>
      </c>
      <c r="S510" s="25">
        <f>data[[#This Row],[Revenue]]/data[[#This Row],[TotalMiles]]</f>
        <v>3.2717733473242392</v>
      </c>
      <c r="T510" s="26">
        <f>data[[#This Row],[Revenue]]-data[[#This Row],[ShippingCost]]</f>
        <v>922</v>
      </c>
      <c r="U510" s="17">
        <v>3118</v>
      </c>
      <c r="V510" s="17">
        <v>99</v>
      </c>
      <c r="W510" s="17" t="s">
        <v>68</v>
      </c>
      <c r="X510" s="17">
        <v>10</v>
      </c>
      <c r="Y510" s="17">
        <f>data[[#This Row],[DeliveryDate]]-data[[#This Row],[ShipDate]]</f>
        <v>6</v>
      </c>
      <c r="Z510" s="17" t="str">
        <f>IF(data[[#This Row],[Actual Delivery Days]]&gt;AD511,"Yes","No")</f>
        <v>Yes</v>
      </c>
    </row>
    <row r="511" spans="1:26">
      <c r="A511" s="17">
        <v>11329</v>
      </c>
      <c r="B511" s="17">
        <v>2</v>
      </c>
      <c r="C511" s="17">
        <v>6</v>
      </c>
      <c r="D511" s="17" t="s">
        <v>389</v>
      </c>
      <c r="E511" s="17" t="s">
        <v>97</v>
      </c>
      <c r="F511" s="17" t="str">
        <f>TEXT(data[[#This Row],[ShipDate]],"yyyy - mmmm")</f>
        <v>2016 - April</v>
      </c>
      <c r="G511" s="17" t="str">
        <f>data[[#This Row],[OriginCity]] &amp; " - "  &amp; data[[#This Row],[DestinationCity]]</f>
        <v>Monon - Lansing</v>
      </c>
      <c r="H511" s="17" t="s">
        <v>53</v>
      </c>
      <c r="I511" s="17" t="s">
        <v>44</v>
      </c>
      <c r="J511" s="17">
        <v>6</v>
      </c>
      <c r="K511" s="17" t="s">
        <v>66</v>
      </c>
      <c r="L511" s="17" t="s">
        <v>21</v>
      </c>
      <c r="M511" s="17" t="s">
        <v>82</v>
      </c>
      <c r="N511" s="17">
        <v>791</v>
      </c>
      <c r="O511" s="17">
        <v>551</v>
      </c>
      <c r="P511" s="26">
        <f>(data[[#This Row],[LoadedMiles]]/data[[#This Row],[TotalMiles]])*100</f>
        <v>69.658659924146647</v>
      </c>
      <c r="Q511" s="25">
        <f>data[[#This Row],[ShippingCost]]/data[[#This Row],[TotalMiles]]</f>
        <v>6.8116308470290772</v>
      </c>
      <c r="R511" s="17">
        <v>5388</v>
      </c>
      <c r="S511" s="25">
        <f>data[[#This Row],[Revenue]]/data[[#This Row],[TotalMiles]]</f>
        <v>7.4525916561314789</v>
      </c>
      <c r="T511" s="26">
        <f>data[[#This Row],[Revenue]]-data[[#This Row],[ShippingCost]]</f>
        <v>507</v>
      </c>
      <c r="U511" s="17">
        <v>5895</v>
      </c>
      <c r="V511" s="17">
        <v>60</v>
      </c>
      <c r="W511" s="17" t="s">
        <v>68</v>
      </c>
      <c r="X511" s="17">
        <v>6</v>
      </c>
      <c r="Y511" s="17">
        <f>data[[#This Row],[DeliveryDate]]-data[[#This Row],[ShipDate]]</f>
        <v>-32</v>
      </c>
      <c r="Z511" s="17" t="str">
        <f>IF(data[[#This Row],[Actual Delivery Days]]&gt;AD512,"Yes","No")</f>
        <v>No</v>
      </c>
    </row>
    <row r="512" spans="1:26">
      <c r="A512" s="17">
        <v>11348</v>
      </c>
      <c r="B512" s="17">
        <v>3</v>
      </c>
      <c r="C512" s="17">
        <v>1</v>
      </c>
      <c r="D512" s="17" t="s">
        <v>420</v>
      </c>
      <c r="E512" s="17" t="s">
        <v>309</v>
      </c>
      <c r="F512" s="17" t="str">
        <f>TEXT(data[[#This Row],[ShipDate]],"yyyy - mmmm")</f>
        <v>2016 - February</v>
      </c>
      <c r="G512" s="17" t="str">
        <f>data[[#This Row],[OriginCity]] &amp; " - "  &amp; data[[#This Row],[DestinationCity]]</f>
        <v>Indianapolis - Northbrook</v>
      </c>
      <c r="H512" s="17" t="s">
        <v>43</v>
      </c>
      <c r="I512" s="17" t="s">
        <v>44</v>
      </c>
      <c r="J512" s="17">
        <v>6</v>
      </c>
      <c r="K512" s="17" t="s">
        <v>45</v>
      </c>
      <c r="L512" s="17" t="s">
        <v>31</v>
      </c>
      <c r="M512" s="17" t="s">
        <v>290</v>
      </c>
      <c r="N512" s="17">
        <v>1070</v>
      </c>
      <c r="O512" s="17">
        <v>572</v>
      </c>
      <c r="P512" s="26">
        <f>(data[[#This Row],[LoadedMiles]]/data[[#This Row],[TotalMiles]])*100</f>
        <v>53.457943925233643</v>
      </c>
      <c r="Q512" s="25">
        <f>data[[#This Row],[ShippingCost]]/data[[#This Row],[TotalMiles]]</f>
        <v>2.2411214953271026</v>
      </c>
      <c r="R512" s="17">
        <v>2398</v>
      </c>
      <c r="S512" s="25">
        <f>data[[#This Row],[Revenue]]/data[[#This Row],[TotalMiles]]</f>
        <v>6.244859813084112</v>
      </c>
      <c r="T512" s="26">
        <f>data[[#This Row],[Revenue]]-data[[#This Row],[ShippingCost]]</f>
        <v>4284</v>
      </c>
      <c r="U512" s="17">
        <v>6682</v>
      </c>
      <c r="V512" s="17">
        <v>71</v>
      </c>
      <c r="W512" s="17" t="s">
        <v>68</v>
      </c>
      <c r="X512" s="17">
        <v>5</v>
      </c>
      <c r="Y512" s="17">
        <f>data[[#This Row],[DeliveryDate]]-data[[#This Row],[ShipDate]]</f>
        <v>6</v>
      </c>
      <c r="Z512" s="17" t="str">
        <f>IF(data[[#This Row],[Actual Delivery Days]]&gt;AD513,"Yes","No")</f>
        <v>Yes</v>
      </c>
    </row>
    <row r="513" spans="1:26">
      <c r="A513" s="17">
        <v>11354</v>
      </c>
      <c r="B513" s="17">
        <v>2</v>
      </c>
      <c r="C513" s="17">
        <v>4</v>
      </c>
      <c r="D513" s="17" t="s">
        <v>429</v>
      </c>
      <c r="E513" s="17" t="s">
        <v>624</v>
      </c>
      <c r="F513" s="17" t="str">
        <f>TEXT(data[[#This Row],[ShipDate]],"yyyy - mmmm")</f>
        <v>2016 - April</v>
      </c>
      <c r="G513" s="17" t="str">
        <f>data[[#This Row],[OriginCity]] &amp; " - "  &amp; data[[#This Row],[DestinationCity]]</f>
        <v>Madison - Kalamazoo</v>
      </c>
      <c r="H513" s="17" t="s">
        <v>62</v>
      </c>
      <c r="I513" s="17" t="s">
        <v>29</v>
      </c>
      <c r="J513" s="17">
        <v>6</v>
      </c>
      <c r="K513" s="17" t="s">
        <v>71</v>
      </c>
      <c r="L513" s="17" t="s">
        <v>21</v>
      </c>
      <c r="M513" s="17" t="s">
        <v>606</v>
      </c>
      <c r="N513" s="17">
        <v>1148</v>
      </c>
      <c r="O513" s="17">
        <v>652</v>
      </c>
      <c r="P513" s="26">
        <f>(data[[#This Row],[LoadedMiles]]/data[[#This Row],[TotalMiles]])*100</f>
        <v>56.79442508710801</v>
      </c>
      <c r="Q513" s="25">
        <f>data[[#This Row],[ShippingCost]]/data[[#This Row],[TotalMiles]]</f>
        <v>6.3937282229965158</v>
      </c>
      <c r="R513" s="17">
        <v>7340</v>
      </c>
      <c r="S513" s="25">
        <f>data[[#This Row],[Revenue]]/data[[#This Row],[TotalMiles]]</f>
        <v>4.8066202090592336</v>
      </c>
      <c r="T513" s="26">
        <f>data[[#This Row],[Revenue]]-data[[#This Row],[ShippingCost]]</f>
        <v>-1822</v>
      </c>
      <c r="U513" s="17">
        <v>5518</v>
      </c>
      <c r="V513" s="17">
        <v>92</v>
      </c>
      <c r="W513" s="17" t="s">
        <v>68</v>
      </c>
      <c r="X513" s="17">
        <v>9</v>
      </c>
      <c r="Y513" s="17">
        <f>data[[#This Row],[DeliveryDate]]-data[[#This Row],[ShipDate]]</f>
        <v>3</v>
      </c>
      <c r="Z513" s="17" t="str">
        <f>IF(data[[#This Row],[Actual Delivery Days]]&gt;AD514,"Yes","No")</f>
        <v>Yes</v>
      </c>
    </row>
    <row r="514" spans="1:26">
      <c r="A514" s="17">
        <v>11402</v>
      </c>
      <c r="B514" s="17">
        <v>3</v>
      </c>
      <c r="C514" s="17">
        <v>5</v>
      </c>
      <c r="D514" s="17" t="s">
        <v>500</v>
      </c>
      <c r="E514" s="17" t="s">
        <v>88</v>
      </c>
      <c r="F514" s="17" t="str">
        <f>TEXT(data[[#This Row],[ShipDate]],"yyyy - mmmm")</f>
        <v>2016 - February</v>
      </c>
      <c r="G514" s="17" t="str">
        <f>data[[#This Row],[OriginCity]] &amp; " - "  &amp; data[[#This Row],[DestinationCity]]</f>
        <v>Appleton - Grand Rapids</v>
      </c>
      <c r="H514" s="17" t="s">
        <v>85</v>
      </c>
      <c r="I514" s="17" t="s">
        <v>29</v>
      </c>
      <c r="J514" s="17">
        <v>6</v>
      </c>
      <c r="K514" s="17" t="s">
        <v>20</v>
      </c>
      <c r="L514" s="17" t="s">
        <v>21</v>
      </c>
      <c r="M514" s="17" t="s">
        <v>132</v>
      </c>
      <c r="N514" s="17">
        <v>253</v>
      </c>
      <c r="O514" s="17">
        <v>253</v>
      </c>
      <c r="P514" s="26">
        <f>(data[[#This Row],[LoadedMiles]]/data[[#This Row],[TotalMiles]])*100</f>
        <v>100</v>
      </c>
      <c r="Q514" s="25">
        <f>data[[#This Row],[ShippingCost]]/data[[#This Row],[TotalMiles]]</f>
        <v>8.4664031620553359</v>
      </c>
      <c r="R514" s="17">
        <v>2142</v>
      </c>
      <c r="S514" s="25">
        <f>data[[#This Row],[Revenue]]/data[[#This Row],[TotalMiles]]</f>
        <v>11.869565217391305</v>
      </c>
      <c r="T514" s="26">
        <f>data[[#This Row],[Revenue]]-data[[#This Row],[ShippingCost]]</f>
        <v>861</v>
      </c>
      <c r="U514" s="17">
        <v>3003</v>
      </c>
      <c r="V514" s="17">
        <v>84</v>
      </c>
      <c r="W514" s="17" t="s">
        <v>68</v>
      </c>
      <c r="X514" s="17">
        <v>5</v>
      </c>
      <c r="Y514" s="17">
        <f>data[[#This Row],[DeliveryDate]]-data[[#This Row],[ShipDate]]</f>
        <v>6</v>
      </c>
      <c r="Z514" s="17" t="str">
        <f>IF(data[[#This Row],[Actual Delivery Days]]&gt;AD515,"Yes","No")</f>
        <v>Yes</v>
      </c>
    </row>
    <row r="515" spans="1:26">
      <c r="A515" s="17">
        <v>11438</v>
      </c>
      <c r="B515" s="17">
        <v>2</v>
      </c>
      <c r="C515" s="17">
        <v>2</v>
      </c>
      <c r="D515" s="17" t="s">
        <v>551</v>
      </c>
      <c r="E515" s="17" t="s">
        <v>567</v>
      </c>
      <c r="F515" s="17" t="str">
        <f>TEXT(data[[#This Row],[ShipDate]],"yyyy - mmmm")</f>
        <v>2016 - February</v>
      </c>
      <c r="G515" s="17" t="str">
        <f>data[[#This Row],[OriginCity]] &amp; " - "  &amp; data[[#This Row],[DestinationCity]]</f>
        <v>Gary - Milwaukee</v>
      </c>
      <c r="H515" s="17" t="s">
        <v>57</v>
      </c>
      <c r="I515" s="17" t="s">
        <v>44</v>
      </c>
      <c r="J515" s="17">
        <v>6</v>
      </c>
      <c r="K515" s="17" t="s">
        <v>28</v>
      </c>
      <c r="L515" s="17" t="s">
        <v>29</v>
      </c>
      <c r="M515" s="17" t="s">
        <v>255</v>
      </c>
      <c r="N515" s="17">
        <v>786</v>
      </c>
      <c r="O515" s="17">
        <v>281</v>
      </c>
      <c r="P515" s="26">
        <f>(data[[#This Row],[LoadedMiles]]/data[[#This Row],[TotalMiles]])*100</f>
        <v>35.75063613231552</v>
      </c>
      <c r="Q515" s="25">
        <f>data[[#This Row],[ShippingCost]]/data[[#This Row],[TotalMiles]]</f>
        <v>3.2849872773536894</v>
      </c>
      <c r="R515" s="17">
        <v>2582</v>
      </c>
      <c r="S515" s="25">
        <f>data[[#This Row],[Revenue]]/data[[#This Row],[TotalMiles]]</f>
        <v>3.9491094147582699</v>
      </c>
      <c r="T515" s="26">
        <f>data[[#This Row],[Revenue]]-data[[#This Row],[ShippingCost]]</f>
        <v>522</v>
      </c>
      <c r="U515" s="17">
        <v>3104</v>
      </c>
      <c r="V515" s="17">
        <v>86</v>
      </c>
      <c r="W515" s="17" t="s">
        <v>68</v>
      </c>
      <c r="X515" s="17">
        <v>3</v>
      </c>
      <c r="Y515" s="17">
        <f>data[[#This Row],[DeliveryDate]]-data[[#This Row],[ShipDate]]</f>
        <v>6</v>
      </c>
      <c r="Z515" s="17" t="str">
        <f>IF(data[[#This Row],[Actual Delivery Days]]&gt;AD516,"Yes","No")</f>
        <v>Yes</v>
      </c>
    </row>
    <row r="516" spans="1:26">
      <c r="A516" s="17">
        <v>11493</v>
      </c>
      <c r="B516" s="17">
        <v>2</v>
      </c>
      <c r="C516" s="17">
        <v>6</v>
      </c>
      <c r="D516" s="17" t="s">
        <v>69</v>
      </c>
      <c r="E516" s="17" t="s">
        <v>418</v>
      </c>
      <c r="F516" s="17" t="str">
        <f>TEXT(data[[#This Row],[ShipDate]],"yyyy - mmmm")</f>
        <v>2016 - April</v>
      </c>
      <c r="G516" s="17" t="str">
        <f>data[[#This Row],[OriginCity]] &amp; " - "  &amp; data[[#This Row],[DestinationCity]]</f>
        <v>Lansing - Dayton</v>
      </c>
      <c r="H516" s="17" t="s">
        <v>66</v>
      </c>
      <c r="I516" s="17" t="s">
        <v>21</v>
      </c>
      <c r="J516" s="17">
        <v>6</v>
      </c>
      <c r="K516" s="17" t="s">
        <v>93</v>
      </c>
      <c r="L516" s="17" t="s">
        <v>23</v>
      </c>
      <c r="M516" s="17" t="s">
        <v>98</v>
      </c>
      <c r="N516" s="17">
        <v>752</v>
      </c>
      <c r="O516" s="17">
        <v>288</v>
      </c>
      <c r="P516" s="26">
        <f>(data[[#This Row],[LoadedMiles]]/data[[#This Row],[TotalMiles]])*100</f>
        <v>38.297872340425535</v>
      </c>
      <c r="Q516" s="25">
        <f>data[[#This Row],[ShippingCost]]/data[[#This Row],[TotalMiles]]</f>
        <v>9.8457446808510642</v>
      </c>
      <c r="R516" s="17">
        <v>7404</v>
      </c>
      <c r="S516" s="25">
        <f>data[[#This Row],[Revenue]]/data[[#This Row],[TotalMiles]]</f>
        <v>10.095744680851064</v>
      </c>
      <c r="T516" s="26">
        <f>data[[#This Row],[Revenue]]-data[[#This Row],[ShippingCost]]</f>
        <v>188</v>
      </c>
      <c r="U516" s="17">
        <v>7592</v>
      </c>
      <c r="V516" s="17">
        <v>69</v>
      </c>
      <c r="W516" s="17" t="s">
        <v>68</v>
      </c>
      <c r="X516" s="17">
        <v>3</v>
      </c>
      <c r="Y516" s="17">
        <f>data[[#This Row],[DeliveryDate]]-data[[#This Row],[ShipDate]]</f>
        <v>8</v>
      </c>
      <c r="Z516" s="17" t="str">
        <f>IF(data[[#This Row],[Actual Delivery Days]]&gt;AD517,"Yes","No")</f>
        <v>Yes</v>
      </c>
    </row>
    <row r="517" spans="1:26">
      <c r="A517" s="17">
        <v>11521</v>
      </c>
      <c r="B517" s="17">
        <v>3</v>
      </c>
      <c r="C517" s="17">
        <v>6</v>
      </c>
      <c r="D517" s="17" t="s">
        <v>159</v>
      </c>
      <c r="E517" s="17" t="s">
        <v>615</v>
      </c>
      <c r="F517" s="17" t="str">
        <f>TEXT(data[[#This Row],[ShipDate]],"yyyy - mmmm")</f>
        <v>2016 - January</v>
      </c>
      <c r="G517" s="17" t="str">
        <f>data[[#This Row],[OriginCity]] &amp; " - "  &amp; data[[#This Row],[DestinationCity]]</f>
        <v>Davenport - Appleton</v>
      </c>
      <c r="H517" s="17" t="s">
        <v>105</v>
      </c>
      <c r="I517" s="17" t="s">
        <v>106</v>
      </c>
      <c r="J517" s="17">
        <v>6</v>
      </c>
      <c r="K517" s="17" t="s">
        <v>85</v>
      </c>
      <c r="L517" s="17" t="s">
        <v>29</v>
      </c>
      <c r="M517" s="17" t="s">
        <v>246</v>
      </c>
      <c r="N517" s="17">
        <v>482</v>
      </c>
      <c r="O517" s="17">
        <v>366</v>
      </c>
      <c r="P517" s="26">
        <f>(data[[#This Row],[LoadedMiles]]/data[[#This Row],[TotalMiles]])*100</f>
        <v>75.933609958506224</v>
      </c>
      <c r="Q517" s="25">
        <f>data[[#This Row],[ShippingCost]]/data[[#This Row],[TotalMiles]]</f>
        <v>9.6908713692946051</v>
      </c>
      <c r="R517" s="17">
        <v>4671</v>
      </c>
      <c r="S517" s="25">
        <f>data[[#This Row],[Revenue]]/data[[#This Row],[TotalMiles]]</f>
        <v>11.296680497925312</v>
      </c>
      <c r="T517" s="26">
        <f>data[[#This Row],[Revenue]]-data[[#This Row],[ShippingCost]]</f>
        <v>774</v>
      </c>
      <c r="U517" s="17">
        <v>5445</v>
      </c>
      <c r="V517" s="17">
        <v>55</v>
      </c>
      <c r="W517" s="17" t="s">
        <v>68</v>
      </c>
      <c r="X517" s="17">
        <v>7</v>
      </c>
      <c r="Y517" s="17">
        <f>data[[#This Row],[DeliveryDate]]-data[[#This Row],[ShipDate]]</f>
        <v>5</v>
      </c>
      <c r="Z517" s="17" t="str">
        <f>IF(data[[#This Row],[Actual Delivery Days]]&gt;AD518,"Yes","No")</f>
        <v>Yes</v>
      </c>
    </row>
    <row r="518" spans="1:26">
      <c r="A518" s="17">
        <v>11531</v>
      </c>
      <c r="B518" s="17">
        <v>2</v>
      </c>
      <c r="C518" s="17">
        <v>1</v>
      </c>
      <c r="D518" s="17" t="s">
        <v>182</v>
      </c>
      <c r="E518" s="17" t="s">
        <v>54</v>
      </c>
      <c r="F518" s="17" t="str">
        <f>TEXT(data[[#This Row],[ShipDate]],"yyyy - mmmm")</f>
        <v>2016 - April</v>
      </c>
      <c r="G518" s="17" t="str">
        <f>data[[#This Row],[OriginCity]] &amp; " - "  &amp; data[[#This Row],[DestinationCity]]</f>
        <v>Monon - Lansing</v>
      </c>
      <c r="H518" s="17" t="s">
        <v>53</v>
      </c>
      <c r="I518" s="17" t="s">
        <v>44</v>
      </c>
      <c r="J518" s="17">
        <v>6</v>
      </c>
      <c r="K518" s="17" t="s">
        <v>66</v>
      </c>
      <c r="L518" s="17" t="s">
        <v>21</v>
      </c>
      <c r="M518" s="17" t="s">
        <v>161</v>
      </c>
      <c r="N518" s="17">
        <v>939</v>
      </c>
      <c r="O518" s="17">
        <v>529</v>
      </c>
      <c r="P518" s="26">
        <f>(data[[#This Row],[LoadedMiles]]/data[[#This Row],[TotalMiles]])*100</f>
        <v>56.336528221512253</v>
      </c>
      <c r="Q518" s="25">
        <f>data[[#This Row],[ShippingCost]]/data[[#This Row],[TotalMiles]]</f>
        <v>3.1757188498402558</v>
      </c>
      <c r="R518" s="17">
        <v>2982</v>
      </c>
      <c r="S518" s="25">
        <f>data[[#This Row],[Revenue]]/data[[#This Row],[TotalMiles]]</f>
        <v>8.3716719914802979</v>
      </c>
      <c r="T518" s="26">
        <f>data[[#This Row],[Revenue]]-data[[#This Row],[ShippingCost]]</f>
        <v>4879</v>
      </c>
      <c r="U518" s="17">
        <v>7861</v>
      </c>
      <c r="V518" s="17">
        <v>99</v>
      </c>
      <c r="W518" s="17" t="s">
        <v>68</v>
      </c>
      <c r="X518" s="17">
        <v>4</v>
      </c>
      <c r="Y518" s="17">
        <f>data[[#This Row],[DeliveryDate]]-data[[#This Row],[ShipDate]]</f>
        <v>7</v>
      </c>
      <c r="Z518" s="17" t="str">
        <f>IF(data[[#This Row],[Actual Delivery Days]]&gt;AD519,"Yes","No")</f>
        <v>Yes</v>
      </c>
    </row>
    <row r="519" spans="1:26">
      <c r="A519" s="17">
        <v>11551</v>
      </c>
      <c r="B519" s="17">
        <v>2</v>
      </c>
      <c r="C519" s="17">
        <v>6</v>
      </c>
      <c r="D519" s="17" t="s">
        <v>230</v>
      </c>
      <c r="E519" s="17" t="s">
        <v>352</v>
      </c>
      <c r="F519" s="17" t="str">
        <f>TEXT(data[[#This Row],[ShipDate]],"yyyy - mmmm")</f>
        <v>2016 - March</v>
      </c>
      <c r="G519" s="17" t="str">
        <f>data[[#This Row],[OriginCity]] &amp; " - "  &amp; data[[#This Row],[DestinationCity]]</f>
        <v>Detriot - Monon</v>
      </c>
      <c r="H519" s="17" t="s">
        <v>52</v>
      </c>
      <c r="I519" s="17" t="s">
        <v>21</v>
      </c>
      <c r="J519" s="17">
        <v>6</v>
      </c>
      <c r="K519" s="17" t="s">
        <v>53</v>
      </c>
      <c r="L519" s="17" t="s">
        <v>44</v>
      </c>
      <c r="M519" s="17" t="s">
        <v>124</v>
      </c>
      <c r="N519" s="17">
        <v>536</v>
      </c>
      <c r="O519" s="17">
        <v>455</v>
      </c>
      <c r="P519" s="26">
        <f>(data[[#This Row],[LoadedMiles]]/data[[#This Row],[TotalMiles]])*100</f>
        <v>84.888059701492537</v>
      </c>
      <c r="Q519" s="25">
        <f>data[[#This Row],[ShippingCost]]/data[[#This Row],[TotalMiles]]</f>
        <v>10.33955223880597</v>
      </c>
      <c r="R519" s="17">
        <v>5542</v>
      </c>
      <c r="S519" s="25">
        <f>data[[#This Row],[Revenue]]/data[[#This Row],[TotalMiles]]</f>
        <v>11.770522388059701</v>
      </c>
      <c r="T519" s="26">
        <f>data[[#This Row],[Revenue]]-data[[#This Row],[ShippingCost]]</f>
        <v>767</v>
      </c>
      <c r="U519" s="17">
        <v>6309</v>
      </c>
      <c r="V519" s="17">
        <v>89</v>
      </c>
      <c r="W519" s="17" t="s">
        <v>68</v>
      </c>
      <c r="X519" s="17">
        <v>9</v>
      </c>
      <c r="Y519" s="17">
        <f>data[[#This Row],[DeliveryDate]]-data[[#This Row],[ShipDate]]</f>
        <v>7</v>
      </c>
      <c r="Z519" s="17" t="str">
        <f>IF(data[[#This Row],[Actual Delivery Days]]&gt;AD520,"Yes","No")</f>
        <v>Yes</v>
      </c>
    </row>
    <row r="520" spans="1:26">
      <c r="A520" s="17">
        <v>11552</v>
      </c>
      <c r="B520" s="17">
        <v>2</v>
      </c>
      <c r="C520" s="17">
        <v>2</v>
      </c>
      <c r="D520" s="17" t="s">
        <v>232</v>
      </c>
      <c r="E520" s="17" t="s">
        <v>60</v>
      </c>
      <c r="F520" s="17" t="str">
        <f>TEXT(data[[#This Row],[ShipDate]],"yyyy - mmmm")</f>
        <v>2016 - July</v>
      </c>
      <c r="G520" s="17" t="str">
        <f>data[[#This Row],[OriginCity]] &amp; " - "  &amp; data[[#This Row],[DestinationCity]]</f>
        <v>Gary - Milwaukee</v>
      </c>
      <c r="H520" s="17" t="s">
        <v>57</v>
      </c>
      <c r="I520" s="17" t="s">
        <v>44</v>
      </c>
      <c r="J520" s="17">
        <v>6</v>
      </c>
      <c r="K520" s="17" t="s">
        <v>28</v>
      </c>
      <c r="L520" s="17" t="s">
        <v>29</v>
      </c>
      <c r="M520" s="17" t="s">
        <v>405</v>
      </c>
      <c r="N520" s="17">
        <v>437</v>
      </c>
      <c r="O520" s="17">
        <v>437</v>
      </c>
      <c r="P520" s="26">
        <f>(data[[#This Row],[LoadedMiles]]/data[[#This Row],[TotalMiles]])*100</f>
        <v>100</v>
      </c>
      <c r="Q520" s="25">
        <f>data[[#This Row],[ShippingCost]]/data[[#This Row],[TotalMiles]]</f>
        <v>14.931350114416476</v>
      </c>
      <c r="R520" s="17">
        <v>6525</v>
      </c>
      <c r="S520" s="25">
        <f>data[[#This Row],[Revenue]]/data[[#This Row],[TotalMiles]]</f>
        <v>15.427917620137301</v>
      </c>
      <c r="T520" s="26">
        <f>data[[#This Row],[Revenue]]-data[[#This Row],[ShippingCost]]</f>
        <v>217</v>
      </c>
      <c r="U520" s="17">
        <v>6742</v>
      </c>
      <c r="V520" s="17">
        <v>78</v>
      </c>
      <c r="W520" s="17" t="s">
        <v>68</v>
      </c>
      <c r="X520" s="17">
        <v>9</v>
      </c>
      <c r="Y520" s="17">
        <f>data[[#This Row],[DeliveryDate]]-data[[#This Row],[ShipDate]]</f>
        <v>9</v>
      </c>
      <c r="Z520" s="17" t="str">
        <f>IF(data[[#This Row],[Actual Delivery Days]]&gt;AD521,"Yes","No")</f>
        <v>Yes</v>
      </c>
    </row>
    <row r="521" spans="1:26">
      <c r="A521" s="17">
        <v>11553</v>
      </c>
      <c r="B521" s="17">
        <v>2</v>
      </c>
      <c r="C521" s="17">
        <v>6</v>
      </c>
      <c r="D521" s="17" t="s">
        <v>233</v>
      </c>
      <c r="E521" s="17" t="s">
        <v>278</v>
      </c>
      <c r="F521" s="17" t="str">
        <f>TEXT(data[[#This Row],[ShipDate]],"yyyy - mmmm")</f>
        <v>2016 - June</v>
      </c>
      <c r="G521" s="17" t="str">
        <f>data[[#This Row],[OriginCity]] &amp; " - "  &amp; data[[#This Row],[DestinationCity]]</f>
        <v>Joliet - Madison</v>
      </c>
      <c r="H521" s="17" t="s">
        <v>61</v>
      </c>
      <c r="I521" s="17" t="s">
        <v>31</v>
      </c>
      <c r="J521" s="17">
        <v>6</v>
      </c>
      <c r="K521" s="17" t="s">
        <v>62</v>
      </c>
      <c r="L521" s="17" t="s">
        <v>29</v>
      </c>
      <c r="M521" s="17" t="s">
        <v>537</v>
      </c>
      <c r="N521" s="17">
        <v>1196</v>
      </c>
      <c r="O521" s="17">
        <v>383</v>
      </c>
      <c r="P521" s="26">
        <f>(data[[#This Row],[LoadedMiles]]/data[[#This Row],[TotalMiles]])*100</f>
        <v>32.023411371237458</v>
      </c>
      <c r="Q521" s="25">
        <f>data[[#This Row],[ShippingCost]]/data[[#This Row],[TotalMiles]]</f>
        <v>4.158026755852843</v>
      </c>
      <c r="R521" s="17">
        <v>4973</v>
      </c>
      <c r="S521" s="25">
        <f>data[[#This Row],[Revenue]]/data[[#This Row],[TotalMiles]]</f>
        <v>4.3737458193979935</v>
      </c>
      <c r="T521" s="26">
        <f>data[[#This Row],[Revenue]]-data[[#This Row],[ShippingCost]]</f>
        <v>258</v>
      </c>
      <c r="U521" s="17">
        <v>5231</v>
      </c>
      <c r="V521" s="17">
        <v>100</v>
      </c>
      <c r="W521" s="17" t="s">
        <v>68</v>
      </c>
      <c r="X521" s="17">
        <v>3</v>
      </c>
      <c r="Y521" s="17">
        <f>data[[#This Row],[DeliveryDate]]-data[[#This Row],[ShipDate]]</f>
        <v>9</v>
      </c>
      <c r="Z521" s="17" t="str">
        <f>IF(data[[#This Row],[Actual Delivery Days]]&gt;AD522,"Yes","No")</f>
        <v>Yes</v>
      </c>
    </row>
    <row r="522" spans="1:26">
      <c r="A522" s="17">
        <v>11585</v>
      </c>
      <c r="B522" s="17">
        <v>2</v>
      </c>
      <c r="C522" s="17">
        <v>1</v>
      </c>
      <c r="D522" s="17" t="s">
        <v>306</v>
      </c>
      <c r="E522" s="17" t="s">
        <v>444</v>
      </c>
      <c r="F522" s="17" t="str">
        <f>TEXT(data[[#This Row],[ShipDate]],"yyyy - mmmm")</f>
        <v>2016 - June</v>
      </c>
      <c r="G522" s="17" t="str">
        <f>data[[#This Row],[OriginCity]] &amp; " - "  &amp; data[[#This Row],[DestinationCity]]</f>
        <v>Skokie - Chicago</v>
      </c>
      <c r="H522" s="17" t="s">
        <v>35</v>
      </c>
      <c r="I522" s="17" t="s">
        <v>31</v>
      </c>
      <c r="J522" s="17">
        <v>6</v>
      </c>
      <c r="K522" s="17" t="s">
        <v>39</v>
      </c>
      <c r="L522" s="17" t="s">
        <v>31</v>
      </c>
      <c r="M522" s="17" t="s">
        <v>136</v>
      </c>
      <c r="N522" s="17">
        <v>650</v>
      </c>
      <c r="O522" s="17">
        <v>382</v>
      </c>
      <c r="P522" s="26">
        <f>(data[[#This Row],[LoadedMiles]]/data[[#This Row],[TotalMiles]])*100</f>
        <v>58.769230769230774</v>
      </c>
      <c r="Q522" s="25">
        <f>data[[#This Row],[ShippingCost]]/data[[#This Row],[TotalMiles]]</f>
        <v>9.9046153846153846</v>
      </c>
      <c r="R522" s="17">
        <v>6438</v>
      </c>
      <c r="S522" s="25">
        <f>data[[#This Row],[Revenue]]/data[[#This Row],[TotalMiles]]</f>
        <v>17.227692307692308</v>
      </c>
      <c r="T522" s="26">
        <f>data[[#This Row],[Revenue]]-data[[#This Row],[ShippingCost]]</f>
        <v>4760</v>
      </c>
      <c r="U522" s="17">
        <v>11198</v>
      </c>
      <c r="V522" s="17">
        <v>54</v>
      </c>
      <c r="W522" s="17" t="s">
        <v>68</v>
      </c>
      <c r="X522" s="17">
        <v>6</v>
      </c>
      <c r="Y522" s="17">
        <f>data[[#This Row],[DeliveryDate]]-data[[#This Row],[ShipDate]]</f>
        <v>9</v>
      </c>
      <c r="Z522" s="17" t="str">
        <f>IF(data[[#This Row],[Actual Delivery Days]]&gt;AD523,"Yes","No")</f>
        <v>Yes</v>
      </c>
    </row>
    <row r="523" spans="1:26">
      <c r="A523" s="17">
        <v>11619</v>
      </c>
      <c r="B523" s="17">
        <v>2</v>
      </c>
      <c r="C523" s="17">
        <v>5</v>
      </c>
      <c r="D523" s="17" t="s">
        <v>371</v>
      </c>
      <c r="E523" s="17" t="s">
        <v>453</v>
      </c>
      <c r="F523" s="17" t="str">
        <f>TEXT(data[[#This Row],[ShipDate]],"yyyy - mmmm")</f>
        <v>2016 - March</v>
      </c>
      <c r="G523" s="17" t="str">
        <f>data[[#This Row],[OriginCity]] &amp; " - "  &amp; data[[#This Row],[DestinationCity]]</f>
        <v>Rockford - Green Bay</v>
      </c>
      <c r="H523" s="17" t="s">
        <v>40</v>
      </c>
      <c r="I523" s="17" t="s">
        <v>31</v>
      </c>
      <c r="J523" s="17">
        <v>6</v>
      </c>
      <c r="K523" s="17" t="s">
        <v>75</v>
      </c>
      <c r="L523" s="17" t="s">
        <v>29</v>
      </c>
      <c r="M523" s="17" t="s">
        <v>234</v>
      </c>
      <c r="N523" s="17">
        <v>508</v>
      </c>
      <c r="O523" s="17">
        <v>202</v>
      </c>
      <c r="P523" s="26">
        <f>(data[[#This Row],[LoadedMiles]]/data[[#This Row],[TotalMiles]])*100</f>
        <v>39.763779527559059</v>
      </c>
      <c r="Q523" s="25">
        <f>data[[#This Row],[ShippingCost]]/data[[#This Row],[TotalMiles]]</f>
        <v>11.045275590551181</v>
      </c>
      <c r="R523" s="17">
        <v>5611</v>
      </c>
      <c r="S523" s="25">
        <f>data[[#This Row],[Revenue]]/data[[#This Row],[TotalMiles]]</f>
        <v>11.970472440944881</v>
      </c>
      <c r="T523" s="26">
        <f>data[[#This Row],[Revenue]]-data[[#This Row],[ShippingCost]]</f>
        <v>470</v>
      </c>
      <c r="U523" s="17">
        <v>6081</v>
      </c>
      <c r="V523" s="17">
        <v>84</v>
      </c>
      <c r="W523" s="17" t="s">
        <v>68</v>
      </c>
      <c r="X523" s="17">
        <v>7</v>
      </c>
      <c r="Y523" s="17">
        <f>data[[#This Row],[DeliveryDate]]-data[[#This Row],[ShipDate]]</f>
        <v>8</v>
      </c>
      <c r="Z523" s="17" t="str">
        <f>IF(data[[#This Row],[Actual Delivery Days]]&gt;AD524,"Yes","No")</f>
        <v>Yes</v>
      </c>
    </row>
    <row r="524" spans="1:26">
      <c r="A524" s="17">
        <v>11656</v>
      </c>
      <c r="B524" s="17">
        <v>3</v>
      </c>
      <c r="C524" s="17">
        <v>2</v>
      </c>
      <c r="D524" s="17" t="s">
        <v>434</v>
      </c>
      <c r="E524" s="17" t="s">
        <v>387</v>
      </c>
      <c r="F524" s="17" t="str">
        <f>TEXT(data[[#This Row],[ShipDate]],"yyyy - mmmm")</f>
        <v>2016 - August</v>
      </c>
      <c r="G524" s="17" t="str">
        <f>data[[#This Row],[OriginCity]] &amp; " - "  &amp; data[[#This Row],[DestinationCity]]</f>
        <v>Detriot - Monon</v>
      </c>
      <c r="H524" s="17" t="s">
        <v>52</v>
      </c>
      <c r="I524" s="17" t="s">
        <v>21</v>
      </c>
      <c r="J524" s="17">
        <v>6</v>
      </c>
      <c r="K524" s="17" t="s">
        <v>53</v>
      </c>
      <c r="L524" s="17" t="s">
        <v>44</v>
      </c>
      <c r="M524" s="17" t="s">
        <v>307</v>
      </c>
      <c r="N524" s="17">
        <v>258</v>
      </c>
      <c r="O524" s="17">
        <v>258</v>
      </c>
      <c r="P524" s="26">
        <f>(data[[#This Row],[LoadedMiles]]/data[[#This Row],[TotalMiles]])*100</f>
        <v>100</v>
      </c>
      <c r="Q524" s="25">
        <f>data[[#This Row],[ShippingCost]]/data[[#This Row],[TotalMiles]]</f>
        <v>23.290697674418606</v>
      </c>
      <c r="R524" s="17">
        <v>6009</v>
      </c>
      <c r="S524" s="25">
        <f>data[[#This Row],[Revenue]]/data[[#This Row],[TotalMiles]]</f>
        <v>23.895348837209301</v>
      </c>
      <c r="T524" s="26">
        <f>data[[#This Row],[Revenue]]-data[[#This Row],[ShippingCost]]</f>
        <v>156</v>
      </c>
      <c r="U524" s="17">
        <v>6165</v>
      </c>
      <c r="V524" s="17">
        <v>60</v>
      </c>
      <c r="W524" s="17" t="s">
        <v>68</v>
      </c>
      <c r="X524" s="17">
        <v>8</v>
      </c>
      <c r="Y524" s="17">
        <f>data[[#This Row],[DeliveryDate]]-data[[#This Row],[ShipDate]]</f>
        <v>6</v>
      </c>
      <c r="Z524" s="17" t="str">
        <f>IF(data[[#This Row],[Actual Delivery Days]]&gt;AD525,"Yes","No")</f>
        <v>Yes</v>
      </c>
    </row>
    <row r="525" spans="1:26">
      <c r="A525" s="17">
        <v>11659</v>
      </c>
      <c r="B525" s="17">
        <v>2</v>
      </c>
      <c r="C525" s="17">
        <v>1</v>
      </c>
      <c r="D525" s="17" t="s">
        <v>440</v>
      </c>
      <c r="E525" s="17" t="s">
        <v>51</v>
      </c>
      <c r="F525" s="17" t="str">
        <f>TEXT(data[[#This Row],[ShipDate]],"yyyy - mmmm")</f>
        <v>2016 - April</v>
      </c>
      <c r="G525" s="17" t="str">
        <f>data[[#This Row],[OriginCity]] &amp; " - "  &amp; data[[#This Row],[DestinationCity]]</f>
        <v>Monon - Lansing</v>
      </c>
      <c r="H525" s="17" t="s">
        <v>53</v>
      </c>
      <c r="I525" s="17" t="s">
        <v>44</v>
      </c>
      <c r="J525" s="17">
        <v>6</v>
      </c>
      <c r="K525" s="17" t="s">
        <v>66</v>
      </c>
      <c r="L525" s="17" t="s">
        <v>21</v>
      </c>
      <c r="M525" s="17" t="s">
        <v>82</v>
      </c>
      <c r="N525" s="17">
        <v>320</v>
      </c>
      <c r="O525" s="17">
        <v>320</v>
      </c>
      <c r="P525" s="26">
        <f>(data[[#This Row],[LoadedMiles]]/data[[#This Row],[TotalMiles]])*100</f>
        <v>100</v>
      </c>
      <c r="Q525" s="25">
        <f>data[[#This Row],[ShippingCost]]/data[[#This Row],[TotalMiles]]</f>
        <v>12.665625</v>
      </c>
      <c r="R525" s="17">
        <v>4053</v>
      </c>
      <c r="S525" s="25">
        <f>data[[#This Row],[Revenue]]/data[[#This Row],[TotalMiles]]</f>
        <v>26.265625</v>
      </c>
      <c r="T525" s="26">
        <f>data[[#This Row],[Revenue]]-data[[#This Row],[ShippingCost]]</f>
        <v>4352</v>
      </c>
      <c r="U525" s="17">
        <v>8405</v>
      </c>
      <c r="V525" s="17">
        <v>90</v>
      </c>
      <c r="W525" s="17" t="s">
        <v>68</v>
      </c>
      <c r="X525" s="17">
        <v>5</v>
      </c>
      <c r="Y525" s="17">
        <f>data[[#This Row],[DeliveryDate]]-data[[#This Row],[ShipDate]]</f>
        <v>-13</v>
      </c>
      <c r="Z525" s="17" t="str">
        <f>IF(data[[#This Row],[Actual Delivery Days]]&gt;AD526,"Yes","No")</f>
        <v>No</v>
      </c>
    </row>
    <row r="526" spans="1:26">
      <c r="A526" s="17">
        <v>11689</v>
      </c>
      <c r="B526" s="17">
        <v>3</v>
      </c>
      <c r="C526" s="17">
        <v>1</v>
      </c>
      <c r="D526" s="17" t="s">
        <v>490</v>
      </c>
      <c r="E526" s="17" t="s">
        <v>408</v>
      </c>
      <c r="F526" s="17" t="str">
        <f>TEXT(data[[#This Row],[ShipDate]],"yyyy - mmmm")</f>
        <v>2016 - August</v>
      </c>
      <c r="G526" s="17" t="str">
        <f>data[[#This Row],[OriginCity]] &amp; " - "  &amp; data[[#This Row],[DestinationCity]]</f>
        <v>Davenport - Appleton</v>
      </c>
      <c r="H526" s="17" t="s">
        <v>105</v>
      </c>
      <c r="I526" s="17" t="s">
        <v>106</v>
      </c>
      <c r="J526" s="17">
        <v>6</v>
      </c>
      <c r="K526" s="17" t="s">
        <v>85</v>
      </c>
      <c r="L526" s="17" t="s">
        <v>29</v>
      </c>
      <c r="M526" s="17" t="s">
        <v>302</v>
      </c>
      <c r="N526" s="17">
        <v>1033</v>
      </c>
      <c r="O526" s="17">
        <v>627</v>
      </c>
      <c r="P526" s="26">
        <f>(data[[#This Row],[LoadedMiles]]/data[[#This Row],[TotalMiles]])*100</f>
        <v>60.696999031945786</v>
      </c>
      <c r="Q526" s="25">
        <f>data[[#This Row],[ShippingCost]]/data[[#This Row],[TotalMiles]]</f>
        <v>4.6137463697967087</v>
      </c>
      <c r="R526" s="17">
        <v>4766</v>
      </c>
      <c r="S526" s="25">
        <f>data[[#This Row],[Revenue]]/data[[#This Row],[TotalMiles]]</f>
        <v>8.4356243949661174</v>
      </c>
      <c r="T526" s="26">
        <f>data[[#This Row],[Revenue]]-data[[#This Row],[ShippingCost]]</f>
        <v>3948</v>
      </c>
      <c r="U526" s="17">
        <v>8714</v>
      </c>
      <c r="V526" s="17">
        <v>50</v>
      </c>
      <c r="W526" s="17" t="s">
        <v>68</v>
      </c>
      <c r="X526" s="17">
        <v>2</v>
      </c>
      <c r="Y526" s="17">
        <f>data[[#This Row],[DeliveryDate]]-data[[#This Row],[ShipDate]]</f>
        <v>6</v>
      </c>
      <c r="Z526" s="17" t="str">
        <f>IF(data[[#This Row],[Actual Delivery Days]]&gt;AD527,"Yes","No")</f>
        <v>Yes</v>
      </c>
    </row>
    <row r="527" spans="1:26">
      <c r="A527" s="17">
        <v>11708</v>
      </c>
      <c r="B527" s="17">
        <v>3</v>
      </c>
      <c r="C527" s="17">
        <v>3</v>
      </c>
      <c r="D527" s="17" t="s">
        <v>515</v>
      </c>
      <c r="E527" s="17" t="s">
        <v>164</v>
      </c>
      <c r="F527" s="17" t="str">
        <f>TEXT(data[[#This Row],[ShipDate]],"yyyy - mmmm")</f>
        <v>2016 - February</v>
      </c>
      <c r="G527" s="17" t="str">
        <f>data[[#This Row],[OriginCity]] &amp; " - "  &amp; data[[#This Row],[DestinationCity]]</f>
        <v>Bangor - Davenport</v>
      </c>
      <c r="H527" s="17" t="s">
        <v>104</v>
      </c>
      <c r="I527" s="17" t="s">
        <v>21</v>
      </c>
      <c r="J527" s="17">
        <v>6</v>
      </c>
      <c r="K527" s="17" t="s">
        <v>105</v>
      </c>
      <c r="L527" s="17" t="s">
        <v>106</v>
      </c>
      <c r="M527" s="17" t="s">
        <v>291</v>
      </c>
      <c r="N527" s="17">
        <v>532</v>
      </c>
      <c r="O527" s="17">
        <v>532</v>
      </c>
      <c r="P527" s="26">
        <f>(data[[#This Row],[LoadedMiles]]/data[[#This Row],[TotalMiles]])*100</f>
        <v>100</v>
      </c>
      <c r="Q527" s="25">
        <f>data[[#This Row],[ShippingCost]]/data[[#This Row],[TotalMiles]]</f>
        <v>12.234962406015038</v>
      </c>
      <c r="R527" s="17">
        <v>6509</v>
      </c>
      <c r="S527" s="25">
        <f>data[[#This Row],[Revenue]]/data[[#This Row],[TotalMiles]]</f>
        <v>13.404135338345865</v>
      </c>
      <c r="T527" s="26">
        <f>data[[#This Row],[Revenue]]-data[[#This Row],[ShippingCost]]</f>
        <v>622</v>
      </c>
      <c r="U527" s="17">
        <v>7131</v>
      </c>
      <c r="V527" s="17">
        <v>98</v>
      </c>
      <c r="W527" s="17" t="s">
        <v>68</v>
      </c>
      <c r="X527" s="17">
        <v>3</v>
      </c>
      <c r="Y527" s="17">
        <f>data[[#This Row],[DeliveryDate]]-data[[#This Row],[ShipDate]]</f>
        <v>6</v>
      </c>
      <c r="Z527" s="17" t="str">
        <f>IF(data[[#This Row],[Actual Delivery Days]]&gt;AD528,"Yes","No")</f>
        <v>Yes</v>
      </c>
    </row>
    <row r="528" spans="1:26">
      <c r="A528" s="17">
        <v>11725</v>
      </c>
      <c r="B528" s="17">
        <v>3</v>
      </c>
      <c r="C528" s="17">
        <v>6</v>
      </c>
      <c r="D528" s="17" t="s">
        <v>541</v>
      </c>
      <c r="E528" s="17" t="s">
        <v>627</v>
      </c>
      <c r="F528" s="17" t="str">
        <f>TEXT(data[[#This Row],[ShipDate]],"yyyy - mmmm")</f>
        <v>2016 - July</v>
      </c>
      <c r="G528" s="17" t="str">
        <f>data[[#This Row],[OriginCity]] &amp; " - "  &amp; data[[#This Row],[DestinationCity]]</f>
        <v>Appleton - Grand Rapids</v>
      </c>
      <c r="H528" s="17" t="s">
        <v>85</v>
      </c>
      <c r="I528" s="17" t="s">
        <v>29</v>
      </c>
      <c r="J528" s="17">
        <v>6</v>
      </c>
      <c r="K528" s="17" t="s">
        <v>20</v>
      </c>
      <c r="L528" s="17" t="s">
        <v>21</v>
      </c>
      <c r="M528" s="17" t="s">
        <v>183</v>
      </c>
      <c r="N528" s="17">
        <v>899</v>
      </c>
      <c r="O528" s="17">
        <v>534</v>
      </c>
      <c r="P528" s="26">
        <f>(data[[#This Row],[LoadedMiles]]/data[[#This Row],[TotalMiles]])*100</f>
        <v>59.399332591768626</v>
      </c>
      <c r="Q528" s="25">
        <f>data[[#This Row],[ShippingCost]]/data[[#This Row],[TotalMiles]]</f>
        <v>5.1802002224694101</v>
      </c>
      <c r="R528" s="17">
        <v>4657</v>
      </c>
      <c r="S528" s="25">
        <f>data[[#This Row],[Revenue]]/data[[#This Row],[TotalMiles]]</f>
        <v>6.2246941045606228</v>
      </c>
      <c r="T528" s="26">
        <f>data[[#This Row],[Revenue]]-data[[#This Row],[ShippingCost]]</f>
        <v>939</v>
      </c>
      <c r="U528" s="17">
        <v>5596</v>
      </c>
      <c r="V528" s="17">
        <v>55</v>
      </c>
      <c r="W528" s="17" t="s">
        <v>68</v>
      </c>
      <c r="X528" s="17">
        <v>7</v>
      </c>
      <c r="Y528" s="17">
        <f>data[[#This Row],[DeliveryDate]]-data[[#This Row],[ShipDate]]</f>
        <v>6</v>
      </c>
      <c r="Z528" s="17" t="str">
        <f>IF(data[[#This Row],[Actual Delivery Days]]&gt;AD529,"Yes","No")</f>
        <v>Yes</v>
      </c>
    </row>
    <row r="529" spans="1:26">
      <c r="A529" s="17">
        <v>11752</v>
      </c>
      <c r="B529" s="17">
        <v>3</v>
      </c>
      <c r="C529" s="17">
        <v>3</v>
      </c>
      <c r="D529" s="17" t="s">
        <v>572</v>
      </c>
      <c r="E529" s="17" t="s">
        <v>619</v>
      </c>
      <c r="F529" s="17" t="str">
        <f>TEXT(data[[#This Row],[ShipDate]],"yyyy - mmmm")</f>
        <v>2016 - June</v>
      </c>
      <c r="G529" s="17" t="str">
        <f>data[[#This Row],[OriginCity]] &amp; " - "  &amp; data[[#This Row],[DestinationCity]]</f>
        <v>Lansing - Dayton</v>
      </c>
      <c r="H529" s="17" t="s">
        <v>66</v>
      </c>
      <c r="I529" s="17" t="s">
        <v>21</v>
      </c>
      <c r="J529" s="17">
        <v>6</v>
      </c>
      <c r="K529" s="17" t="s">
        <v>93</v>
      </c>
      <c r="L529" s="17" t="s">
        <v>23</v>
      </c>
      <c r="M529" s="17" t="s">
        <v>542</v>
      </c>
      <c r="N529" s="17">
        <v>1118</v>
      </c>
      <c r="O529" s="17">
        <v>357</v>
      </c>
      <c r="P529" s="26">
        <f>(data[[#This Row],[LoadedMiles]]/data[[#This Row],[TotalMiles]])*100</f>
        <v>31.932021466905187</v>
      </c>
      <c r="Q529" s="25">
        <f>data[[#This Row],[ShippingCost]]/data[[#This Row],[TotalMiles]]</f>
        <v>7.1001788908765651</v>
      </c>
      <c r="R529" s="17">
        <v>7938</v>
      </c>
      <c r="S529" s="25">
        <f>data[[#This Row],[Revenue]]/data[[#This Row],[TotalMiles]]</f>
        <v>7.9561717352415027</v>
      </c>
      <c r="T529" s="26">
        <f>data[[#This Row],[Revenue]]-data[[#This Row],[ShippingCost]]</f>
        <v>957</v>
      </c>
      <c r="U529" s="17">
        <v>8895</v>
      </c>
      <c r="V529" s="17">
        <v>62</v>
      </c>
      <c r="W529" s="17" t="s">
        <v>68</v>
      </c>
      <c r="X529" s="17">
        <v>4</v>
      </c>
      <c r="Y529" s="17">
        <f>data[[#This Row],[DeliveryDate]]-data[[#This Row],[ShipDate]]</f>
        <v>4</v>
      </c>
      <c r="Z529" s="17" t="str">
        <f>IF(data[[#This Row],[Actual Delivery Days]]&gt;AD530,"Yes","No")</f>
        <v>Yes</v>
      </c>
    </row>
    <row r="530" spans="1:26">
      <c r="A530" s="17">
        <v>11766</v>
      </c>
      <c r="B530" s="17">
        <v>3</v>
      </c>
      <c r="C530" s="17">
        <v>1</v>
      </c>
      <c r="D530" s="17" t="s">
        <v>589</v>
      </c>
      <c r="E530" s="17" t="s">
        <v>627</v>
      </c>
      <c r="F530" s="17" t="str">
        <f>TEXT(data[[#This Row],[ShipDate]],"yyyy - mmmm")</f>
        <v>2016 - July</v>
      </c>
      <c r="G530" s="17" t="str">
        <f>data[[#This Row],[OriginCity]] &amp; " - "  &amp; data[[#This Row],[DestinationCity]]</f>
        <v>Joliet - Madison</v>
      </c>
      <c r="H530" s="17" t="s">
        <v>61</v>
      </c>
      <c r="I530" s="17" t="s">
        <v>31</v>
      </c>
      <c r="J530" s="17">
        <v>6</v>
      </c>
      <c r="K530" s="17" t="s">
        <v>62</v>
      </c>
      <c r="L530" s="17" t="s">
        <v>29</v>
      </c>
      <c r="M530" s="17" t="s">
        <v>183</v>
      </c>
      <c r="N530" s="17">
        <v>337</v>
      </c>
      <c r="O530" s="17">
        <v>337</v>
      </c>
      <c r="P530" s="26">
        <f>(data[[#This Row],[LoadedMiles]]/data[[#This Row],[TotalMiles]])*100</f>
        <v>100</v>
      </c>
      <c r="Q530" s="25">
        <f>data[[#This Row],[ShippingCost]]/data[[#This Row],[TotalMiles]]</f>
        <v>10.792284866468842</v>
      </c>
      <c r="R530" s="17">
        <v>3637</v>
      </c>
      <c r="S530" s="25">
        <f>data[[#This Row],[Revenue]]/data[[#This Row],[TotalMiles]]</f>
        <v>26.543026706231455</v>
      </c>
      <c r="T530" s="26">
        <f>data[[#This Row],[Revenue]]-data[[#This Row],[ShippingCost]]</f>
        <v>5308</v>
      </c>
      <c r="U530" s="17">
        <v>8945</v>
      </c>
      <c r="V530" s="17">
        <v>81</v>
      </c>
      <c r="W530" s="17" t="s">
        <v>68</v>
      </c>
      <c r="X530" s="17">
        <v>1</v>
      </c>
      <c r="Y530" s="17">
        <f>data[[#This Row],[DeliveryDate]]-data[[#This Row],[ShipDate]]</f>
        <v>6</v>
      </c>
      <c r="Z530" s="17" t="str">
        <f>IF(data[[#This Row],[Actual Delivery Days]]&gt;AD531,"Yes","No")</f>
        <v>Yes</v>
      </c>
    </row>
    <row r="531" spans="1:26">
      <c r="A531" s="17">
        <v>11771</v>
      </c>
      <c r="B531" s="17">
        <v>2</v>
      </c>
      <c r="C531" s="17">
        <v>2</v>
      </c>
      <c r="D531" s="17" t="s">
        <v>595</v>
      </c>
      <c r="E531" s="17" t="s">
        <v>218</v>
      </c>
      <c r="F531" s="17" t="str">
        <f>TEXT(data[[#This Row],[ShipDate]],"yyyy - mmmm")</f>
        <v>2016 - May</v>
      </c>
      <c r="G531" s="17" t="str">
        <f>data[[#This Row],[OriginCity]] &amp; " - "  &amp; data[[#This Row],[DestinationCity]]</f>
        <v>Appleton - Grand Rapids</v>
      </c>
      <c r="H531" s="17" t="s">
        <v>85</v>
      </c>
      <c r="I531" s="17" t="s">
        <v>29</v>
      </c>
      <c r="J531" s="17">
        <v>6</v>
      </c>
      <c r="K531" s="17" t="s">
        <v>20</v>
      </c>
      <c r="L531" s="17" t="s">
        <v>21</v>
      </c>
      <c r="M531" s="17" t="s">
        <v>348</v>
      </c>
      <c r="N531" s="17">
        <v>317</v>
      </c>
      <c r="O531" s="17">
        <v>317</v>
      </c>
      <c r="P531" s="26">
        <f>(data[[#This Row],[LoadedMiles]]/data[[#This Row],[TotalMiles]])*100</f>
        <v>100</v>
      </c>
      <c r="Q531" s="25">
        <f>data[[#This Row],[ShippingCost]]/data[[#This Row],[TotalMiles]]</f>
        <v>22.43217665615142</v>
      </c>
      <c r="R531" s="17">
        <v>7111</v>
      </c>
      <c r="S531" s="25">
        <f>data[[#This Row],[Revenue]]/data[[#This Row],[TotalMiles]]</f>
        <v>22.902208201892744</v>
      </c>
      <c r="T531" s="26">
        <f>data[[#This Row],[Revenue]]-data[[#This Row],[ShippingCost]]</f>
        <v>149</v>
      </c>
      <c r="U531" s="17">
        <v>7260</v>
      </c>
      <c r="V531" s="17">
        <v>51</v>
      </c>
      <c r="W531" s="17" t="s">
        <v>68</v>
      </c>
      <c r="X531" s="17">
        <v>9</v>
      </c>
      <c r="Y531" s="17">
        <f>data[[#This Row],[DeliveryDate]]-data[[#This Row],[ShipDate]]</f>
        <v>3</v>
      </c>
      <c r="Z531" s="17" t="str">
        <f>IF(data[[#This Row],[Actual Delivery Days]]&gt;AD532,"Yes","No")</f>
        <v>Yes</v>
      </c>
    </row>
    <row r="532" spans="1:26">
      <c r="A532" s="17">
        <v>11804</v>
      </c>
      <c r="B532" s="17">
        <v>3</v>
      </c>
      <c r="C532" s="17">
        <v>2</v>
      </c>
      <c r="D532" s="17" t="s">
        <v>120</v>
      </c>
      <c r="E532" s="17" t="s">
        <v>72</v>
      </c>
      <c r="F532" s="17" t="str">
        <f>TEXT(data[[#This Row],[ShipDate]],"yyyy - mmmm")</f>
        <v>2016 - January</v>
      </c>
      <c r="G532" s="17" t="str">
        <f>data[[#This Row],[OriginCity]] &amp; " - "  &amp; data[[#This Row],[DestinationCity]]</f>
        <v>Milwaukee - Springfield</v>
      </c>
      <c r="H532" s="17" t="s">
        <v>28</v>
      </c>
      <c r="I532" s="17" t="s">
        <v>29</v>
      </c>
      <c r="J532" s="17">
        <v>6</v>
      </c>
      <c r="K532" s="17" t="s">
        <v>30</v>
      </c>
      <c r="L532" s="17" t="s">
        <v>31</v>
      </c>
      <c r="M532" s="17" t="s">
        <v>82</v>
      </c>
      <c r="N532" s="17">
        <v>364</v>
      </c>
      <c r="O532" s="17">
        <v>364</v>
      </c>
      <c r="P532" s="26">
        <f>(data[[#This Row],[LoadedMiles]]/data[[#This Row],[TotalMiles]])*100</f>
        <v>100</v>
      </c>
      <c r="Q532" s="25">
        <f>data[[#This Row],[ShippingCost]]/data[[#This Row],[TotalMiles]]</f>
        <v>14.516483516483516</v>
      </c>
      <c r="R532" s="17">
        <v>5284</v>
      </c>
      <c r="S532" s="25">
        <f>data[[#This Row],[Revenue]]/data[[#This Row],[TotalMiles]]</f>
        <v>15.890109890109891</v>
      </c>
      <c r="T532" s="26">
        <f>data[[#This Row],[Revenue]]-data[[#This Row],[ShippingCost]]</f>
        <v>500</v>
      </c>
      <c r="U532" s="17">
        <v>5784</v>
      </c>
      <c r="V532" s="17">
        <v>88</v>
      </c>
      <c r="W532" s="17" t="s">
        <v>68</v>
      </c>
      <c r="X532" s="17">
        <v>5</v>
      </c>
      <c r="Y532" s="17">
        <f>data[[#This Row],[DeliveryDate]]-data[[#This Row],[ShipDate]]</f>
        <v>66</v>
      </c>
      <c r="Z532" s="17" t="str">
        <f>IF(data[[#This Row],[Actual Delivery Days]]&gt;AD533,"Yes","No")</f>
        <v>Yes</v>
      </c>
    </row>
    <row r="533" spans="1:26">
      <c r="A533" s="17">
        <v>10010</v>
      </c>
      <c r="B533" s="17">
        <v>1</v>
      </c>
      <c r="C533" s="17">
        <v>7</v>
      </c>
      <c r="D533" s="17" t="s">
        <v>69</v>
      </c>
      <c r="E533" s="17" t="s">
        <v>70</v>
      </c>
      <c r="F533" s="17" t="str">
        <f>TEXT(data[[#This Row],[ShipDate]],"yyyy - mmmm")</f>
        <v>2016 - January</v>
      </c>
      <c r="G533" s="17" t="str">
        <f>data[[#This Row],[OriginCity]] &amp; " - "  &amp; data[[#This Row],[DestinationCity]]</f>
        <v>Madison - Kalamazoo</v>
      </c>
      <c r="H533" s="17" t="s">
        <v>62</v>
      </c>
      <c r="I533" s="17" t="s">
        <v>29</v>
      </c>
      <c r="J533" s="17">
        <v>5</v>
      </c>
      <c r="K533" s="17" t="s">
        <v>71</v>
      </c>
      <c r="L533" s="17" t="s">
        <v>21</v>
      </c>
      <c r="M533" s="17" t="s">
        <v>72</v>
      </c>
      <c r="N533" s="17">
        <v>732</v>
      </c>
      <c r="O533" s="17">
        <v>248</v>
      </c>
      <c r="P533" s="26">
        <f>(data[[#This Row],[LoadedMiles]]/data[[#This Row],[TotalMiles]])*100</f>
        <v>33.879781420765028</v>
      </c>
      <c r="Q533" s="25">
        <f>data[[#This Row],[ShippingCost]]/data[[#This Row],[TotalMiles]]</f>
        <v>5.0792349726775958</v>
      </c>
      <c r="R533" s="17">
        <v>3718</v>
      </c>
      <c r="S533" s="25">
        <f>data[[#This Row],[Revenue]]/data[[#This Row],[TotalMiles]]</f>
        <v>5.3497267759562845</v>
      </c>
      <c r="T533" s="26">
        <f>data[[#This Row],[Revenue]]-data[[#This Row],[ShippingCost]]</f>
        <v>198</v>
      </c>
      <c r="U533" s="17">
        <v>3916</v>
      </c>
      <c r="V533" s="17">
        <v>63</v>
      </c>
      <c r="W533" s="17" t="s">
        <v>68</v>
      </c>
      <c r="X533" s="17">
        <v>10</v>
      </c>
      <c r="Y533" s="17">
        <f>data[[#This Row],[DeliveryDate]]-data[[#This Row],[ShipDate]]</f>
        <v>5</v>
      </c>
      <c r="Z533" s="17" t="str">
        <f>IF(data[[#This Row],[Actual Delivery Days]]&gt;AD534,"Yes","No")</f>
        <v>Yes</v>
      </c>
    </row>
    <row r="534" spans="1:26">
      <c r="A534" s="17">
        <v>10046</v>
      </c>
      <c r="B534" s="17">
        <v>1</v>
      </c>
      <c r="C534" s="17">
        <v>4</v>
      </c>
      <c r="D534" s="17" t="s">
        <v>192</v>
      </c>
      <c r="E534" s="17" t="s">
        <v>193</v>
      </c>
      <c r="F534" s="17" t="str">
        <f>TEXT(data[[#This Row],[ShipDate]],"yyyy - mmmm")</f>
        <v>2016 - January</v>
      </c>
      <c r="G534" s="17" t="str">
        <f>data[[#This Row],[OriginCity]] &amp; " - "  &amp; data[[#This Row],[DestinationCity]]</f>
        <v>Northbrook - Naperville</v>
      </c>
      <c r="H534" s="17" t="s">
        <v>45</v>
      </c>
      <c r="I534" s="17" t="s">
        <v>31</v>
      </c>
      <c r="J534" s="17">
        <v>5</v>
      </c>
      <c r="K534" s="17" t="s">
        <v>48</v>
      </c>
      <c r="L534" s="17" t="s">
        <v>31</v>
      </c>
      <c r="M534" s="17" t="s">
        <v>82</v>
      </c>
      <c r="N534" s="17">
        <v>1008</v>
      </c>
      <c r="O534" s="17">
        <v>778</v>
      </c>
      <c r="P534" s="26">
        <f>(data[[#This Row],[LoadedMiles]]/data[[#This Row],[TotalMiles]])*100</f>
        <v>77.182539682539684</v>
      </c>
      <c r="Q534" s="25">
        <f>data[[#This Row],[ShippingCost]]/data[[#This Row],[TotalMiles]]</f>
        <v>5.354166666666667</v>
      </c>
      <c r="R534" s="17">
        <v>5397</v>
      </c>
      <c r="S534" s="25">
        <f>data[[#This Row],[Revenue]]/data[[#This Row],[TotalMiles]]</f>
        <v>3.2579365079365079</v>
      </c>
      <c r="T534" s="26">
        <f>data[[#This Row],[Revenue]]-data[[#This Row],[ShippingCost]]</f>
        <v>-2113</v>
      </c>
      <c r="U534" s="17">
        <v>3284</v>
      </c>
      <c r="V534" s="17">
        <v>71</v>
      </c>
      <c r="W534" s="17" t="s">
        <v>68</v>
      </c>
      <c r="X534" s="17">
        <v>4</v>
      </c>
      <c r="Y534" s="17">
        <f>data[[#This Row],[DeliveryDate]]-data[[#This Row],[ShipDate]]</f>
        <v>60</v>
      </c>
      <c r="Z534" s="17" t="str">
        <f>IF(data[[#This Row],[Actual Delivery Days]]&gt;AD535,"Yes","No")</f>
        <v>Yes</v>
      </c>
    </row>
    <row r="535" spans="1:26">
      <c r="A535" s="17">
        <v>10061</v>
      </c>
      <c r="B535" s="17">
        <v>2</v>
      </c>
      <c r="C535" s="17">
        <v>5</v>
      </c>
      <c r="D535" s="17" t="s">
        <v>232</v>
      </c>
      <c r="E535" s="17" t="s">
        <v>231</v>
      </c>
      <c r="F535" s="17" t="str">
        <f>TEXT(data[[#This Row],[ShipDate]],"yyyy - mmmm")</f>
        <v>2016 - May</v>
      </c>
      <c r="G535" s="17" t="str">
        <f>data[[#This Row],[OriginCity]] &amp; " - "  &amp; data[[#This Row],[DestinationCity]]</f>
        <v>Davenport - Appleton</v>
      </c>
      <c r="H535" s="17" t="s">
        <v>105</v>
      </c>
      <c r="I535" s="17" t="s">
        <v>106</v>
      </c>
      <c r="J535" s="17">
        <v>5</v>
      </c>
      <c r="K535" s="17" t="s">
        <v>85</v>
      </c>
      <c r="L535" s="17" t="s">
        <v>29</v>
      </c>
      <c r="M535" s="17" t="s">
        <v>27</v>
      </c>
      <c r="N535" s="17">
        <v>377</v>
      </c>
      <c r="O535" s="17">
        <v>377</v>
      </c>
      <c r="P535" s="26">
        <f>(data[[#This Row],[LoadedMiles]]/data[[#This Row],[TotalMiles]])*100</f>
        <v>100</v>
      </c>
      <c r="Q535" s="25">
        <f>data[[#This Row],[ShippingCost]]/data[[#This Row],[TotalMiles]]</f>
        <v>3.4641909814323606</v>
      </c>
      <c r="R535" s="17">
        <v>1306</v>
      </c>
      <c r="S535" s="25">
        <f>data[[#This Row],[Revenue]]/data[[#This Row],[TotalMiles]]</f>
        <v>4.5145888594164454</v>
      </c>
      <c r="T535" s="26">
        <f>data[[#This Row],[Revenue]]-data[[#This Row],[ShippingCost]]</f>
        <v>396</v>
      </c>
      <c r="U535" s="17">
        <v>1702</v>
      </c>
      <c r="V535" s="17">
        <v>94</v>
      </c>
      <c r="W535" s="17" t="s">
        <v>68</v>
      </c>
      <c r="X535" s="17">
        <v>2</v>
      </c>
      <c r="Y535" s="17">
        <f>data[[#This Row],[DeliveryDate]]-data[[#This Row],[ShipDate]]</f>
        <v>5</v>
      </c>
      <c r="Z535" s="17" t="str">
        <f>IF(data[[#This Row],[Actual Delivery Days]]&gt;AD536,"Yes","No")</f>
        <v>Yes</v>
      </c>
    </row>
    <row r="536" spans="1:26">
      <c r="A536" s="17">
        <v>10073</v>
      </c>
      <c r="B536" s="17">
        <v>1</v>
      </c>
      <c r="C536" s="17">
        <v>6</v>
      </c>
      <c r="D536" s="17" t="s">
        <v>267</v>
      </c>
      <c r="E536" s="17" t="s">
        <v>163</v>
      </c>
      <c r="F536" s="17" t="str">
        <f>TEXT(data[[#This Row],[ShipDate]],"yyyy - mmmm")</f>
        <v>2016 - February</v>
      </c>
      <c r="G536" s="17" t="str">
        <f>data[[#This Row],[OriginCity]] &amp; " - "  &amp; data[[#This Row],[DestinationCity]]</f>
        <v>Toledo - Detriot</v>
      </c>
      <c r="H536" s="17" t="s">
        <v>22</v>
      </c>
      <c r="I536" s="17" t="s">
        <v>23</v>
      </c>
      <c r="J536" s="17">
        <v>5</v>
      </c>
      <c r="K536" s="17" t="s">
        <v>52</v>
      </c>
      <c r="L536" s="17" t="s">
        <v>21</v>
      </c>
      <c r="M536" s="17" t="s">
        <v>268</v>
      </c>
      <c r="N536" s="17">
        <v>627</v>
      </c>
      <c r="O536" s="17">
        <v>381</v>
      </c>
      <c r="P536" s="26">
        <f>(data[[#This Row],[LoadedMiles]]/data[[#This Row],[TotalMiles]])*100</f>
        <v>60.765550239234443</v>
      </c>
      <c r="Q536" s="25">
        <f>data[[#This Row],[ShippingCost]]/data[[#This Row],[TotalMiles]]</f>
        <v>12.717703349282298</v>
      </c>
      <c r="R536" s="17">
        <v>7974</v>
      </c>
      <c r="S536" s="25">
        <f>data[[#This Row],[Revenue]]/data[[#This Row],[TotalMiles]]</f>
        <v>13.508771929824562</v>
      </c>
      <c r="T536" s="26">
        <f>data[[#This Row],[Revenue]]-data[[#This Row],[ShippingCost]]</f>
        <v>496</v>
      </c>
      <c r="U536" s="17">
        <v>8470</v>
      </c>
      <c r="V536" s="17">
        <v>69</v>
      </c>
      <c r="W536" s="17" t="s">
        <v>68</v>
      </c>
      <c r="X536" s="17">
        <v>9</v>
      </c>
      <c r="Y536" s="17">
        <f>data[[#This Row],[DeliveryDate]]-data[[#This Row],[ShipDate]]</f>
        <v>5</v>
      </c>
      <c r="Z536" s="17" t="str">
        <f>IF(data[[#This Row],[Actual Delivery Days]]&gt;AD537,"Yes","No")</f>
        <v>Yes</v>
      </c>
    </row>
    <row r="537" spans="1:26">
      <c r="A537" s="17">
        <v>10076</v>
      </c>
      <c r="B537" s="17">
        <v>1</v>
      </c>
      <c r="C537" s="17">
        <v>7</v>
      </c>
      <c r="D537" s="17" t="s">
        <v>273</v>
      </c>
      <c r="E537" s="17" t="s">
        <v>238</v>
      </c>
      <c r="F537" s="17" t="str">
        <f>TEXT(data[[#This Row],[ShipDate]],"yyyy - mmmm")</f>
        <v>2016 - March</v>
      </c>
      <c r="G537" s="17" t="str">
        <f>data[[#This Row],[OriginCity]] &amp; " - "  &amp; data[[#This Row],[DestinationCity]]</f>
        <v>Elgin - Cincinnati</v>
      </c>
      <c r="H537" s="17" t="s">
        <v>94</v>
      </c>
      <c r="I537" s="17" t="s">
        <v>31</v>
      </c>
      <c r="J537" s="17">
        <v>5</v>
      </c>
      <c r="K537" s="17" t="s">
        <v>89</v>
      </c>
      <c r="L537" s="17" t="s">
        <v>23</v>
      </c>
      <c r="M537" s="17" t="s">
        <v>274</v>
      </c>
      <c r="N537" s="17">
        <v>443</v>
      </c>
      <c r="O537" s="17">
        <v>443</v>
      </c>
      <c r="P537" s="26">
        <f>(data[[#This Row],[LoadedMiles]]/data[[#This Row],[TotalMiles]])*100</f>
        <v>100</v>
      </c>
      <c r="Q537" s="25">
        <f>data[[#This Row],[ShippingCost]]/data[[#This Row],[TotalMiles]]</f>
        <v>8.6591422121896162</v>
      </c>
      <c r="R537" s="17">
        <v>3836</v>
      </c>
      <c r="S537" s="25">
        <f>data[[#This Row],[Revenue]]/data[[#This Row],[TotalMiles]]</f>
        <v>10.234762979683973</v>
      </c>
      <c r="T537" s="26">
        <f>data[[#This Row],[Revenue]]-data[[#This Row],[ShippingCost]]</f>
        <v>698</v>
      </c>
      <c r="U537" s="17">
        <v>4534</v>
      </c>
      <c r="V537" s="17">
        <v>92</v>
      </c>
      <c r="W537" s="17" t="s">
        <v>68</v>
      </c>
      <c r="X537" s="17">
        <v>4</v>
      </c>
      <c r="Y537" s="17">
        <f>data[[#This Row],[DeliveryDate]]-data[[#This Row],[ShipDate]]</f>
        <v>5</v>
      </c>
      <c r="Z537" s="17" t="str">
        <f>IF(data[[#This Row],[Actual Delivery Days]]&gt;AD538,"Yes","No")</f>
        <v>Yes</v>
      </c>
    </row>
    <row r="538" spans="1:26">
      <c r="A538" s="17">
        <v>10081</v>
      </c>
      <c r="B538" s="17">
        <v>1</v>
      </c>
      <c r="C538" s="17">
        <v>4</v>
      </c>
      <c r="D538" s="17" t="s">
        <v>284</v>
      </c>
      <c r="E538" s="17" t="s">
        <v>285</v>
      </c>
      <c r="F538" s="17" t="str">
        <f>TEXT(data[[#This Row],[ShipDate]],"yyyy - mmmm")</f>
        <v>2016 - May</v>
      </c>
      <c r="G538" s="17" t="str">
        <f>data[[#This Row],[OriginCity]] &amp; " - "  &amp; data[[#This Row],[DestinationCity]]</f>
        <v>Springfield - Skokie</v>
      </c>
      <c r="H538" s="17" t="s">
        <v>30</v>
      </c>
      <c r="I538" s="17" t="s">
        <v>31</v>
      </c>
      <c r="J538" s="17">
        <v>5</v>
      </c>
      <c r="K538" s="17" t="s">
        <v>35</v>
      </c>
      <c r="L538" s="17" t="s">
        <v>31</v>
      </c>
      <c r="M538" s="17" t="s">
        <v>286</v>
      </c>
      <c r="N538" s="17">
        <v>477</v>
      </c>
      <c r="O538" s="17">
        <v>287</v>
      </c>
      <c r="P538" s="26">
        <f>(data[[#This Row],[LoadedMiles]]/data[[#This Row],[TotalMiles]])*100</f>
        <v>60.167714884696025</v>
      </c>
      <c r="Q538" s="25">
        <f>data[[#This Row],[ShippingCost]]/data[[#This Row],[TotalMiles]]</f>
        <v>10.763102725366876</v>
      </c>
      <c r="R538" s="17">
        <v>5134</v>
      </c>
      <c r="S538" s="25">
        <f>data[[#This Row],[Revenue]]/data[[#This Row],[TotalMiles]]</f>
        <v>5.0922431865828095</v>
      </c>
      <c r="T538" s="26">
        <f>data[[#This Row],[Revenue]]-data[[#This Row],[ShippingCost]]</f>
        <v>-2705</v>
      </c>
      <c r="U538" s="17">
        <v>2429</v>
      </c>
      <c r="V538" s="17">
        <v>66</v>
      </c>
      <c r="W538" s="17" t="s">
        <v>68</v>
      </c>
      <c r="X538" s="17">
        <v>8</v>
      </c>
      <c r="Y538" s="17">
        <f>data[[#This Row],[DeliveryDate]]-data[[#This Row],[ShipDate]]</f>
        <v>3</v>
      </c>
      <c r="Z538" s="17" t="str">
        <f>IF(data[[#This Row],[Actual Delivery Days]]&gt;AD539,"Yes","No")</f>
        <v>Yes</v>
      </c>
    </row>
    <row r="539" spans="1:26">
      <c r="A539" s="17">
        <v>10093</v>
      </c>
      <c r="B539" s="17">
        <v>1</v>
      </c>
      <c r="C539" s="17">
        <v>7</v>
      </c>
      <c r="D539" s="17" t="s">
        <v>308</v>
      </c>
      <c r="E539" s="17" t="s">
        <v>309</v>
      </c>
      <c r="F539" s="17" t="str">
        <f>TEXT(data[[#This Row],[ShipDate]],"yyyy - mmmm")</f>
        <v>2016 - February</v>
      </c>
      <c r="G539" s="17" t="str">
        <f>data[[#This Row],[OriginCity]] &amp; " - "  &amp; data[[#This Row],[DestinationCity]]</f>
        <v>Appleton - Grand Rapids</v>
      </c>
      <c r="H539" s="17" t="s">
        <v>85</v>
      </c>
      <c r="I539" s="17" t="s">
        <v>29</v>
      </c>
      <c r="J539" s="17">
        <v>5</v>
      </c>
      <c r="K539" s="17" t="s">
        <v>20</v>
      </c>
      <c r="L539" s="17" t="s">
        <v>21</v>
      </c>
      <c r="M539" s="17" t="s">
        <v>310</v>
      </c>
      <c r="N539" s="17">
        <v>607</v>
      </c>
      <c r="O539" s="17">
        <v>525</v>
      </c>
      <c r="P539" s="26">
        <f>(data[[#This Row],[LoadedMiles]]/data[[#This Row],[TotalMiles]])*100</f>
        <v>86.490939044481053</v>
      </c>
      <c r="Q539" s="25">
        <f>data[[#This Row],[ShippingCost]]/data[[#This Row],[TotalMiles]]</f>
        <v>4.7314662273476111</v>
      </c>
      <c r="R539" s="17">
        <v>2872</v>
      </c>
      <c r="S539" s="25">
        <f>data[[#This Row],[Revenue]]/data[[#This Row],[TotalMiles]]</f>
        <v>5.6754530477759477</v>
      </c>
      <c r="T539" s="26">
        <f>data[[#This Row],[Revenue]]-data[[#This Row],[ShippingCost]]</f>
        <v>573</v>
      </c>
      <c r="U539" s="17">
        <v>3445</v>
      </c>
      <c r="V539" s="17">
        <v>77</v>
      </c>
      <c r="W539" s="17" t="s">
        <v>68</v>
      </c>
      <c r="X539" s="17">
        <v>2</v>
      </c>
      <c r="Y539" s="17">
        <f>data[[#This Row],[DeliveryDate]]-data[[#This Row],[ShipDate]]</f>
        <v>5</v>
      </c>
      <c r="Z539" s="17" t="str">
        <f>IF(data[[#This Row],[Actual Delivery Days]]&gt;AD540,"Yes","No")</f>
        <v>Yes</v>
      </c>
    </row>
    <row r="540" spans="1:26">
      <c r="A540" s="17">
        <v>10101</v>
      </c>
      <c r="B540" s="17">
        <v>1</v>
      </c>
      <c r="C540" s="17">
        <v>6</v>
      </c>
      <c r="D540" s="17" t="s">
        <v>322</v>
      </c>
      <c r="E540" s="17" t="s">
        <v>315</v>
      </c>
      <c r="F540" s="17" t="str">
        <f>TEXT(data[[#This Row],[ShipDate]],"yyyy - mmmm")</f>
        <v>2016 - June</v>
      </c>
      <c r="G540" s="17" t="str">
        <f>data[[#This Row],[OriginCity]] &amp; " - "  &amp; data[[#This Row],[DestinationCity]]</f>
        <v>Kalamazoo - Bangor</v>
      </c>
      <c r="H540" s="17" t="s">
        <v>71</v>
      </c>
      <c r="I540" s="17" t="s">
        <v>21</v>
      </c>
      <c r="J540" s="17">
        <v>5</v>
      </c>
      <c r="K540" s="17" t="s">
        <v>104</v>
      </c>
      <c r="L540" s="17" t="s">
        <v>21</v>
      </c>
      <c r="M540" s="17" t="s">
        <v>136</v>
      </c>
      <c r="N540" s="17">
        <v>861</v>
      </c>
      <c r="O540" s="17">
        <v>731</v>
      </c>
      <c r="P540" s="26">
        <f>(data[[#This Row],[LoadedMiles]]/data[[#This Row],[TotalMiles]])*100</f>
        <v>84.901277584204422</v>
      </c>
      <c r="Q540" s="25">
        <f>data[[#This Row],[ShippingCost]]/data[[#This Row],[TotalMiles]]</f>
        <v>9.3937282229965149</v>
      </c>
      <c r="R540" s="17">
        <v>8088</v>
      </c>
      <c r="S540" s="25">
        <f>data[[#This Row],[Revenue]]/data[[#This Row],[TotalMiles]]</f>
        <v>9.7177700348432055</v>
      </c>
      <c r="T540" s="26">
        <f>data[[#This Row],[Revenue]]-data[[#This Row],[ShippingCost]]</f>
        <v>279</v>
      </c>
      <c r="U540" s="17">
        <v>8367</v>
      </c>
      <c r="V540" s="17">
        <v>95</v>
      </c>
      <c r="W540" s="17" t="s">
        <v>68</v>
      </c>
      <c r="X540" s="17">
        <v>1</v>
      </c>
      <c r="Y540" s="17">
        <f>data[[#This Row],[DeliveryDate]]-data[[#This Row],[ShipDate]]</f>
        <v>4</v>
      </c>
      <c r="Z540" s="17" t="str">
        <f>IF(data[[#This Row],[Actual Delivery Days]]&gt;AD541,"Yes","No")</f>
        <v>Yes</v>
      </c>
    </row>
    <row r="541" spans="1:26">
      <c r="A541" s="17">
        <v>10111</v>
      </c>
      <c r="B541" s="17">
        <v>1</v>
      </c>
      <c r="C541" s="17">
        <v>6</v>
      </c>
      <c r="D541" s="17" t="s">
        <v>340</v>
      </c>
      <c r="E541" s="17" t="s">
        <v>341</v>
      </c>
      <c r="F541" s="17" t="str">
        <f>TEXT(data[[#This Row],[ShipDate]],"yyyy - mmmm")</f>
        <v>2016 - August</v>
      </c>
      <c r="G541" s="17" t="str">
        <f>data[[#This Row],[OriginCity]] &amp; " - "  &amp; data[[#This Row],[DestinationCity]]</f>
        <v>Madison - Kalamazoo</v>
      </c>
      <c r="H541" s="17" t="s">
        <v>62</v>
      </c>
      <c r="I541" s="17" t="s">
        <v>29</v>
      </c>
      <c r="J541" s="17">
        <v>5</v>
      </c>
      <c r="K541" s="17" t="s">
        <v>71</v>
      </c>
      <c r="L541" s="17" t="s">
        <v>21</v>
      </c>
      <c r="M541" s="17" t="s">
        <v>216</v>
      </c>
      <c r="N541" s="17">
        <v>263</v>
      </c>
      <c r="O541" s="17">
        <v>240</v>
      </c>
      <c r="P541" s="26">
        <f>(data[[#This Row],[LoadedMiles]]/data[[#This Row],[TotalMiles]])*100</f>
        <v>91.254752851711032</v>
      </c>
      <c r="Q541" s="25">
        <f>data[[#This Row],[ShippingCost]]/data[[#This Row],[TotalMiles]]</f>
        <v>10.182509505703422</v>
      </c>
      <c r="R541" s="17">
        <v>2678</v>
      </c>
      <c r="S541" s="25">
        <f>data[[#This Row],[Revenue]]/data[[#This Row],[TotalMiles]]</f>
        <v>11.452471482889734</v>
      </c>
      <c r="T541" s="26">
        <f>data[[#This Row],[Revenue]]-data[[#This Row],[ShippingCost]]</f>
        <v>334</v>
      </c>
      <c r="U541" s="17">
        <v>3012</v>
      </c>
      <c r="V541" s="17">
        <v>78</v>
      </c>
      <c r="W541" s="17" t="s">
        <v>68</v>
      </c>
      <c r="X541" s="17">
        <v>1</v>
      </c>
      <c r="Y541" s="17">
        <f>data[[#This Row],[DeliveryDate]]-data[[#This Row],[ShipDate]]</f>
        <v>5</v>
      </c>
      <c r="Z541" s="17" t="str">
        <f>IF(data[[#This Row],[Actual Delivery Days]]&gt;AD542,"Yes","No")</f>
        <v>Yes</v>
      </c>
    </row>
    <row r="542" spans="1:26">
      <c r="A542" s="17">
        <v>10147</v>
      </c>
      <c r="B542" s="17">
        <v>1</v>
      </c>
      <c r="C542" s="17">
        <v>5</v>
      </c>
      <c r="D542" s="17" t="s">
        <v>402</v>
      </c>
      <c r="E542" s="17" t="s">
        <v>142</v>
      </c>
      <c r="F542" s="17" t="str">
        <f>TEXT(data[[#This Row],[ShipDate]],"yyyy - mmmm")</f>
        <v>2016 - August</v>
      </c>
      <c r="G542" s="17" t="str">
        <f>data[[#This Row],[OriginCity]] &amp; " - "  &amp; data[[#This Row],[DestinationCity]]</f>
        <v>Springfield - Skokie</v>
      </c>
      <c r="H542" s="17" t="s">
        <v>30</v>
      </c>
      <c r="I542" s="17" t="s">
        <v>31</v>
      </c>
      <c r="J542" s="17">
        <v>5</v>
      </c>
      <c r="K542" s="17" t="s">
        <v>35</v>
      </c>
      <c r="L542" s="17" t="s">
        <v>31</v>
      </c>
      <c r="M542" s="17" t="s">
        <v>301</v>
      </c>
      <c r="N542" s="17">
        <v>540</v>
      </c>
      <c r="O542" s="17">
        <v>540</v>
      </c>
      <c r="P542" s="26">
        <f>(data[[#This Row],[LoadedMiles]]/data[[#This Row],[TotalMiles]])*100</f>
        <v>100</v>
      </c>
      <c r="Q542" s="25">
        <f>data[[#This Row],[ShippingCost]]/data[[#This Row],[TotalMiles]]</f>
        <v>3.7944444444444443</v>
      </c>
      <c r="R542" s="17">
        <v>2049</v>
      </c>
      <c r="S542" s="25">
        <f>data[[#This Row],[Revenue]]/data[[#This Row],[TotalMiles]]</f>
        <v>5.166666666666667</v>
      </c>
      <c r="T542" s="26">
        <f>data[[#This Row],[Revenue]]-data[[#This Row],[ShippingCost]]</f>
        <v>741</v>
      </c>
      <c r="U542" s="17">
        <v>2790</v>
      </c>
      <c r="V542" s="17">
        <v>74</v>
      </c>
      <c r="W542" s="17" t="s">
        <v>68</v>
      </c>
      <c r="X542" s="17">
        <v>7</v>
      </c>
      <c r="Y542" s="17">
        <f>data[[#This Row],[DeliveryDate]]-data[[#This Row],[ShipDate]]</f>
        <v>5</v>
      </c>
      <c r="Z542" s="17" t="str">
        <f>IF(data[[#This Row],[Actual Delivery Days]]&gt;AD543,"Yes","No")</f>
        <v>Yes</v>
      </c>
    </row>
    <row r="543" spans="1:26">
      <c r="A543" s="17">
        <v>10172</v>
      </c>
      <c r="B543" s="17">
        <v>2</v>
      </c>
      <c r="C543" s="17">
        <v>8</v>
      </c>
      <c r="D543" s="17" t="s">
        <v>448</v>
      </c>
      <c r="E543" s="17" t="s">
        <v>296</v>
      </c>
      <c r="F543" s="17" t="str">
        <f>TEXT(data[[#This Row],[ShipDate]],"yyyy - mmmm")</f>
        <v>2016 - March</v>
      </c>
      <c r="G543" s="17" t="str">
        <f>data[[#This Row],[OriginCity]] &amp; " - "  &amp; data[[#This Row],[DestinationCity]]</f>
        <v>Gary - Milwaukee</v>
      </c>
      <c r="H543" s="17" t="s">
        <v>57</v>
      </c>
      <c r="I543" s="17" t="s">
        <v>44</v>
      </c>
      <c r="J543" s="17">
        <v>5</v>
      </c>
      <c r="K543" s="17" t="s">
        <v>28</v>
      </c>
      <c r="L543" s="17" t="s">
        <v>29</v>
      </c>
      <c r="M543" s="17" t="s">
        <v>449</v>
      </c>
      <c r="N543" s="17">
        <v>1152</v>
      </c>
      <c r="O543" s="17">
        <v>268</v>
      </c>
      <c r="P543" s="26">
        <f>(data[[#This Row],[LoadedMiles]]/data[[#This Row],[TotalMiles]])*100</f>
        <v>23.263888888888889</v>
      </c>
      <c r="Q543" s="25">
        <f>data[[#This Row],[ShippingCost]]/data[[#This Row],[TotalMiles]]</f>
        <v>5.036458333333333</v>
      </c>
      <c r="R543" s="17">
        <v>5802</v>
      </c>
      <c r="S543" s="25">
        <f>data[[#This Row],[Revenue]]/data[[#This Row],[TotalMiles]]</f>
        <v>5.2647569444444446</v>
      </c>
      <c r="T543" s="26">
        <f>data[[#This Row],[Revenue]]-data[[#This Row],[ShippingCost]]</f>
        <v>263</v>
      </c>
      <c r="U543" s="17">
        <v>6065</v>
      </c>
      <c r="V543" s="17">
        <v>71</v>
      </c>
      <c r="W543" s="17" t="s">
        <v>68</v>
      </c>
      <c r="X543" s="17">
        <v>2</v>
      </c>
      <c r="Y543" s="17">
        <f>data[[#This Row],[DeliveryDate]]-data[[#This Row],[ShipDate]]</f>
        <v>2</v>
      </c>
      <c r="Z543" s="17" t="str">
        <f>IF(data[[#This Row],[Actual Delivery Days]]&gt;AD544,"Yes","No")</f>
        <v>Yes</v>
      </c>
    </row>
    <row r="544" spans="1:26">
      <c r="A544" s="17">
        <v>10180</v>
      </c>
      <c r="B544" s="17">
        <v>1</v>
      </c>
      <c r="C544" s="17">
        <v>5</v>
      </c>
      <c r="D544" s="17" t="s">
        <v>463</v>
      </c>
      <c r="E544" s="17" t="s">
        <v>90</v>
      </c>
      <c r="F544" s="17" t="str">
        <f>TEXT(data[[#This Row],[ShipDate]],"yyyy - mmmm")</f>
        <v>2016 - February</v>
      </c>
      <c r="G544" s="17" t="str">
        <f>data[[#This Row],[OriginCity]] &amp; " - "  &amp; data[[#This Row],[DestinationCity]]</f>
        <v>Toledo - Detriot</v>
      </c>
      <c r="H544" s="17" t="s">
        <v>22</v>
      </c>
      <c r="I544" s="17" t="s">
        <v>23</v>
      </c>
      <c r="J544" s="17">
        <v>5</v>
      </c>
      <c r="K544" s="17" t="s">
        <v>52</v>
      </c>
      <c r="L544" s="17" t="s">
        <v>21</v>
      </c>
      <c r="M544" s="17" t="s">
        <v>132</v>
      </c>
      <c r="N544" s="17">
        <v>400</v>
      </c>
      <c r="O544" s="17">
        <v>379</v>
      </c>
      <c r="P544" s="26">
        <f>(data[[#This Row],[LoadedMiles]]/data[[#This Row],[TotalMiles]])*100</f>
        <v>94.75</v>
      </c>
      <c r="Q544" s="25">
        <f>data[[#This Row],[ShippingCost]]/data[[#This Row],[TotalMiles]]</f>
        <v>9.91</v>
      </c>
      <c r="R544" s="17">
        <v>3964</v>
      </c>
      <c r="S544" s="25">
        <f>data[[#This Row],[Revenue]]/data[[#This Row],[TotalMiles]]</f>
        <v>12.135</v>
      </c>
      <c r="T544" s="26">
        <f>data[[#This Row],[Revenue]]-data[[#This Row],[ShippingCost]]</f>
        <v>890</v>
      </c>
      <c r="U544" s="17">
        <v>4854</v>
      </c>
      <c r="V544" s="17">
        <v>90</v>
      </c>
      <c r="W544" s="17" t="s">
        <v>68</v>
      </c>
      <c r="X544" s="17">
        <v>5</v>
      </c>
      <c r="Y544" s="17">
        <f>data[[#This Row],[DeliveryDate]]-data[[#This Row],[ShipDate]]</f>
        <v>5</v>
      </c>
      <c r="Z544" s="17" t="str">
        <f>IF(data[[#This Row],[Actual Delivery Days]]&gt;AD545,"Yes","No")</f>
        <v>Yes</v>
      </c>
    </row>
    <row r="545" spans="1:26">
      <c r="A545" s="17">
        <v>10189</v>
      </c>
      <c r="B545" s="17">
        <v>1</v>
      </c>
      <c r="C545" s="17">
        <v>7</v>
      </c>
      <c r="D545" s="17" t="s">
        <v>477</v>
      </c>
      <c r="E545" s="17" t="s">
        <v>282</v>
      </c>
      <c r="F545" s="17" t="str">
        <f>TEXT(data[[#This Row],[ShipDate]],"yyyy - mmmm")</f>
        <v>2016 - June</v>
      </c>
      <c r="G545" s="17" t="str">
        <f>data[[#This Row],[OriginCity]] &amp; " - "  &amp; data[[#This Row],[DestinationCity]]</f>
        <v>Chicago - Rockford</v>
      </c>
      <c r="H545" s="17" t="s">
        <v>39</v>
      </c>
      <c r="I545" s="17" t="s">
        <v>31</v>
      </c>
      <c r="J545" s="17">
        <v>5</v>
      </c>
      <c r="K545" s="17" t="s">
        <v>40</v>
      </c>
      <c r="L545" s="17" t="s">
        <v>31</v>
      </c>
      <c r="M545" s="17" t="s">
        <v>365</v>
      </c>
      <c r="N545" s="17">
        <v>533</v>
      </c>
      <c r="O545" s="17">
        <v>310</v>
      </c>
      <c r="P545" s="26">
        <f>(data[[#This Row],[LoadedMiles]]/data[[#This Row],[TotalMiles]])*100</f>
        <v>58.161350844277671</v>
      </c>
      <c r="Q545" s="25">
        <f>data[[#This Row],[ShippingCost]]/data[[#This Row],[TotalMiles]]</f>
        <v>13.090056285178237</v>
      </c>
      <c r="R545" s="17">
        <v>6977</v>
      </c>
      <c r="S545" s="25">
        <f>data[[#This Row],[Revenue]]/data[[#This Row],[TotalMiles]]</f>
        <v>13.697936210131331</v>
      </c>
      <c r="T545" s="26">
        <f>data[[#This Row],[Revenue]]-data[[#This Row],[ShippingCost]]</f>
        <v>324</v>
      </c>
      <c r="U545" s="17">
        <v>7301</v>
      </c>
      <c r="V545" s="17">
        <v>68</v>
      </c>
      <c r="W545" s="17" t="s">
        <v>68</v>
      </c>
      <c r="X545" s="17">
        <v>1</v>
      </c>
      <c r="Y545" s="17">
        <f>data[[#This Row],[DeliveryDate]]-data[[#This Row],[ShipDate]]</f>
        <v>2</v>
      </c>
      <c r="Z545" s="17" t="str">
        <f>IF(data[[#This Row],[Actual Delivery Days]]&gt;AD546,"Yes","No")</f>
        <v>Yes</v>
      </c>
    </row>
    <row r="546" spans="1:26">
      <c r="A546" s="17">
        <v>10197</v>
      </c>
      <c r="B546" s="17">
        <v>1</v>
      </c>
      <c r="C546" s="17">
        <v>5</v>
      </c>
      <c r="D546" s="17" t="s">
        <v>489</v>
      </c>
      <c r="E546" s="17" t="s">
        <v>344</v>
      </c>
      <c r="F546" s="17" t="str">
        <f>TEXT(data[[#This Row],[ShipDate]],"yyyy - mmmm")</f>
        <v>2016 - May</v>
      </c>
      <c r="G546" s="17" t="str">
        <f>data[[#This Row],[OriginCity]] &amp; " - "  &amp; data[[#This Row],[DestinationCity]]</f>
        <v>Appleton - Grand Rapids</v>
      </c>
      <c r="H546" s="17" t="s">
        <v>85</v>
      </c>
      <c r="I546" s="17" t="s">
        <v>29</v>
      </c>
      <c r="J546" s="17">
        <v>5</v>
      </c>
      <c r="K546" s="17" t="s">
        <v>20</v>
      </c>
      <c r="L546" s="17" t="s">
        <v>21</v>
      </c>
      <c r="M546" s="17" t="s">
        <v>410</v>
      </c>
      <c r="N546" s="17">
        <v>933</v>
      </c>
      <c r="O546" s="17">
        <v>361</v>
      </c>
      <c r="P546" s="26">
        <f>(data[[#This Row],[LoadedMiles]]/data[[#This Row],[TotalMiles]])*100</f>
        <v>38.692390139335473</v>
      </c>
      <c r="Q546" s="25">
        <f>data[[#This Row],[ShippingCost]]/data[[#This Row],[TotalMiles]]</f>
        <v>4.07395498392283</v>
      </c>
      <c r="R546" s="17">
        <v>3801</v>
      </c>
      <c r="S546" s="25">
        <f>data[[#This Row],[Revenue]]/data[[#This Row],[TotalMiles]]</f>
        <v>4.408360128617363</v>
      </c>
      <c r="T546" s="26">
        <f>data[[#This Row],[Revenue]]-data[[#This Row],[ShippingCost]]</f>
        <v>312</v>
      </c>
      <c r="U546" s="17">
        <v>4113</v>
      </c>
      <c r="V546" s="17">
        <v>65</v>
      </c>
      <c r="W546" s="17" t="s">
        <v>68</v>
      </c>
      <c r="X546" s="17">
        <v>3</v>
      </c>
      <c r="Y546" s="17">
        <f>data[[#This Row],[DeliveryDate]]-data[[#This Row],[ShipDate]]</f>
        <v>5</v>
      </c>
      <c r="Z546" s="17" t="str">
        <f>IF(data[[#This Row],[Actual Delivery Days]]&gt;AD547,"Yes","No")</f>
        <v>Yes</v>
      </c>
    </row>
    <row r="547" spans="1:26">
      <c r="A547" s="17">
        <v>10204</v>
      </c>
      <c r="B547" s="17">
        <v>2</v>
      </c>
      <c r="C547" s="17">
        <v>4</v>
      </c>
      <c r="D547" s="17" t="s">
        <v>500</v>
      </c>
      <c r="E547" s="17" t="s">
        <v>207</v>
      </c>
      <c r="F547" s="17" t="str">
        <f>TEXT(data[[#This Row],[ShipDate]],"yyyy - mmmm")</f>
        <v>2016 - March</v>
      </c>
      <c r="G547" s="17" t="str">
        <f>data[[#This Row],[OriginCity]] &amp; " - "  &amp; data[[#This Row],[DestinationCity]]</f>
        <v>Kalamazoo - Bangor</v>
      </c>
      <c r="H547" s="17" t="s">
        <v>71</v>
      </c>
      <c r="I547" s="17" t="s">
        <v>21</v>
      </c>
      <c r="J547" s="17">
        <v>5</v>
      </c>
      <c r="K547" s="17" t="s">
        <v>104</v>
      </c>
      <c r="L547" s="17" t="s">
        <v>21</v>
      </c>
      <c r="M547" s="17" t="s">
        <v>76</v>
      </c>
      <c r="N547" s="17">
        <v>1107</v>
      </c>
      <c r="O547" s="17">
        <v>730</v>
      </c>
      <c r="P547" s="26">
        <f>(data[[#This Row],[LoadedMiles]]/data[[#This Row],[TotalMiles]])*100</f>
        <v>65.943992773261058</v>
      </c>
      <c r="Q547" s="25">
        <f>data[[#This Row],[ShippingCost]]/data[[#This Row],[TotalMiles]]</f>
        <v>2.5076784101174345</v>
      </c>
      <c r="R547" s="17">
        <v>2776</v>
      </c>
      <c r="S547" s="25">
        <f>data[[#This Row],[Revenue]]/data[[#This Row],[TotalMiles]]</f>
        <v>1.0813008130081301</v>
      </c>
      <c r="T547" s="26">
        <f>data[[#This Row],[Revenue]]-data[[#This Row],[ShippingCost]]</f>
        <v>-1579</v>
      </c>
      <c r="U547" s="17">
        <v>1197</v>
      </c>
      <c r="V547" s="17">
        <v>76</v>
      </c>
      <c r="W547" s="17" t="s">
        <v>68</v>
      </c>
      <c r="X547" s="17">
        <v>8</v>
      </c>
      <c r="Y547" s="17">
        <f>data[[#This Row],[DeliveryDate]]-data[[#This Row],[ShipDate]]</f>
        <v>2</v>
      </c>
      <c r="Z547" s="17" t="str">
        <f>IF(data[[#This Row],[Actual Delivery Days]]&gt;AD548,"Yes","No")</f>
        <v>Yes</v>
      </c>
    </row>
    <row r="548" spans="1:26">
      <c r="A548" s="17">
        <v>10233</v>
      </c>
      <c r="B548" s="17">
        <v>1</v>
      </c>
      <c r="C548" s="17">
        <v>7</v>
      </c>
      <c r="D548" s="17" t="s">
        <v>543</v>
      </c>
      <c r="E548" s="17" t="s">
        <v>408</v>
      </c>
      <c r="F548" s="17" t="str">
        <f>TEXT(data[[#This Row],[ShipDate]],"yyyy - mmmm")</f>
        <v>2016 - August</v>
      </c>
      <c r="G548" s="17" t="str">
        <f>data[[#This Row],[OriginCity]] &amp; " - "  &amp; data[[#This Row],[DestinationCity]]</f>
        <v>Gary - Milwaukee</v>
      </c>
      <c r="H548" s="17" t="s">
        <v>57</v>
      </c>
      <c r="I548" s="17" t="s">
        <v>44</v>
      </c>
      <c r="J548" s="17">
        <v>5</v>
      </c>
      <c r="K548" s="17" t="s">
        <v>28</v>
      </c>
      <c r="L548" s="17" t="s">
        <v>29</v>
      </c>
      <c r="M548" s="17" t="s">
        <v>341</v>
      </c>
      <c r="N548" s="17">
        <v>313</v>
      </c>
      <c r="O548" s="17">
        <v>313</v>
      </c>
      <c r="P548" s="26">
        <f>(data[[#This Row],[LoadedMiles]]/data[[#This Row],[TotalMiles]])*100</f>
        <v>100</v>
      </c>
      <c r="Q548" s="25">
        <f>data[[#This Row],[ShippingCost]]/data[[#This Row],[TotalMiles]]</f>
        <v>11.191693290734824</v>
      </c>
      <c r="R548" s="17">
        <v>3503</v>
      </c>
      <c r="S548" s="25">
        <f>data[[#This Row],[Revenue]]/data[[#This Row],[TotalMiles]]</f>
        <v>13.60702875399361</v>
      </c>
      <c r="T548" s="26">
        <f>data[[#This Row],[Revenue]]-data[[#This Row],[ShippingCost]]</f>
        <v>756</v>
      </c>
      <c r="U548" s="17">
        <v>4259</v>
      </c>
      <c r="V548" s="17">
        <v>92</v>
      </c>
      <c r="W548" s="17" t="s">
        <v>68</v>
      </c>
      <c r="X548" s="17">
        <v>9</v>
      </c>
      <c r="Y548" s="17">
        <f>data[[#This Row],[DeliveryDate]]-data[[#This Row],[ShipDate]]</f>
        <v>5</v>
      </c>
      <c r="Z548" s="17" t="str">
        <f>IF(data[[#This Row],[Actual Delivery Days]]&gt;AD549,"Yes","No")</f>
        <v>Yes</v>
      </c>
    </row>
    <row r="549" spans="1:26">
      <c r="A549" s="17">
        <v>10249</v>
      </c>
      <c r="B549" s="17">
        <v>1</v>
      </c>
      <c r="C549" s="17">
        <v>8</v>
      </c>
      <c r="D549" s="17" t="s">
        <v>562</v>
      </c>
      <c r="E549" s="17" t="s">
        <v>399</v>
      </c>
      <c r="F549" s="17" t="str">
        <f>TEXT(data[[#This Row],[ShipDate]],"yyyy - mmmm")</f>
        <v>2016 - July</v>
      </c>
      <c r="G549" s="17" t="str">
        <f>data[[#This Row],[OriginCity]] &amp; " - "  &amp; data[[#This Row],[DestinationCity]]</f>
        <v>Milwaukee - Springfield</v>
      </c>
      <c r="H549" s="17" t="s">
        <v>28</v>
      </c>
      <c r="I549" s="17" t="s">
        <v>29</v>
      </c>
      <c r="J549" s="17">
        <v>5</v>
      </c>
      <c r="K549" s="17" t="s">
        <v>30</v>
      </c>
      <c r="L549" s="17" t="s">
        <v>31</v>
      </c>
      <c r="M549" s="17" t="s">
        <v>499</v>
      </c>
      <c r="N549" s="17">
        <v>759</v>
      </c>
      <c r="O549" s="17">
        <v>217</v>
      </c>
      <c r="P549" s="26">
        <f>(data[[#This Row],[LoadedMiles]]/data[[#This Row],[TotalMiles]])*100</f>
        <v>28.590250329380762</v>
      </c>
      <c r="Q549" s="25">
        <f>data[[#This Row],[ShippingCost]]/data[[#This Row],[TotalMiles]]</f>
        <v>7.0685111989459815</v>
      </c>
      <c r="R549" s="17">
        <v>5365</v>
      </c>
      <c r="S549" s="25">
        <f>data[[#This Row],[Revenue]]/data[[#This Row],[TotalMiles]]</f>
        <v>7.5309617918313574</v>
      </c>
      <c r="T549" s="26">
        <f>data[[#This Row],[Revenue]]-data[[#This Row],[ShippingCost]]</f>
        <v>351</v>
      </c>
      <c r="U549" s="17">
        <v>5716</v>
      </c>
      <c r="V549" s="17">
        <v>89</v>
      </c>
      <c r="W549" s="17" t="s">
        <v>68</v>
      </c>
      <c r="X549" s="17">
        <v>6</v>
      </c>
      <c r="Y549" s="17">
        <f>data[[#This Row],[DeliveryDate]]-data[[#This Row],[ShipDate]]</f>
        <v>5</v>
      </c>
      <c r="Z549" s="17" t="str">
        <f>IF(data[[#This Row],[Actual Delivery Days]]&gt;AD550,"Yes","No")</f>
        <v>Yes</v>
      </c>
    </row>
    <row r="550" spans="1:26">
      <c r="A550" s="17">
        <v>10257</v>
      </c>
      <c r="B550" s="17">
        <v>2</v>
      </c>
      <c r="C550" s="17">
        <v>7</v>
      </c>
      <c r="D550" s="17" t="s">
        <v>572</v>
      </c>
      <c r="E550" s="17" t="s">
        <v>439</v>
      </c>
      <c r="F550" s="17" t="str">
        <f>TEXT(data[[#This Row],[ShipDate]],"yyyy - mmmm")</f>
        <v>2016 - June</v>
      </c>
      <c r="G550" s="17" t="str">
        <f>data[[#This Row],[OriginCity]] &amp; " - "  &amp; data[[#This Row],[DestinationCity]]</f>
        <v>Madison - Kalamazoo</v>
      </c>
      <c r="H550" s="17" t="s">
        <v>62</v>
      </c>
      <c r="I550" s="17" t="s">
        <v>29</v>
      </c>
      <c r="J550" s="17">
        <v>5</v>
      </c>
      <c r="K550" s="17" t="s">
        <v>71</v>
      </c>
      <c r="L550" s="17" t="s">
        <v>21</v>
      </c>
      <c r="M550" s="17" t="s">
        <v>298</v>
      </c>
      <c r="N550" s="17">
        <v>564</v>
      </c>
      <c r="O550" s="17">
        <v>423</v>
      </c>
      <c r="P550" s="26">
        <f>(data[[#This Row],[LoadedMiles]]/data[[#This Row],[TotalMiles]])*100</f>
        <v>75</v>
      </c>
      <c r="Q550" s="25">
        <f>data[[#This Row],[ShippingCost]]/data[[#This Row],[TotalMiles]]</f>
        <v>12.462765957446809</v>
      </c>
      <c r="R550" s="17">
        <v>7029</v>
      </c>
      <c r="S550" s="25">
        <f>data[[#This Row],[Revenue]]/data[[#This Row],[TotalMiles]]</f>
        <v>12.679078014184396</v>
      </c>
      <c r="T550" s="26">
        <f>data[[#This Row],[Revenue]]-data[[#This Row],[ShippingCost]]</f>
        <v>122</v>
      </c>
      <c r="U550" s="17">
        <v>7151</v>
      </c>
      <c r="V550" s="17">
        <v>63</v>
      </c>
      <c r="W550" s="17" t="s">
        <v>68</v>
      </c>
      <c r="X550" s="17">
        <v>2</v>
      </c>
      <c r="Y550" s="17">
        <f>data[[#This Row],[DeliveryDate]]-data[[#This Row],[ShipDate]]</f>
        <v>2</v>
      </c>
      <c r="Z550" s="17" t="str">
        <f>IF(data[[#This Row],[Actual Delivery Days]]&gt;AD551,"Yes","No")</f>
        <v>Yes</v>
      </c>
    </row>
    <row r="551" spans="1:26">
      <c r="A551" s="17">
        <v>10268</v>
      </c>
      <c r="B551" s="17">
        <v>1</v>
      </c>
      <c r="C551" s="17">
        <v>4</v>
      </c>
      <c r="D551" s="17" t="s">
        <v>585</v>
      </c>
      <c r="E551" s="17" t="s">
        <v>234</v>
      </c>
      <c r="F551" s="17" t="str">
        <f>TEXT(data[[#This Row],[ShipDate]],"yyyy - mmmm")</f>
        <v>2016 - March</v>
      </c>
      <c r="G551" s="17" t="str">
        <f>data[[#This Row],[OriginCity]] &amp; " - "  &amp; data[[#This Row],[DestinationCity]]</f>
        <v>Skokie - Chicago</v>
      </c>
      <c r="H551" s="17" t="s">
        <v>35</v>
      </c>
      <c r="I551" s="17" t="s">
        <v>31</v>
      </c>
      <c r="J551" s="17">
        <v>5</v>
      </c>
      <c r="K551" s="17" t="s">
        <v>39</v>
      </c>
      <c r="L551" s="17" t="s">
        <v>31</v>
      </c>
      <c r="M551" s="17" t="s">
        <v>270</v>
      </c>
      <c r="N551" s="17">
        <v>363</v>
      </c>
      <c r="O551" s="17">
        <v>363</v>
      </c>
      <c r="P551" s="26">
        <f>(data[[#This Row],[LoadedMiles]]/data[[#This Row],[TotalMiles]])*100</f>
        <v>100</v>
      </c>
      <c r="Q551" s="25">
        <f>data[[#This Row],[ShippingCost]]/data[[#This Row],[TotalMiles]]</f>
        <v>12.184573002754821</v>
      </c>
      <c r="R551" s="17">
        <v>4423</v>
      </c>
      <c r="S551" s="25">
        <f>data[[#This Row],[Revenue]]/data[[#This Row],[TotalMiles]]</f>
        <v>7.2727272727272725</v>
      </c>
      <c r="T551" s="26">
        <f>data[[#This Row],[Revenue]]-data[[#This Row],[ShippingCost]]</f>
        <v>-1783</v>
      </c>
      <c r="U551" s="17">
        <v>2640</v>
      </c>
      <c r="V551" s="17">
        <v>97</v>
      </c>
      <c r="W551" s="17" t="s">
        <v>68</v>
      </c>
      <c r="X551" s="17">
        <v>4</v>
      </c>
      <c r="Y551" s="17">
        <f>data[[#This Row],[DeliveryDate]]-data[[#This Row],[ShipDate]]</f>
        <v>5</v>
      </c>
      <c r="Z551" s="17" t="str">
        <f>IF(data[[#This Row],[Actual Delivery Days]]&gt;AD552,"Yes","No")</f>
        <v>Yes</v>
      </c>
    </row>
    <row r="552" spans="1:26">
      <c r="A552" s="17">
        <v>10271</v>
      </c>
      <c r="B552" s="17">
        <v>2</v>
      </c>
      <c r="C552" s="17">
        <v>8</v>
      </c>
      <c r="D552" s="17" t="s">
        <v>589</v>
      </c>
      <c r="E552" s="17" t="s">
        <v>84</v>
      </c>
      <c r="F552" s="17" t="str">
        <f>TEXT(data[[#This Row],[ShipDate]],"yyyy - mmmm")</f>
        <v>2016 - May</v>
      </c>
      <c r="G552" s="17" t="str">
        <f>data[[#This Row],[OriginCity]] &amp; " - "  &amp; data[[#This Row],[DestinationCity]]</f>
        <v>Grand Rapids - Toledo</v>
      </c>
      <c r="H552" s="17" t="s">
        <v>20</v>
      </c>
      <c r="I552" s="17" t="s">
        <v>21</v>
      </c>
      <c r="J552" s="17">
        <v>5</v>
      </c>
      <c r="K552" s="17" t="s">
        <v>22</v>
      </c>
      <c r="L552" s="17" t="s">
        <v>23</v>
      </c>
      <c r="M552" s="17" t="s">
        <v>108</v>
      </c>
      <c r="N552" s="17">
        <v>628</v>
      </c>
      <c r="O552" s="17">
        <v>220</v>
      </c>
      <c r="P552" s="26">
        <f>(data[[#This Row],[LoadedMiles]]/data[[#This Row],[TotalMiles]])*100</f>
        <v>35.031847133757957</v>
      </c>
      <c r="Q552" s="25">
        <f>data[[#This Row],[ShippingCost]]/data[[#This Row],[TotalMiles]]</f>
        <v>4.6050955414012735</v>
      </c>
      <c r="R552" s="17">
        <v>2892</v>
      </c>
      <c r="S552" s="25">
        <f>data[[#This Row],[Revenue]]/data[[#This Row],[TotalMiles]]</f>
        <v>4.8073248407643314</v>
      </c>
      <c r="T552" s="26">
        <f>data[[#This Row],[Revenue]]-data[[#This Row],[ShippingCost]]</f>
        <v>127</v>
      </c>
      <c r="U552" s="17">
        <v>3019</v>
      </c>
      <c r="V552" s="17">
        <v>80</v>
      </c>
      <c r="W552" s="17" t="s">
        <v>68</v>
      </c>
      <c r="X552" s="17">
        <v>4</v>
      </c>
      <c r="Y552" s="17">
        <f>data[[#This Row],[DeliveryDate]]-data[[#This Row],[ShipDate]]</f>
        <v>5</v>
      </c>
      <c r="Z552" s="17" t="str">
        <f>IF(data[[#This Row],[Actual Delivery Days]]&gt;AD553,"Yes","No")</f>
        <v>Yes</v>
      </c>
    </row>
    <row r="553" spans="1:26">
      <c r="A553" s="17">
        <v>10287</v>
      </c>
      <c r="B553" s="17">
        <v>2</v>
      </c>
      <c r="C553" s="17">
        <v>4</v>
      </c>
      <c r="D553" s="17" t="s">
        <v>37</v>
      </c>
      <c r="E553" s="17" t="s">
        <v>158</v>
      </c>
      <c r="F553" s="17" t="str">
        <f>TEXT(data[[#This Row],[ShipDate]],"yyyy - mmmm")</f>
        <v>2016 - April</v>
      </c>
      <c r="G553" s="17" t="str">
        <f>data[[#This Row],[OriginCity]] &amp; " - "  &amp; data[[#This Row],[DestinationCity]]</f>
        <v>Bangor - Davenport</v>
      </c>
      <c r="H553" s="17" t="s">
        <v>104</v>
      </c>
      <c r="I553" s="17" t="s">
        <v>21</v>
      </c>
      <c r="J553" s="17">
        <v>5</v>
      </c>
      <c r="K553" s="17" t="s">
        <v>105</v>
      </c>
      <c r="L553" s="17" t="s">
        <v>106</v>
      </c>
      <c r="M553" s="17" t="s">
        <v>67</v>
      </c>
      <c r="N553" s="17">
        <v>465</v>
      </c>
      <c r="O553" s="17">
        <v>465</v>
      </c>
      <c r="P553" s="26">
        <f>(data[[#This Row],[LoadedMiles]]/data[[#This Row],[TotalMiles]])*100</f>
        <v>100</v>
      </c>
      <c r="Q553" s="25">
        <f>data[[#This Row],[ShippingCost]]/data[[#This Row],[TotalMiles]]</f>
        <v>11.236559139784946</v>
      </c>
      <c r="R553" s="17">
        <v>5225</v>
      </c>
      <c r="S553" s="25">
        <f>data[[#This Row],[Revenue]]/data[[#This Row],[TotalMiles]]</f>
        <v>7.6086021505376342</v>
      </c>
      <c r="T553" s="26">
        <f>data[[#This Row],[Revenue]]-data[[#This Row],[ShippingCost]]</f>
        <v>-1687</v>
      </c>
      <c r="U553" s="17">
        <v>3538</v>
      </c>
      <c r="V553" s="17">
        <v>62</v>
      </c>
      <c r="W553" s="17" t="s">
        <v>68</v>
      </c>
      <c r="X553" s="17">
        <v>2</v>
      </c>
      <c r="Y553" s="17">
        <f>data[[#This Row],[DeliveryDate]]-data[[#This Row],[ShipDate]]</f>
        <v>5</v>
      </c>
      <c r="Z553" s="17" t="str">
        <f>IF(data[[#This Row],[Actual Delivery Days]]&gt;AD554,"Yes","No")</f>
        <v>Yes</v>
      </c>
    </row>
    <row r="554" spans="1:26">
      <c r="A554" s="17">
        <v>10289</v>
      </c>
      <c r="B554" s="17">
        <v>2</v>
      </c>
      <c r="C554" s="17">
        <v>7</v>
      </c>
      <c r="D554" s="17" t="s">
        <v>46</v>
      </c>
      <c r="E554" s="17" t="s">
        <v>606</v>
      </c>
      <c r="F554" s="17" t="str">
        <f>TEXT(data[[#This Row],[ShipDate]],"yyyy - mmmm")</f>
        <v>2016 - May</v>
      </c>
      <c r="G554" s="17" t="str">
        <f>data[[#This Row],[OriginCity]] &amp; " - "  &amp; data[[#This Row],[DestinationCity]]</f>
        <v>Skokie - Chicago</v>
      </c>
      <c r="H554" s="17" t="s">
        <v>35</v>
      </c>
      <c r="I554" s="17" t="s">
        <v>31</v>
      </c>
      <c r="J554" s="17">
        <v>5</v>
      </c>
      <c r="K554" s="17" t="s">
        <v>39</v>
      </c>
      <c r="L554" s="17" t="s">
        <v>31</v>
      </c>
      <c r="M554" s="17" t="s">
        <v>82</v>
      </c>
      <c r="N554" s="17">
        <v>1147</v>
      </c>
      <c r="O554" s="17">
        <v>533</v>
      </c>
      <c r="P554" s="26">
        <f>(data[[#This Row],[LoadedMiles]]/data[[#This Row],[TotalMiles]])*100</f>
        <v>46.469049694856146</v>
      </c>
      <c r="Q554" s="25">
        <f>data[[#This Row],[ShippingCost]]/data[[#This Row],[TotalMiles]]</f>
        <v>4.3626852659110726</v>
      </c>
      <c r="R554" s="17">
        <v>5004</v>
      </c>
      <c r="S554" s="25">
        <f>data[[#This Row],[Revenue]]/data[[#This Row],[TotalMiles]]</f>
        <v>4.985178727114211</v>
      </c>
      <c r="T554" s="26">
        <f>data[[#This Row],[Revenue]]-data[[#This Row],[ShippingCost]]</f>
        <v>714</v>
      </c>
      <c r="U554" s="17">
        <v>5718</v>
      </c>
      <c r="V554" s="17">
        <v>87</v>
      </c>
      <c r="W554" s="17" t="s">
        <v>68</v>
      </c>
      <c r="X554" s="17">
        <v>6</v>
      </c>
      <c r="Y554" s="17">
        <f>data[[#This Row],[DeliveryDate]]-data[[#This Row],[ShipDate]]</f>
        <v>-43</v>
      </c>
      <c r="Z554" s="17" t="str">
        <f>IF(data[[#This Row],[Actual Delivery Days]]&gt;AD555,"Yes","No")</f>
        <v>No</v>
      </c>
    </row>
    <row r="555" spans="1:26">
      <c r="A555" s="17">
        <v>10313</v>
      </c>
      <c r="B555" s="17">
        <v>1</v>
      </c>
      <c r="C555" s="17">
        <v>7</v>
      </c>
      <c r="D555" s="17" t="s">
        <v>137</v>
      </c>
      <c r="E555" s="17" t="s">
        <v>211</v>
      </c>
      <c r="F555" s="17" t="str">
        <f>TEXT(data[[#This Row],[ShipDate]],"yyyy - mmmm")</f>
        <v>2016 - August</v>
      </c>
      <c r="G555" s="17" t="str">
        <f>data[[#This Row],[OriginCity]] &amp; " - "  &amp; data[[#This Row],[DestinationCity]]</f>
        <v>Davenport - Appleton</v>
      </c>
      <c r="H555" s="17" t="s">
        <v>105</v>
      </c>
      <c r="I555" s="17" t="s">
        <v>106</v>
      </c>
      <c r="J555" s="17">
        <v>5</v>
      </c>
      <c r="K555" s="17" t="s">
        <v>85</v>
      </c>
      <c r="L555" s="17" t="s">
        <v>29</v>
      </c>
      <c r="M555" s="17" t="s">
        <v>408</v>
      </c>
      <c r="N555" s="17">
        <v>721</v>
      </c>
      <c r="O555" s="17">
        <v>687</v>
      </c>
      <c r="P555" s="26">
        <f>(data[[#This Row],[LoadedMiles]]/data[[#This Row],[TotalMiles]])*100</f>
        <v>95.284327323162273</v>
      </c>
      <c r="Q555" s="25">
        <f>data[[#This Row],[ShippingCost]]/data[[#This Row],[TotalMiles]]</f>
        <v>3.5145631067961167</v>
      </c>
      <c r="R555" s="17">
        <v>2534</v>
      </c>
      <c r="S555" s="25">
        <f>data[[#This Row],[Revenue]]/data[[#This Row],[TotalMiles]]</f>
        <v>4.3134535367545075</v>
      </c>
      <c r="T555" s="26">
        <f>data[[#This Row],[Revenue]]-data[[#This Row],[ShippingCost]]</f>
        <v>576</v>
      </c>
      <c r="U555" s="17">
        <v>3110</v>
      </c>
      <c r="V555" s="17">
        <v>93</v>
      </c>
      <c r="W555" s="17" t="s">
        <v>68</v>
      </c>
      <c r="X555" s="17">
        <v>2</v>
      </c>
      <c r="Y555" s="17">
        <f>data[[#This Row],[DeliveryDate]]-data[[#This Row],[ShipDate]]</f>
        <v>2</v>
      </c>
      <c r="Z555" s="17" t="str">
        <f>IF(data[[#This Row],[Actual Delivery Days]]&gt;AD556,"Yes","No")</f>
        <v>Yes</v>
      </c>
    </row>
    <row r="556" spans="1:26">
      <c r="A556" s="17">
        <v>10358</v>
      </c>
      <c r="B556" s="17">
        <v>2</v>
      </c>
      <c r="C556" s="17">
        <v>8</v>
      </c>
      <c r="D556" s="17" t="s">
        <v>256</v>
      </c>
      <c r="E556" s="17" t="s">
        <v>522</v>
      </c>
      <c r="F556" s="17" t="str">
        <f>TEXT(data[[#This Row],[ShipDate]],"yyyy - mmmm")</f>
        <v>2016 - February</v>
      </c>
      <c r="G556" s="17" t="str">
        <f>data[[#This Row],[OriginCity]] &amp; " - "  &amp; data[[#This Row],[DestinationCity]]</f>
        <v>Chicago - Rockford</v>
      </c>
      <c r="H556" s="17" t="s">
        <v>39</v>
      </c>
      <c r="I556" s="17" t="s">
        <v>31</v>
      </c>
      <c r="J556" s="17">
        <v>5</v>
      </c>
      <c r="K556" s="17" t="s">
        <v>40</v>
      </c>
      <c r="L556" s="17" t="s">
        <v>31</v>
      </c>
      <c r="M556" s="17" t="s">
        <v>611</v>
      </c>
      <c r="N556" s="17">
        <v>1019</v>
      </c>
      <c r="O556" s="17">
        <v>218</v>
      </c>
      <c r="P556" s="26">
        <f>(data[[#This Row],[LoadedMiles]]/data[[#This Row],[TotalMiles]])*100</f>
        <v>21.39352306182532</v>
      </c>
      <c r="Q556" s="25">
        <f>data[[#This Row],[ShippingCost]]/data[[#This Row],[TotalMiles]]</f>
        <v>2.6545632973503435</v>
      </c>
      <c r="R556" s="17">
        <v>2705</v>
      </c>
      <c r="S556" s="25">
        <f>data[[#This Row],[Revenue]]/data[[#This Row],[TotalMiles]]</f>
        <v>3.4896957801766439</v>
      </c>
      <c r="T556" s="26">
        <f>data[[#This Row],[Revenue]]-data[[#This Row],[ShippingCost]]</f>
        <v>851</v>
      </c>
      <c r="U556" s="17">
        <v>3556</v>
      </c>
      <c r="V556" s="17">
        <v>52</v>
      </c>
      <c r="W556" s="17" t="s">
        <v>68</v>
      </c>
      <c r="X556" s="17">
        <v>10</v>
      </c>
      <c r="Y556" s="17">
        <f>data[[#This Row],[DeliveryDate]]-data[[#This Row],[ShipDate]]</f>
        <v>5</v>
      </c>
      <c r="Z556" s="17" t="str">
        <f>IF(data[[#This Row],[Actual Delivery Days]]&gt;AD557,"Yes","No")</f>
        <v>Yes</v>
      </c>
    </row>
    <row r="557" spans="1:26">
      <c r="A557" s="17">
        <v>10359</v>
      </c>
      <c r="B557" s="17">
        <v>1</v>
      </c>
      <c r="C557" s="17">
        <v>6</v>
      </c>
      <c r="D557" s="17" t="s">
        <v>258</v>
      </c>
      <c r="E557" s="17" t="s">
        <v>263</v>
      </c>
      <c r="F557" s="17" t="str">
        <f>TEXT(data[[#This Row],[ShipDate]],"yyyy - mmmm")</f>
        <v>2016 - January</v>
      </c>
      <c r="G557" s="17" t="str">
        <f>data[[#This Row],[OriginCity]] &amp; " - "  &amp; data[[#This Row],[DestinationCity]]</f>
        <v>Indianapolis - Northbrook</v>
      </c>
      <c r="H557" s="17" t="s">
        <v>43</v>
      </c>
      <c r="I557" s="17" t="s">
        <v>44</v>
      </c>
      <c r="J557" s="17">
        <v>5</v>
      </c>
      <c r="K557" s="17" t="s">
        <v>45</v>
      </c>
      <c r="L557" s="17" t="s">
        <v>31</v>
      </c>
      <c r="M557" s="17" t="s">
        <v>615</v>
      </c>
      <c r="N557" s="17">
        <v>346</v>
      </c>
      <c r="O557" s="17">
        <v>346</v>
      </c>
      <c r="P557" s="26">
        <f>(data[[#This Row],[LoadedMiles]]/data[[#This Row],[TotalMiles]])*100</f>
        <v>100</v>
      </c>
      <c r="Q557" s="25">
        <f>data[[#This Row],[ShippingCost]]/data[[#This Row],[TotalMiles]]</f>
        <v>3.8930635838150289</v>
      </c>
      <c r="R557" s="17">
        <v>1347</v>
      </c>
      <c r="S557" s="25">
        <f>data[[#This Row],[Revenue]]/data[[#This Row],[TotalMiles]]</f>
        <v>6.1242774566473992</v>
      </c>
      <c r="T557" s="26">
        <f>data[[#This Row],[Revenue]]-data[[#This Row],[ShippingCost]]</f>
        <v>772</v>
      </c>
      <c r="U557" s="17">
        <v>2119</v>
      </c>
      <c r="V557" s="17">
        <v>79</v>
      </c>
      <c r="W557" s="17" t="s">
        <v>68</v>
      </c>
      <c r="X557" s="17">
        <v>6</v>
      </c>
      <c r="Y557" s="17">
        <f>data[[#This Row],[DeliveryDate]]-data[[#This Row],[ShipDate]]</f>
        <v>5</v>
      </c>
      <c r="Z557" s="17" t="str">
        <f>IF(data[[#This Row],[Actual Delivery Days]]&gt;AD558,"Yes","No")</f>
        <v>Yes</v>
      </c>
    </row>
    <row r="558" spans="1:26">
      <c r="A558" s="17">
        <v>10366</v>
      </c>
      <c r="B558" s="17">
        <v>2</v>
      </c>
      <c r="C558" s="17">
        <v>8</v>
      </c>
      <c r="D558" s="17" t="s">
        <v>271</v>
      </c>
      <c r="E558" s="17" t="s">
        <v>259</v>
      </c>
      <c r="F558" s="17" t="str">
        <f>TEXT(data[[#This Row],[ShipDate]],"yyyy - mmmm")</f>
        <v>2016 - February</v>
      </c>
      <c r="G558" s="17" t="str">
        <f>data[[#This Row],[OriginCity]] &amp; " - "  &amp; data[[#This Row],[DestinationCity]]</f>
        <v>Green Bay - Joliet</v>
      </c>
      <c r="H558" s="17" t="s">
        <v>75</v>
      </c>
      <c r="I558" s="17" t="s">
        <v>29</v>
      </c>
      <c r="J558" s="17">
        <v>5</v>
      </c>
      <c r="K558" s="17" t="s">
        <v>61</v>
      </c>
      <c r="L558" s="17" t="s">
        <v>31</v>
      </c>
      <c r="M558" s="17" t="s">
        <v>164</v>
      </c>
      <c r="N558" s="17">
        <v>671</v>
      </c>
      <c r="O558" s="17">
        <v>480</v>
      </c>
      <c r="P558" s="26">
        <f>(data[[#This Row],[LoadedMiles]]/data[[#This Row],[TotalMiles]])*100</f>
        <v>71.53502235469449</v>
      </c>
      <c r="Q558" s="25">
        <f>data[[#This Row],[ShippingCost]]/data[[#This Row],[TotalMiles]]</f>
        <v>2.7108792846497765</v>
      </c>
      <c r="R558" s="17">
        <v>1819</v>
      </c>
      <c r="S558" s="25">
        <f>data[[#This Row],[Revenue]]/data[[#This Row],[TotalMiles]]</f>
        <v>3.1430700447093889</v>
      </c>
      <c r="T558" s="26">
        <f>data[[#This Row],[Revenue]]-data[[#This Row],[ShippingCost]]</f>
        <v>290</v>
      </c>
      <c r="U558" s="17">
        <v>2109</v>
      </c>
      <c r="V558" s="17">
        <v>68</v>
      </c>
      <c r="W558" s="17" t="s">
        <v>68</v>
      </c>
      <c r="X558" s="17">
        <v>4</v>
      </c>
      <c r="Y558" s="17">
        <f>data[[#This Row],[DeliveryDate]]-data[[#This Row],[ShipDate]]</f>
        <v>4</v>
      </c>
      <c r="Z558" s="17" t="str">
        <f>IF(data[[#This Row],[Actual Delivery Days]]&gt;AD559,"Yes","No")</f>
        <v>Yes</v>
      </c>
    </row>
    <row r="559" spans="1:26">
      <c r="A559" s="17">
        <v>10380</v>
      </c>
      <c r="B559" s="17">
        <v>1</v>
      </c>
      <c r="C559" s="17">
        <v>5</v>
      </c>
      <c r="D559" s="17" t="s">
        <v>297</v>
      </c>
      <c r="E559" s="17" t="s">
        <v>103</v>
      </c>
      <c r="F559" s="17" t="str">
        <f>TEXT(data[[#This Row],[ShipDate]],"yyyy - mmmm")</f>
        <v>2016 - August</v>
      </c>
      <c r="G559" s="17" t="str">
        <f>data[[#This Row],[OriginCity]] &amp; " - "  &amp; data[[#This Row],[DestinationCity]]</f>
        <v>Milwaukee - Springfield</v>
      </c>
      <c r="H559" s="17" t="s">
        <v>28</v>
      </c>
      <c r="I559" s="17" t="s">
        <v>29</v>
      </c>
      <c r="J559" s="17">
        <v>5</v>
      </c>
      <c r="K559" s="17" t="s">
        <v>30</v>
      </c>
      <c r="L559" s="17" t="s">
        <v>31</v>
      </c>
      <c r="M559" s="17" t="s">
        <v>82</v>
      </c>
      <c r="N559" s="17">
        <v>204</v>
      </c>
      <c r="O559" s="17">
        <v>204</v>
      </c>
      <c r="P559" s="26">
        <f>(data[[#This Row],[LoadedMiles]]/data[[#This Row],[TotalMiles]])*100</f>
        <v>100</v>
      </c>
      <c r="Q559" s="25">
        <f>data[[#This Row],[ShippingCost]]/data[[#This Row],[TotalMiles]]</f>
        <v>42.024509803921568</v>
      </c>
      <c r="R559" s="17">
        <v>8573</v>
      </c>
      <c r="S559" s="25">
        <f>data[[#This Row],[Revenue]]/data[[#This Row],[TotalMiles]]</f>
        <v>43.21078431372549</v>
      </c>
      <c r="T559" s="26">
        <f>data[[#This Row],[Revenue]]-data[[#This Row],[ShippingCost]]</f>
        <v>242</v>
      </c>
      <c r="U559" s="17">
        <v>8815</v>
      </c>
      <c r="V559" s="17">
        <v>95</v>
      </c>
      <c r="W559" s="17" t="s">
        <v>68</v>
      </c>
      <c r="X559" s="17">
        <v>5</v>
      </c>
      <c r="Y559" s="17">
        <f>data[[#This Row],[DeliveryDate]]-data[[#This Row],[ShipDate]]</f>
        <v>-158</v>
      </c>
      <c r="Z559" s="17" t="str">
        <f>IF(data[[#This Row],[Actual Delivery Days]]&gt;AD560,"Yes","No")</f>
        <v>No</v>
      </c>
    </row>
    <row r="560" spans="1:26">
      <c r="A560" s="17">
        <v>10400</v>
      </c>
      <c r="B560" s="17">
        <v>1</v>
      </c>
      <c r="C560" s="17">
        <v>5</v>
      </c>
      <c r="D560" s="17" t="s">
        <v>331</v>
      </c>
      <c r="E560" s="17" t="s">
        <v>513</v>
      </c>
      <c r="F560" s="17" t="str">
        <f>TEXT(data[[#This Row],[ShipDate]],"yyyy - mmmm")</f>
        <v>2016 - August</v>
      </c>
      <c r="G560" s="17" t="str">
        <f>data[[#This Row],[OriginCity]] &amp; " - "  &amp; data[[#This Row],[DestinationCity]]</f>
        <v>Skokie - Chicago</v>
      </c>
      <c r="H560" s="17" t="s">
        <v>35</v>
      </c>
      <c r="I560" s="17" t="s">
        <v>31</v>
      </c>
      <c r="J560" s="17">
        <v>5</v>
      </c>
      <c r="K560" s="17" t="s">
        <v>39</v>
      </c>
      <c r="L560" s="17" t="s">
        <v>31</v>
      </c>
      <c r="M560" s="17" t="s">
        <v>82</v>
      </c>
      <c r="N560" s="17">
        <v>386</v>
      </c>
      <c r="O560" s="17">
        <v>386</v>
      </c>
      <c r="P560" s="26">
        <f>(data[[#This Row],[LoadedMiles]]/data[[#This Row],[TotalMiles]])*100</f>
        <v>100</v>
      </c>
      <c r="Q560" s="25">
        <f>data[[#This Row],[ShippingCost]]/data[[#This Row],[TotalMiles]]</f>
        <v>16.21502590673575</v>
      </c>
      <c r="R560" s="17">
        <v>6259</v>
      </c>
      <c r="S560" s="25">
        <f>data[[#This Row],[Revenue]]/data[[#This Row],[TotalMiles]]</f>
        <v>16.691709844559586</v>
      </c>
      <c r="T560" s="26">
        <f>data[[#This Row],[Revenue]]-data[[#This Row],[ShippingCost]]</f>
        <v>184</v>
      </c>
      <c r="U560" s="17">
        <v>6443</v>
      </c>
      <c r="V560" s="17">
        <v>53</v>
      </c>
      <c r="W560" s="17" t="s">
        <v>68</v>
      </c>
      <c r="X560" s="17">
        <v>5</v>
      </c>
      <c r="Y560" s="17">
        <f>data[[#This Row],[DeliveryDate]]-data[[#This Row],[ShipDate]]</f>
        <v>-133</v>
      </c>
      <c r="Z560" s="17" t="str">
        <f>IF(data[[#This Row],[Actual Delivery Days]]&gt;AD561,"Yes","No")</f>
        <v>No</v>
      </c>
    </row>
    <row r="561" spans="1:26">
      <c r="A561" s="17">
        <v>10405</v>
      </c>
      <c r="B561" s="17">
        <v>2</v>
      </c>
      <c r="C561" s="17">
        <v>5</v>
      </c>
      <c r="D561" s="17" t="s">
        <v>340</v>
      </c>
      <c r="E561" s="17" t="s">
        <v>617</v>
      </c>
      <c r="F561" s="17" t="str">
        <f>TEXT(data[[#This Row],[ShipDate]],"yyyy - mmmm")</f>
        <v>2016 - June</v>
      </c>
      <c r="G561" s="17" t="str">
        <f>data[[#This Row],[OriginCity]] &amp; " - "  &amp; data[[#This Row],[DestinationCity]]</f>
        <v>Springfield - Skokie</v>
      </c>
      <c r="H561" s="17" t="s">
        <v>30</v>
      </c>
      <c r="I561" s="17" t="s">
        <v>31</v>
      </c>
      <c r="J561" s="17">
        <v>5</v>
      </c>
      <c r="K561" s="17" t="s">
        <v>35</v>
      </c>
      <c r="L561" s="17" t="s">
        <v>31</v>
      </c>
      <c r="M561" s="17" t="s">
        <v>278</v>
      </c>
      <c r="N561" s="17">
        <v>419</v>
      </c>
      <c r="O561" s="17">
        <v>419</v>
      </c>
      <c r="P561" s="26">
        <f>(data[[#This Row],[LoadedMiles]]/data[[#This Row],[TotalMiles]])*100</f>
        <v>100</v>
      </c>
      <c r="Q561" s="25">
        <f>data[[#This Row],[ShippingCost]]/data[[#This Row],[TotalMiles]]</f>
        <v>9.8138424821002381</v>
      </c>
      <c r="R561" s="17">
        <v>4112</v>
      </c>
      <c r="S561" s="25">
        <f>data[[#This Row],[Revenue]]/data[[#This Row],[TotalMiles]]</f>
        <v>10.41288782816229</v>
      </c>
      <c r="T561" s="26">
        <f>data[[#This Row],[Revenue]]-data[[#This Row],[ShippingCost]]</f>
        <v>251</v>
      </c>
      <c r="U561" s="17">
        <v>4363</v>
      </c>
      <c r="V561" s="17">
        <v>58</v>
      </c>
      <c r="W561" s="17" t="s">
        <v>68</v>
      </c>
      <c r="X561" s="17">
        <v>6</v>
      </c>
      <c r="Y561" s="17">
        <f>data[[#This Row],[DeliveryDate]]-data[[#This Row],[ShipDate]]</f>
        <v>3</v>
      </c>
      <c r="Z561" s="17" t="str">
        <f>IF(data[[#This Row],[Actual Delivery Days]]&gt;AD562,"Yes","No")</f>
        <v>Yes</v>
      </c>
    </row>
    <row r="562" spans="1:26">
      <c r="A562" s="17">
        <v>10438</v>
      </c>
      <c r="B562" s="17">
        <v>1</v>
      </c>
      <c r="C562" s="17">
        <v>6</v>
      </c>
      <c r="D562" s="17" t="s">
        <v>395</v>
      </c>
      <c r="E562" s="17" t="s">
        <v>229</v>
      </c>
      <c r="F562" s="17" t="str">
        <f>TEXT(data[[#This Row],[ShipDate]],"yyyy - mmmm")</f>
        <v>2016 - January</v>
      </c>
      <c r="G562" s="17" t="str">
        <f>data[[#This Row],[OriginCity]] &amp; " - "  &amp; data[[#This Row],[DestinationCity]]</f>
        <v>Rockford - Green Bay</v>
      </c>
      <c r="H562" s="17" t="s">
        <v>40</v>
      </c>
      <c r="I562" s="17" t="s">
        <v>31</v>
      </c>
      <c r="J562" s="17">
        <v>5</v>
      </c>
      <c r="K562" s="17" t="s">
        <v>75</v>
      </c>
      <c r="L562" s="17" t="s">
        <v>29</v>
      </c>
      <c r="M562" s="17" t="s">
        <v>82</v>
      </c>
      <c r="N562" s="17">
        <v>929</v>
      </c>
      <c r="O562" s="17">
        <v>224</v>
      </c>
      <c r="P562" s="26">
        <f>(data[[#This Row],[LoadedMiles]]/data[[#This Row],[TotalMiles]])*100</f>
        <v>24.111948331539288</v>
      </c>
      <c r="Q562" s="25">
        <f>data[[#This Row],[ShippingCost]]/data[[#This Row],[TotalMiles]]</f>
        <v>6.4553283100107643</v>
      </c>
      <c r="R562" s="17">
        <v>5997</v>
      </c>
      <c r="S562" s="25">
        <f>data[[#This Row],[Revenue]]/data[[#This Row],[TotalMiles]]</f>
        <v>6.653390742734123</v>
      </c>
      <c r="T562" s="26">
        <f>data[[#This Row],[Revenue]]-data[[#This Row],[ShippingCost]]</f>
        <v>184</v>
      </c>
      <c r="U562" s="17">
        <v>6181</v>
      </c>
      <c r="V562" s="17">
        <v>60</v>
      </c>
      <c r="W562" s="17" t="s">
        <v>68</v>
      </c>
      <c r="X562" s="17">
        <v>6</v>
      </c>
      <c r="Y562" s="17">
        <f>data[[#This Row],[DeliveryDate]]-data[[#This Row],[ShipDate]]</f>
        <v>56</v>
      </c>
      <c r="Z562" s="17" t="str">
        <f>IF(data[[#This Row],[Actual Delivery Days]]&gt;AD563,"Yes","No")</f>
        <v>Yes</v>
      </c>
    </row>
    <row r="563" spans="1:26">
      <c r="A563" s="17">
        <v>10490</v>
      </c>
      <c r="B563" s="17">
        <v>2</v>
      </c>
      <c r="C563" s="17">
        <v>8</v>
      </c>
      <c r="D563" s="17" t="s">
        <v>481</v>
      </c>
      <c r="E563" s="17" t="s">
        <v>474</v>
      </c>
      <c r="F563" s="17" t="str">
        <f>TEXT(data[[#This Row],[ShipDate]],"yyyy - mmmm")</f>
        <v>2016 - June</v>
      </c>
      <c r="G563" s="17" t="str">
        <f>data[[#This Row],[OriginCity]] &amp; " - "  &amp; data[[#This Row],[DestinationCity]]</f>
        <v>Kalamazoo - Bangor</v>
      </c>
      <c r="H563" s="17" t="s">
        <v>71</v>
      </c>
      <c r="I563" s="17" t="s">
        <v>21</v>
      </c>
      <c r="J563" s="17">
        <v>5</v>
      </c>
      <c r="K563" s="17" t="s">
        <v>104</v>
      </c>
      <c r="L563" s="17" t="s">
        <v>21</v>
      </c>
      <c r="M563" s="17" t="s">
        <v>279</v>
      </c>
      <c r="N563" s="17">
        <v>1159</v>
      </c>
      <c r="O563" s="17">
        <v>712</v>
      </c>
      <c r="P563" s="26">
        <f>(data[[#This Row],[LoadedMiles]]/data[[#This Row],[TotalMiles]])*100</f>
        <v>61.43226919758412</v>
      </c>
      <c r="Q563" s="25">
        <f>data[[#This Row],[ShippingCost]]/data[[#This Row],[TotalMiles]]</f>
        <v>6.8136324417601379</v>
      </c>
      <c r="R563" s="17">
        <v>7897</v>
      </c>
      <c r="S563" s="25">
        <f>data[[#This Row],[Revenue]]/data[[#This Row],[TotalMiles]]</f>
        <v>6.907679033649698</v>
      </c>
      <c r="T563" s="26">
        <f>data[[#This Row],[Revenue]]-data[[#This Row],[ShippingCost]]</f>
        <v>109</v>
      </c>
      <c r="U563" s="17">
        <v>8006</v>
      </c>
      <c r="V563" s="17">
        <v>73</v>
      </c>
      <c r="W563" s="17" t="s">
        <v>68</v>
      </c>
      <c r="X563" s="17">
        <v>6</v>
      </c>
      <c r="Y563" s="17">
        <f>data[[#This Row],[DeliveryDate]]-data[[#This Row],[ShipDate]]</f>
        <v>5</v>
      </c>
      <c r="Z563" s="17" t="str">
        <f>IF(data[[#This Row],[Actual Delivery Days]]&gt;AD564,"Yes","No")</f>
        <v>Yes</v>
      </c>
    </row>
    <row r="564" spans="1:26">
      <c r="A564" s="17">
        <v>10491</v>
      </c>
      <c r="B564" s="17">
        <v>1</v>
      </c>
      <c r="C564" s="17">
        <v>8</v>
      </c>
      <c r="D564" s="17" t="s">
        <v>482</v>
      </c>
      <c r="E564" s="17" t="s">
        <v>270</v>
      </c>
      <c r="F564" s="17" t="str">
        <f>TEXT(data[[#This Row],[ShipDate]],"yyyy - mmmm")</f>
        <v>2016 - April</v>
      </c>
      <c r="G564" s="17" t="str">
        <f>data[[#This Row],[OriginCity]] &amp; " - "  &amp; data[[#This Row],[DestinationCity]]</f>
        <v>Davenport - Appleton</v>
      </c>
      <c r="H564" s="17" t="s">
        <v>105</v>
      </c>
      <c r="I564" s="17" t="s">
        <v>106</v>
      </c>
      <c r="J564" s="17">
        <v>5</v>
      </c>
      <c r="K564" s="17" t="s">
        <v>85</v>
      </c>
      <c r="L564" s="17" t="s">
        <v>29</v>
      </c>
      <c r="M564" s="17" t="s">
        <v>620</v>
      </c>
      <c r="N564" s="17">
        <v>1104</v>
      </c>
      <c r="O564" s="17">
        <v>679</v>
      </c>
      <c r="P564" s="26">
        <f>(data[[#This Row],[LoadedMiles]]/data[[#This Row],[TotalMiles]])*100</f>
        <v>61.503623188405797</v>
      </c>
      <c r="Q564" s="25">
        <f>data[[#This Row],[ShippingCost]]/data[[#This Row],[TotalMiles]]</f>
        <v>6.2780797101449277</v>
      </c>
      <c r="R564" s="17">
        <v>6931</v>
      </c>
      <c r="S564" s="25">
        <f>data[[#This Row],[Revenue]]/data[[#This Row],[TotalMiles]]</f>
        <v>6.9429347826086953</v>
      </c>
      <c r="T564" s="26">
        <f>data[[#This Row],[Revenue]]-data[[#This Row],[ShippingCost]]</f>
        <v>734</v>
      </c>
      <c r="U564" s="17">
        <v>7665</v>
      </c>
      <c r="V564" s="17">
        <v>89</v>
      </c>
      <c r="W564" s="17" t="s">
        <v>68</v>
      </c>
      <c r="X564" s="17">
        <v>5</v>
      </c>
      <c r="Y564" s="17">
        <f>data[[#This Row],[DeliveryDate]]-data[[#This Row],[ShipDate]]</f>
        <v>5</v>
      </c>
      <c r="Z564" s="17" t="str">
        <f>IF(data[[#This Row],[Actual Delivery Days]]&gt;AD565,"Yes","No")</f>
        <v>Yes</v>
      </c>
    </row>
    <row r="565" spans="1:26">
      <c r="A565" s="17">
        <v>10495</v>
      </c>
      <c r="B565" s="17">
        <v>2</v>
      </c>
      <c r="C565" s="17">
        <v>5</v>
      </c>
      <c r="D565" s="17" t="s">
        <v>489</v>
      </c>
      <c r="E565" s="17" t="s">
        <v>301</v>
      </c>
      <c r="F565" s="17" t="str">
        <f>TEXT(data[[#This Row],[ShipDate]],"yyyy - mmmm")</f>
        <v>2016 - August</v>
      </c>
      <c r="G565" s="17" t="str">
        <f>data[[#This Row],[OriginCity]] &amp; " - "  &amp; data[[#This Row],[DestinationCity]]</f>
        <v>Detriot - Monon</v>
      </c>
      <c r="H565" s="17" t="s">
        <v>52</v>
      </c>
      <c r="I565" s="17" t="s">
        <v>21</v>
      </c>
      <c r="J565" s="17">
        <v>5</v>
      </c>
      <c r="K565" s="17" t="s">
        <v>53</v>
      </c>
      <c r="L565" s="17" t="s">
        <v>44</v>
      </c>
      <c r="M565" s="17" t="s">
        <v>138</v>
      </c>
      <c r="N565" s="17">
        <v>632</v>
      </c>
      <c r="O565" s="17">
        <v>238</v>
      </c>
      <c r="P565" s="26">
        <f>(data[[#This Row],[LoadedMiles]]/data[[#This Row],[TotalMiles]])*100</f>
        <v>37.658227848101269</v>
      </c>
      <c r="Q565" s="25">
        <f>data[[#This Row],[ShippingCost]]/data[[#This Row],[TotalMiles]]</f>
        <v>5.1534810126582276</v>
      </c>
      <c r="R565" s="17">
        <v>3257</v>
      </c>
      <c r="S565" s="25">
        <f>data[[#This Row],[Revenue]]/data[[#This Row],[TotalMiles]]</f>
        <v>5.7674050632911396</v>
      </c>
      <c r="T565" s="26">
        <f>data[[#This Row],[Revenue]]-data[[#This Row],[ShippingCost]]</f>
        <v>388</v>
      </c>
      <c r="U565" s="17">
        <v>3645</v>
      </c>
      <c r="V565" s="17">
        <v>80</v>
      </c>
      <c r="W565" s="17" t="s">
        <v>68</v>
      </c>
      <c r="X565" s="17">
        <v>1</v>
      </c>
      <c r="Y565" s="17">
        <f>data[[#This Row],[DeliveryDate]]-data[[#This Row],[ShipDate]]</f>
        <v>4</v>
      </c>
      <c r="Z565" s="17" t="str">
        <f>IF(data[[#This Row],[Actual Delivery Days]]&gt;AD566,"Yes","No")</f>
        <v>Yes</v>
      </c>
    </row>
    <row r="566" spans="1:26">
      <c r="A566" s="17">
        <v>10509</v>
      </c>
      <c r="B566" s="17">
        <v>1</v>
      </c>
      <c r="C566" s="17">
        <v>8</v>
      </c>
      <c r="D566" s="17" t="s">
        <v>507</v>
      </c>
      <c r="E566" s="17" t="s">
        <v>418</v>
      </c>
      <c r="F566" s="17" t="str">
        <f>TEXT(data[[#This Row],[ShipDate]],"yyyy - mmmm")</f>
        <v>2016 - April</v>
      </c>
      <c r="G566" s="17" t="str">
        <f>data[[#This Row],[OriginCity]] &amp; " - "  &amp; data[[#This Row],[DestinationCity]]</f>
        <v>Skokie - Chicago</v>
      </c>
      <c r="H566" s="17" t="s">
        <v>35</v>
      </c>
      <c r="I566" s="17" t="s">
        <v>31</v>
      </c>
      <c r="J566" s="17">
        <v>5</v>
      </c>
      <c r="K566" s="17" t="s">
        <v>39</v>
      </c>
      <c r="L566" s="17" t="s">
        <v>31</v>
      </c>
      <c r="M566" s="17" t="s">
        <v>82</v>
      </c>
      <c r="N566" s="17">
        <v>653</v>
      </c>
      <c r="O566" s="17">
        <v>624</v>
      </c>
      <c r="P566" s="26">
        <f>(data[[#This Row],[LoadedMiles]]/data[[#This Row],[TotalMiles]])*100</f>
        <v>95.558958652373661</v>
      </c>
      <c r="Q566" s="25">
        <f>data[[#This Row],[ShippingCost]]/data[[#This Row],[TotalMiles]]</f>
        <v>5.2710566615620218</v>
      </c>
      <c r="R566" s="17">
        <v>3442</v>
      </c>
      <c r="S566" s="25">
        <f>data[[#This Row],[Revenue]]/data[[#This Row],[TotalMiles]]</f>
        <v>6.269525267993874</v>
      </c>
      <c r="T566" s="26">
        <f>data[[#This Row],[Revenue]]-data[[#This Row],[ShippingCost]]</f>
        <v>652</v>
      </c>
      <c r="U566" s="17">
        <v>4094</v>
      </c>
      <c r="V566" s="17">
        <v>66</v>
      </c>
      <c r="W566" s="17" t="s">
        <v>68</v>
      </c>
      <c r="X566" s="17">
        <v>1</v>
      </c>
      <c r="Y566" s="17">
        <f>data[[#This Row],[DeliveryDate]]-data[[#This Row],[ShipDate]]</f>
        <v>-26</v>
      </c>
      <c r="Z566" s="17" t="str">
        <f>IF(data[[#This Row],[Actual Delivery Days]]&gt;AD567,"Yes","No")</f>
        <v>No</v>
      </c>
    </row>
    <row r="567" spans="1:26">
      <c r="A567" s="17">
        <v>10559</v>
      </c>
      <c r="B567" s="17">
        <v>1</v>
      </c>
      <c r="C567" s="17">
        <v>4</v>
      </c>
      <c r="D567" s="17" t="s">
        <v>577</v>
      </c>
      <c r="E567" s="17" t="s">
        <v>404</v>
      </c>
      <c r="F567" s="17" t="str">
        <f>TEXT(data[[#This Row],[ShipDate]],"yyyy - mmmm")</f>
        <v>2016 - July</v>
      </c>
      <c r="G567" s="17" t="str">
        <f>data[[#This Row],[OriginCity]] &amp; " - "  &amp; data[[#This Row],[DestinationCity]]</f>
        <v>Detriot - Monon</v>
      </c>
      <c r="H567" s="17" t="s">
        <v>52</v>
      </c>
      <c r="I567" s="17" t="s">
        <v>21</v>
      </c>
      <c r="J567" s="17">
        <v>5</v>
      </c>
      <c r="K567" s="17" t="s">
        <v>53</v>
      </c>
      <c r="L567" s="17" t="s">
        <v>44</v>
      </c>
      <c r="M567" s="17" t="s">
        <v>492</v>
      </c>
      <c r="N567" s="17">
        <v>272</v>
      </c>
      <c r="O567" s="17">
        <v>272</v>
      </c>
      <c r="P567" s="26">
        <f>(data[[#This Row],[LoadedMiles]]/data[[#This Row],[TotalMiles]])*100</f>
        <v>100</v>
      </c>
      <c r="Q567" s="25">
        <f>data[[#This Row],[ShippingCost]]/data[[#This Row],[TotalMiles]]</f>
        <v>25.977941176470587</v>
      </c>
      <c r="R567" s="17">
        <v>7066</v>
      </c>
      <c r="S567" s="25">
        <f>data[[#This Row],[Revenue]]/data[[#This Row],[TotalMiles]]</f>
        <v>16.371323529411764</v>
      </c>
      <c r="T567" s="26">
        <f>data[[#This Row],[Revenue]]-data[[#This Row],[ShippingCost]]</f>
        <v>-2613</v>
      </c>
      <c r="U567" s="17">
        <v>4453</v>
      </c>
      <c r="V567" s="17">
        <v>78</v>
      </c>
      <c r="W567" s="17" t="s">
        <v>68</v>
      </c>
      <c r="X567" s="17">
        <v>8</v>
      </c>
      <c r="Y567" s="17">
        <f>data[[#This Row],[DeliveryDate]]-data[[#This Row],[ShipDate]]</f>
        <v>5</v>
      </c>
      <c r="Z567" s="17" t="str">
        <f>IF(data[[#This Row],[Actual Delivery Days]]&gt;AD568,"Yes","No")</f>
        <v>Yes</v>
      </c>
    </row>
    <row r="568" spans="1:26">
      <c r="A568" s="17">
        <v>10596</v>
      </c>
      <c r="B568" s="17">
        <v>1</v>
      </c>
      <c r="C568" s="17">
        <v>4</v>
      </c>
      <c r="D568" s="17" t="s">
        <v>80</v>
      </c>
      <c r="E568" s="17" t="s">
        <v>152</v>
      </c>
      <c r="F568" s="17" t="str">
        <f>TEXT(data[[#This Row],[ShipDate]],"yyyy - mmmm")</f>
        <v>2016 - January</v>
      </c>
      <c r="G568" s="17" t="str">
        <f>data[[#This Row],[OriginCity]] &amp; " - "  &amp; data[[#This Row],[DestinationCity]]</f>
        <v>Skokie - Chicago</v>
      </c>
      <c r="H568" s="17" t="s">
        <v>35</v>
      </c>
      <c r="I568" s="17" t="s">
        <v>31</v>
      </c>
      <c r="J568" s="17">
        <v>5</v>
      </c>
      <c r="K568" s="17" t="s">
        <v>39</v>
      </c>
      <c r="L568" s="17" t="s">
        <v>31</v>
      </c>
      <c r="M568" s="17" t="s">
        <v>95</v>
      </c>
      <c r="N568" s="17">
        <v>1065</v>
      </c>
      <c r="O568" s="17">
        <v>488</v>
      </c>
      <c r="P568" s="26">
        <f>(data[[#This Row],[LoadedMiles]]/data[[#This Row],[TotalMiles]])*100</f>
        <v>45.821596244131456</v>
      </c>
      <c r="Q568" s="25">
        <f>data[[#This Row],[ShippingCost]]/data[[#This Row],[TotalMiles]]</f>
        <v>4.8788732394366194</v>
      </c>
      <c r="R568" s="17">
        <v>5196</v>
      </c>
      <c r="S568" s="25">
        <f>data[[#This Row],[Revenue]]/data[[#This Row],[TotalMiles]]</f>
        <v>3.1549295774647885</v>
      </c>
      <c r="T568" s="26">
        <f>data[[#This Row],[Revenue]]-data[[#This Row],[ShippingCost]]</f>
        <v>-1836</v>
      </c>
      <c r="U568" s="17">
        <v>3360</v>
      </c>
      <c r="V568" s="17">
        <v>84</v>
      </c>
      <c r="W568" s="17" t="s">
        <v>68</v>
      </c>
      <c r="X568" s="17">
        <v>1</v>
      </c>
      <c r="Y568" s="17">
        <f>data[[#This Row],[DeliveryDate]]-data[[#This Row],[ShipDate]]</f>
        <v>5</v>
      </c>
      <c r="Z568" s="17" t="str">
        <f>IF(data[[#This Row],[Actual Delivery Days]]&gt;AD569,"Yes","No")</f>
        <v>Yes</v>
      </c>
    </row>
    <row r="569" spans="1:26">
      <c r="A569" s="17">
        <v>10598</v>
      </c>
      <c r="B569" s="17">
        <v>2</v>
      </c>
      <c r="C569" s="17">
        <v>7</v>
      </c>
      <c r="D569" s="17" t="s">
        <v>87</v>
      </c>
      <c r="E569" s="17" t="s">
        <v>301</v>
      </c>
      <c r="F569" s="17" t="str">
        <f>TEXT(data[[#This Row],[ShipDate]],"yyyy - mmmm")</f>
        <v>2016 - August</v>
      </c>
      <c r="G569" s="17" t="str">
        <f>data[[#This Row],[OriginCity]] &amp; " - "  &amp; data[[#This Row],[DestinationCity]]</f>
        <v>Davenport - Appleton</v>
      </c>
      <c r="H569" s="17" t="s">
        <v>105</v>
      </c>
      <c r="I569" s="17" t="s">
        <v>106</v>
      </c>
      <c r="J569" s="17">
        <v>5</v>
      </c>
      <c r="K569" s="17" t="s">
        <v>85</v>
      </c>
      <c r="L569" s="17" t="s">
        <v>29</v>
      </c>
      <c r="M569" s="17" t="s">
        <v>118</v>
      </c>
      <c r="N569" s="17">
        <v>1036</v>
      </c>
      <c r="O569" s="17">
        <v>335</v>
      </c>
      <c r="P569" s="26">
        <f>(data[[#This Row],[LoadedMiles]]/data[[#This Row],[TotalMiles]])*100</f>
        <v>32.335907335907336</v>
      </c>
      <c r="Q569" s="25">
        <f>data[[#This Row],[ShippingCost]]/data[[#This Row],[TotalMiles]]</f>
        <v>6.1361003861003862</v>
      </c>
      <c r="R569" s="17">
        <v>6357</v>
      </c>
      <c r="S569" s="25">
        <f>data[[#This Row],[Revenue]]/data[[#This Row],[TotalMiles]]</f>
        <v>7.064671814671815</v>
      </c>
      <c r="T569" s="26">
        <f>data[[#This Row],[Revenue]]-data[[#This Row],[ShippingCost]]</f>
        <v>962</v>
      </c>
      <c r="U569" s="17">
        <v>7319</v>
      </c>
      <c r="V569" s="17">
        <v>90</v>
      </c>
      <c r="W569" s="17" t="s">
        <v>68</v>
      </c>
      <c r="X569" s="17">
        <v>1</v>
      </c>
      <c r="Y569" s="17">
        <f>data[[#This Row],[DeliveryDate]]-data[[#This Row],[ShipDate]]</f>
        <v>5</v>
      </c>
      <c r="Z569" s="17" t="str">
        <f>IF(data[[#This Row],[Actual Delivery Days]]&gt;AD570,"Yes","No")</f>
        <v>Yes</v>
      </c>
    </row>
    <row r="570" spans="1:26">
      <c r="A570" s="17">
        <v>10655</v>
      </c>
      <c r="B570" s="17">
        <v>2</v>
      </c>
      <c r="C570" s="17">
        <v>6</v>
      </c>
      <c r="D570" s="17" t="s">
        <v>239</v>
      </c>
      <c r="E570" s="17" t="s">
        <v>416</v>
      </c>
      <c r="F570" s="17" t="str">
        <f>TEXT(data[[#This Row],[ShipDate]],"yyyy - mmmm")</f>
        <v>2016 - August</v>
      </c>
      <c r="G570" s="17" t="str">
        <f>data[[#This Row],[OriginCity]] &amp; " - "  &amp; data[[#This Row],[DestinationCity]]</f>
        <v>Green Bay - Joliet</v>
      </c>
      <c r="H570" s="17" t="s">
        <v>75</v>
      </c>
      <c r="I570" s="17" t="s">
        <v>29</v>
      </c>
      <c r="J570" s="17">
        <v>5</v>
      </c>
      <c r="K570" s="17" t="s">
        <v>61</v>
      </c>
      <c r="L570" s="17" t="s">
        <v>31</v>
      </c>
      <c r="M570" s="17" t="s">
        <v>408</v>
      </c>
      <c r="N570" s="17">
        <v>308</v>
      </c>
      <c r="O570" s="17">
        <v>308</v>
      </c>
      <c r="P570" s="26">
        <f>(data[[#This Row],[LoadedMiles]]/data[[#This Row],[TotalMiles]])*100</f>
        <v>100</v>
      </c>
      <c r="Q570" s="25">
        <f>data[[#This Row],[ShippingCost]]/data[[#This Row],[TotalMiles]]</f>
        <v>23.61038961038961</v>
      </c>
      <c r="R570" s="17">
        <v>7272</v>
      </c>
      <c r="S570" s="25">
        <f>data[[#This Row],[Revenue]]/data[[#This Row],[TotalMiles]]</f>
        <v>26.175324675324674</v>
      </c>
      <c r="T570" s="26">
        <f>data[[#This Row],[Revenue]]-data[[#This Row],[ShippingCost]]</f>
        <v>790</v>
      </c>
      <c r="U570" s="17">
        <v>8062</v>
      </c>
      <c r="V570" s="17">
        <v>86</v>
      </c>
      <c r="W570" s="17" t="s">
        <v>68</v>
      </c>
      <c r="X570" s="17">
        <v>2</v>
      </c>
      <c r="Y570" s="17">
        <f>data[[#This Row],[DeliveryDate]]-data[[#This Row],[ShipDate]]</f>
        <v>5</v>
      </c>
      <c r="Z570" s="17" t="str">
        <f>IF(data[[#This Row],[Actual Delivery Days]]&gt;AD571,"Yes","No")</f>
        <v>Yes</v>
      </c>
    </row>
    <row r="571" spans="1:26">
      <c r="A571" s="17">
        <v>10672</v>
      </c>
      <c r="B571" s="17">
        <v>1</v>
      </c>
      <c r="C571" s="17">
        <v>6</v>
      </c>
      <c r="D571" s="17" t="s">
        <v>275</v>
      </c>
      <c r="E571" s="17" t="s">
        <v>302</v>
      </c>
      <c r="F571" s="17" t="str">
        <f>TEXT(data[[#This Row],[ShipDate]],"yyyy - mmmm")</f>
        <v>2016 - August</v>
      </c>
      <c r="G571" s="17" t="str">
        <f>data[[#This Row],[OriginCity]] &amp; " - "  &amp; data[[#This Row],[DestinationCity]]</f>
        <v>Northbrook - Naperville</v>
      </c>
      <c r="H571" s="17" t="s">
        <v>45</v>
      </c>
      <c r="I571" s="17" t="s">
        <v>31</v>
      </c>
      <c r="J571" s="17">
        <v>5</v>
      </c>
      <c r="K571" s="17" t="s">
        <v>48</v>
      </c>
      <c r="L571" s="17" t="s">
        <v>31</v>
      </c>
      <c r="M571" s="17" t="s">
        <v>119</v>
      </c>
      <c r="N571" s="17">
        <v>437</v>
      </c>
      <c r="O571" s="17">
        <v>437</v>
      </c>
      <c r="P571" s="26">
        <f>(data[[#This Row],[LoadedMiles]]/data[[#This Row],[TotalMiles]])*100</f>
        <v>100</v>
      </c>
      <c r="Q571" s="25">
        <f>data[[#This Row],[ShippingCost]]/data[[#This Row],[TotalMiles]]</f>
        <v>6.0457665903890163</v>
      </c>
      <c r="R571" s="17">
        <v>2642</v>
      </c>
      <c r="S571" s="25">
        <f>data[[#This Row],[Revenue]]/data[[#This Row],[TotalMiles]]</f>
        <v>7.9199084668192219</v>
      </c>
      <c r="T571" s="26">
        <f>data[[#This Row],[Revenue]]-data[[#This Row],[ShippingCost]]</f>
        <v>819</v>
      </c>
      <c r="U571" s="17">
        <v>3461</v>
      </c>
      <c r="V571" s="17">
        <v>87</v>
      </c>
      <c r="W571" s="17" t="s">
        <v>68</v>
      </c>
      <c r="X571" s="17">
        <v>4</v>
      </c>
      <c r="Y571" s="17">
        <f>data[[#This Row],[DeliveryDate]]-data[[#This Row],[ShipDate]]</f>
        <v>5</v>
      </c>
      <c r="Z571" s="17" t="str">
        <f>IF(data[[#This Row],[Actual Delivery Days]]&gt;AD572,"Yes","No")</f>
        <v>Yes</v>
      </c>
    </row>
    <row r="572" spans="1:26">
      <c r="A572" s="17">
        <v>10673</v>
      </c>
      <c r="B572" s="17">
        <v>1</v>
      </c>
      <c r="C572" s="17">
        <v>5</v>
      </c>
      <c r="D572" s="17" t="s">
        <v>277</v>
      </c>
      <c r="E572" s="17" t="s">
        <v>112</v>
      </c>
      <c r="F572" s="17" t="str">
        <f>TEXT(data[[#This Row],[ShipDate]],"yyyy - mmmm")</f>
        <v>2016 - January</v>
      </c>
      <c r="G572" s="17" t="str">
        <f>data[[#This Row],[OriginCity]] &amp; " - "  &amp; data[[#This Row],[DestinationCity]]</f>
        <v>Gary - Milwaukee</v>
      </c>
      <c r="H572" s="17" t="s">
        <v>57</v>
      </c>
      <c r="I572" s="17" t="s">
        <v>44</v>
      </c>
      <c r="J572" s="17">
        <v>5</v>
      </c>
      <c r="K572" s="17" t="s">
        <v>28</v>
      </c>
      <c r="L572" s="17" t="s">
        <v>29</v>
      </c>
      <c r="M572" s="17" t="s">
        <v>70</v>
      </c>
      <c r="N572" s="17">
        <v>1071</v>
      </c>
      <c r="O572" s="17">
        <v>546</v>
      </c>
      <c r="P572" s="26">
        <f>(data[[#This Row],[LoadedMiles]]/data[[#This Row],[TotalMiles]])*100</f>
        <v>50.980392156862742</v>
      </c>
      <c r="Q572" s="25">
        <f>data[[#This Row],[ShippingCost]]/data[[#This Row],[TotalMiles]]</f>
        <v>8.0326797385620914</v>
      </c>
      <c r="R572" s="17">
        <v>8603</v>
      </c>
      <c r="S572" s="25">
        <f>data[[#This Row],[Revenue]]/data[[#This Row],[TotalMiles]]</f>
        <v>8.2324929971988787</v>
      </c>
      <c r="T572" s="26">
        <f>data[[#This Row],[Revenue]]-data[[#This Row],[ShippingCost]]</f>
        <v>214</v>
      </c>
      <c r="U572" s="17">
        <v>8817</v>
      </c>
      <c r="V572" s="17">
        <v>91</v>
      </c>
      <c r="W572" s="17" t="s">
        <v>68</v>
      </c>
      <c r="X572" s="17">
        <v>6</v>
      </c>
      <c r="Y572" s="17">
        <f>data[[#This Row],[DeliveryDate]]-data[[#This Row],[ShipDate]]</f>
        <v>5</v>
      </c>
      <c r="Z572" s="17" t="str">
        <f>IF(data[[#This Row],[Actual Delivery Days]]&gt;AD573,"Yes","No")</f>
        <v>Yes</v>
      </c>
    </row>
    <row r="573" spans="1:26">
      <c r="A573" s="17">
        <v>10680</v>
      </c>
      <c r="B573" s="17">
        <v>2</v>
      </c>
      <c r="C573" s="17">
        <v>8</v>
      </c>
      <c r="D573" s="17" t="s">
        <v>294</v>
      </c>
      <c r="E573" s="17" t="s">
        <v>224</v>
      </c>
      <c r="F573" s="17" t="str">
        <f>TEXT(data[[#This Row],[ShipDate]],"yyyy - mmmm")</f>
        <v>2016 - May</v>
      </c>
      <c r="G573" s="17" t="str">
        <f>data[[#This Row],[OriginCity]] &amp; " - "  &amp; data[[#This Row],[DestinationCity]]</f>
        <v>Cincinnati - Gary</v>
      </c>
      <c r="H573" s="17" t="s">
        <v>89</v>
      </c>
      <c r="I573" s="17" t="s">
        <v>23</v>
      </c>
      <c r="J573" s="17">
        <v>5</v>
      </c>
      <c r="K573" s="17" t="s">
        <v>57</v>
      </c>
      <c r="L573" s="17" t="s">
        <v>44</v>
      </c>
      <c r="M573" s="17" t="s">
        <v>348</v>
      </c>
      <c r="N573" s="17">
        <v>468</v>
      </c>
      <c r="O573" s="17">
        <v>468</v>
      </c>
      <c r="P573" s="26">
        <f>(data[[#This Row],[LoadedMiles]]/data[[#This Row],[TotalMiles]])*100</f>
        <v>100</v>
      </c>
      <c r="Q573" s="25">
        <f>data[[#This Row],[ShippingCost]]/data[[#This Row],[TotalMiles]]</f>
        <v>6.3226495726495724</v>
      </c>
      <c r="R573" s="17">
        <v>2959</v>
      </c>
      <c r="S573" s="25">
        <f>data[[#This Row],[Revenue]]/data[[#This Row],[TotalMiles]]</f>
        <v>6.6538461538461542</v>
      </c>
      <c r="T573" s="26">
        <f>data[[#This Row],[Revenue]]-data[[#This Row],[ShippingCost]]</f>
        <v>155</v>
      </c>
      <c r="U573" s="17">
        <v>3114</v>
      </c>
      <c r="V573" s="17">
        <v>88</v>
      </c>
      <c r="W573" s="17" t="s">
        <v>68</v>
      </c>
      <c r="X573" s="17">
        <v>2</v>
      </c>
      <c r="Y573" s="17">
        <f>data[[#This Row],[DeliveryDate]]-data[[#This Row],[ShipDate]]</f>
        <v>2</v>
      </c>
      <c r="Z573" s="17" t="str">
        <f>IF(data[[#This Row],[Actual Delivery Days]]&gt;AD574,"Yes","No")</f>
        <v>Yes</v>
      </c>
    </row>
    <row r="574" spans="1:26">
      <c r="A574" s="17">
        <v>10708</v>
      </c>
      <c r="B574" s="17">
        <v>1</v>
      </c>
      <c r="C574" s="17">
        <v>7</v>
      </c>
      <c r="D574" s="17" t="s">
        <v>345</v>
      </c>
      <c r="E574" s="17" t="s">
        <v>542</v>
      </c>
      <c r="F574" s="17" t="str">
        <f>TEXT(data[[#This Row],[ShipDate]],"yyyy - mmmm")</f>
        <v>2016 - June</v>
      </c>
      <c r="G574" s="17" t="str">
        <f>data[[#This Row],[OriginCity]] &amp; " - "  &amp; data[[#This Row],[DestinationCity]]</f>
        <v>Skokie - Chicago</v>
      </c>
      <c r="H574" s="17" t="s">
        <v>35</v>
      </c>
      <c r="I574" s="17" t="s">
        <v>31</v>
      </c>
      <c r="J574" s="17">
        <v>5</v>
      </c>
      <c r="K574" s="17" t="s">
        <v>39</v>
      </c>
      <c r="L574" s="17" t="s">
        <v>31</v>
      </c>
      <c r="M574" s="17" t="s">
        <v>498</v>
      </c>
      <c r="N574" s="17">
        <v>697</v>
      </c>
      <c r="O574" s="17">
        <v>346</v>
      </c>
      <c r="P574" s="26">
        <f>(data[[#This Row],[LoadedMiles]]/data[[#This Row],[TotalMiles]])*100</f>
        <v>49.64131994261119</v>
      </c>
      <c r="Q574" s="25">
        <f>data[[#This Row],[ShippingCost]]/data[[#This Row],[TotalMiles]]</f>
        <v>3.2883787661406028</v>
      </c>
      <c r="R574" s="17">
        <v>2292</v>
      </c>
      <c r="S574" s="25">
        <f>data[[#This Row],[Revenue]]/data[[#This Row],[TotalMiles]]</f>
        <v>3.453371592539455</v>
      </c>
      <c r="T574" s="26">
        <f>data[[#This Row],[Revenue]]-data[[#This Row],[ShippingCost]]</f>
        <v>115</v>
      </c>
      <c r="U574" s="17">
        <v>2407</v>
      </c>
      <c r="V574" s="17">
        <v>80</v>
      </c>
      <c r="W574" s="17" t="s">
        <v>68</v>
      </c>
      <c r="X574" s="17">
        <v>1</v>
      </c>
      <c r="Y574" s="17">
        <f>data[[#This Row],[DeliveryDate]]-data[[#This Row],[ShipDate]]</f>
        <v>5</v>
      </c>
      <c r="Z574" s="17" t="str">
        <f>IF(data[[#This Row],[Actual Delivery Days]]&gt;AD575,"Yes","No")</f>
        <v>Yes</v>
      </c>
    </row>
    <row r="575" spans="1:26">
      <c r="A575" s="17">
        <v>10710</v>
      </c>
      <c r="B575" s="17">
        <v>2</v>
      </c>
      <c r="C575" s="17">
        <v>6</v>
      </c>
      <c r="D575" s="17" t="s">
        <v>347</v>
      </c>
      <c r="E575" s="17" t="s">
        <v>54</v>
      </c>
      <c r="F575" s="17" t="str">
        <f>TEXT(data[[#This Row],[ShipDate]],"yyyy - mmmm")</f>
        <v>2016 - April</v>
      </c>
      <c r="G575" s="17" t="str">
        <f>data[[#This Row],[OriginCity]] &amp; " - "  &amp; data[[#This Row],[DestinationCity]]</f>
        <v>Davenport - Appleton</v>
      </c>
      <c r="H575" s="17" t="s">
        <v>105</v>
      </c>
      <c r="I575" s="17" t="s">
        <v>106</v>
      </c>
      <c r="J575" s="17">
        <v>5</v>
      </c>
      <c r="K575" s="17" t="s">
        <v>85</v>
      </c>
      <c r="L575" s="17" t="s">
        <v>29</v>
      </c>
      <c r="M575" s="17" t="s">
        <v>623</v>
      </c>
      <c r="N575" s="17">
        <v>766</v>
      </c>
      <c r="O575" s="17">
        <v>536</v>
      </c>
      <c r="P575" s="26">
        <f>(data[[#This Row],[LoadedMiles]]/data[[#This Row],[TotalMiles]])*100</f>
        <v>69.973890339425594</v>
      </c>
      <c r="Q575" s="25">
        <f>data[[#This Row],[ShippingCost]]/data[[#This Row],[TotalMiles]]</f>
        <v>1.7154046997389034</v>
      </c>
      <c r="R575" s="17">
        <v>1314</v>
      </c>
      <c r="S575" s="25">
        <f>data[[#This Row],[Revenue]]/data[[#This Row],[TotalMiles]]</f>
        <v>2.9033942558746735</v>
      </c>
      <c r="T575" s="26">
        <f>data[[#This Row],[Revenue]]-data[[#This Row],[ShippingCost]]</f>
        <v>910</v>
      </c>
      <c r="U575" s="17">
        <v>2224</v>
      </c>
      <c r="V575" s="17">
        <v>80</v>
      </c>
      <c r="W575" s="17" t="s">
        <v>68</v>
      </c>
      <c r="X575" s="17">
        <v>4</v>
      </c>
      <c r="Y575" s="17">
        <f>data[[#This Row],[DeliveryDate]]-data[[#This Row],[ShipDate]]</f>
        <v>5</v>
      </c>
      <c r="Z575" s="17" t="str">
        <f>IF(data[[#This Row],[Actual Delivery Days]]&gt;AD576,"Yes","No")</f>
        <v>Yes</v>
      </c>
    </row>
    <row r="576" spans="1:26">
      <c r="A576" s="17">
        <v>10717</v>
      </c>
      <c r="B576" s="17">
        <v>1</v>
      </c>
      <c r="C576" s="17">
        <v>6</v>
      </c>
      <c r="D576" s="17" t="s">
        <v>330</v>
      </c>
      <c r="E576" s="17" t="s">
        <v>79</v>
      </c>
      <c r="F576" s="17" t="str">
        <f>TEXT(data[[#This Row],[ShipDate]],"yyyy - mmmm")</f>
        <v>2016 - June</v>
      </c>
      <c r="G576" s="17" t="str">
        <f>data[[#This Row],[OriginCity]] &amp; " - "  &amp; data[[#This Row],[DestinationCity]]</f>
        <v>Gary - Milwaukee</v>
      </c>
      <c r="H576" s="17" t="s">
        <v>57</v>
      </c>
      <c r="I576" s="17" t="s">
        <v>44</v>
      </c>
      <c r="J576" s="17">
        <v>5</v>
      </c>
      <c r="K576" s="17" t="s">
        <v>28</v>
      </c>
      <c r="L576" s="17" t="s">
        <v>29</v>
      </c>
      <c r="M576" s="17" t="s">
        <v>176</v>
      </c>
      <c r="N576" s="17">
        <v>479</v>
      </c>
      <c r="O576" s="17">
        <v>479</v>
      </c>
      <c r="P576" s="26">
        <f>(data[[#This Row],[LoadedMiles]]/data[[#This Row],[TotalMiles]])*100</f>
        <v>100</v>
      </c>
      <c r="Q576" s="25">
        <f>data[[#This Row],[ShippingCost]]/data[[#This Row],[TotalMiles]]</f>
        <v>3.1691022964509394</v>
      </c>
      <c r="R576" s="17">
        <v>1518</v>
      </c>
      <c r="S576" s="25">
        <f>data[[#This Row],[Revenue]]/data[[#This Row],[TotalMiles]]</f>
        <v>4.5198329853862216</v>
      </c>
      <c r="T576" s="26">
        <f>data[[#This Row],[Revenue]]-data[[#This Row],[ShippingCost]]</f>
        <v>647</v>
      </c>
      <c r="U576" s="17">
        <v>2165</v>
      </c>
      <c r="V576" s="17">
        <v>77</v>
      </c>
      <c r="W576" s="17" t="s">
        <v>68</v>
      </c>
      <c r="X576" s="17">
        <v>2</v>
      </c>
      <c r="Y576" s="17">
        <f>data[[#This Row],[DeliveryDate]]-data[[#This Row],[ShipDate]]</f>
        <v>3</v>
      </c>
      <c r="Z576" s="17" t="str">
        <f>IF(data[[#This Row],[Actual Delivery Days]]&gt;AD577,"Yes","No")</f>
        <v>Yes</v>
      </c>
    </row>
    <row r="577" spans="1:26">
      <c r="A577" s="17">
        <v>10729</v>
      </c>
      <c r="B577" s="17">
        <v>1</v>
      </c>
      <c r="C577" s="17">
        <v>5</v>
      </c>
      <c r="D577" s="17" t="s">
        <v>382</v>
      </c>
      <c r="E577" s="17" t="s">
        <v>168</v>
      </c>
      <c r="F577" s="17" t="str">
        <f>TEXT(data[[#This Row],[ShipDate]],"yyyy - mmmm")</f>
        <v>2016 - February</v>
      </c>
      <c r="G577" s="17" t="str">
        <f>data[[#This Row],[OriginCity]] &amp; " - "  &amp; data[[#This Row],[DestinationCity]]</f>
        <v>Elgin - Cincinnati</v>
      </c>
      <c r="H577" s="17" t="s">
        <v>94</v>
      </c>
      <c r="I577" s="17" t="s">
        <v>31</v>
      </c>
      <c r="J577" s="17">
        <v>5</v>
      </c>
      <c r="K577" s="17" t="s">
        <v>89</v>
      </c>
      <c r="L577" s="17" t="s">
        <v>23</v>
      </c>
      <c r="M577" s="17" t="s">
        <v>74</v>
      </c>
      <c r="N577" s="17">
        <v>609</v>
      </c>
      <c r="O577" s="17">
        <v>376</v>
      </c>
      <c r="P577" s="26">
        <f>(data[[#This Row],[LoadedMiles]]/data[[#This Row],[TotalMiles]])*100</f>
        <v>61.740558292282429</v>
      </c>
      <c r="Q577" s="25">
        <f>data[[#This Row],[ShippingCost]]/data[[#This Row],[TotalMiles]]</f>
        <v>5.6699507389162562</v>
      </c>
      <c r="R577" s="17">
        <v>3453</v>
      </c>
      <c r="S577" s="25">
        <f>data[[#This Row],[Revenue]]/data[[#This Row],[TotalMiles]]</f>
        <v>6.4466338259441711</v>
      </c>
      <c r="T577" s="26">
        <f>data[[#This Row],[Revenue]]-data[[#This Row],[ShippingCost]]</f>
        <v>473</v>
      </c>
      <c r="U577" s="17">
        <v>3926</v>
      </c>
      <c r="V577" s="17">
        <v>94</v>
      </c>
      <c r="W577" s="17" t="s">
        <v>68</v>
      </c>
      <c r="X577" s="17">
        <v>5</v>
      </c>
      <c r="Y577" s="17">
        <f>data[[#This Row],[DeliveryDate]]-data[[#This Row],[ShipDate]]</f>
        <v>5</v>
      </c>
      <c r="Z577" s="17" t="str">
        <f>IF(data[[#This Row],[Actual Delivery Days]]&gt;AD578,"Yes","No")</f>
        <v>Yes</v>
      </c>
    </row>
    <row r="578" spans="1:26">
      <c r="A578" s="17">
        <v>10746</v>
      </c>
      <c r="B578" s="17">
        <v>1</v>
      </c>
      <c r="C578" s="17">
        <v>5</v>
      </c>
      <c r="D578" s="17" t="s">
        <v>414</v>
      </c>
      <c r="E578" s="17" t="s">
        <v>136</v>
      </c>
      <c r="F578" s="17" t="str">
        <f>TEXT(data[[#This Row],[ShipDate]],"yyyy - mmmm")</f>
        <v>2016 - June</v>
      </c>
      <c r="G578" s="17" t="str">
        <f>data[[#This Row],[OriginCity]] &amp; " - "  &amp; data[[#This Row],[DestinationCity]]</f>
        <v>Toledo - Detriot</v>
      </c>
      <c r="H578" s="17" t="s">
        <v>22</v>
      </c>
      <c r="I578" s="17" t="s">
        <v>23</v>
      </c>
      <c r="J578" s="17">
        <v>5</v>
      </c>
      <c r="K578" s="17" t="s">
        <v>52</v>
      </c>
      <c r="L578" s="17" t="s">
        <v>21</v>
      </c>
      <c r="M578" s="17" t="s">
        <v>82</v>
      </c>
      <c r="N578" s="17">
        <v>863</v>
      </c>
      <c r="O578" s="17">
        <v>636</v>
      </c>
      <c r="P578" s="26">
        <f>(data[[#This Row],[LoadedMiles]]/data[[#This Row],[TotalMiles]])*100</f>
        <v>73.696407879490152</v>
      </c>
      <c r="Q578" s="25">
        <f>data[[#This Row],[ShippingCost]]/data[[#This Row],[TotalMiles]]</f>
        <v>8.8922363847045194</v>
      </c>
      <c r="R578" s="17">
        <v>7674</v>
      </c>
      <c r="S578" s="25">
        <f>data[[#This Row],[Revenue]]/data[[#This Row],[TotalMiles]]</f>
        <v>10.0162224797219</v>
      </c>
      <c r="T578" s="26">
        <f>data[[#This Row],[Revenue]]-data[[#This Row],[ShippingCost]]</f>
        <v>970</v>
      </c>
      <c r="U578" s="17">
        <v>8644</v>
      </c>
      <c r="V578" s="17">
        <v>75</v>
      </c>
      <c r="W578" s="17" t="s">
        <v>68</v>
      </c>
      <c r="X578" s="17">
        <v>6</v>
      </c>
      <c r="Y578" s="17">
        <f>data[[#This Row],[DeliveryDate]]-data[[#This Row],[ShipDate]]</f>
        <v>-84</v>
      </c>
      <c r="Z578" s="17" t="str">
        <f>IF(data[[#This Row],[Actual Delivery Days]]&gt;AD579,"Yes","No")</f>
        <v>No</v>
      </c>
    </row>
    <row r="579" spans="1:26">
      <c r="A579" s="17">
        <v>10761</v>
      </c>
      <c r="B579" s="17">
        <v>2</v>
      </c>
      <c r="C579" s="17">
        <v>6</v>
      </c>
      <c r="D579" s="17" t="s">
        <v>442</v>
      </c>
      <c r="E579" s="17" t="s">
        <v>453</v>
      </c>
      <c r="F579" s="17" t="str">
        <f>TEXT(data[[#This Row],[ShipDate]],"yyyy - mmmm")</f>
        <v>2016 - March</v>
      </c>
      <c r="G579" s="17" t="str">
        <f>data[[#This Row],[OriginCity]] &amp; " - "  &amp; data[[#This Row],[DestinationCity]]</f>
        <v>Green Bay - Joliet</v>
      </c>
      <c r="H579" s="17" t="s">
        <v>75</v>
      </c>
      <c r="I579" s="17" t="s">
        <v>29</v>
      </c>
      <c r="J579" s="17">
        <v>5</v>
      </c>
      <c r="K579" s="17" t="s">
        <v>61</v>
      </c>
      <c r="L579" s="17" t="s">
        <v>31</v>
      </c>
      <c r="M579" s="17" t="s">
        <v>200</v>
      </c>
      <c r="N579" s="17">
        <v>963</v>
      </c>
      <c r="O579" s="17">
        <v>227</v>
      </c>
      <c r="P579" s="26">
        <f>(data[[#This Row],[LoadedMiles]]/data[[#This Row],[TotalMiles]])*100</f>
        <v>23.572170301142265</v>
      </c>
      <c r="Q579" s="25">
        <f>data[[#This Row],[ShippingCost]]/data[[#This Row],[TotalMiles]]</f>
        <v>6.2211838006230531</v>
      </c>
      <c r="R579" s="17">
        <v>5991</v>
      </c>
      <c r="S579" s="25">
        <f>data[[#This Row],[Revenue]]/data[[#This Row],[TotalMiles]]</f>
        <v>6.4818276220145377</v>
      </c>
      <c r="T579" s="26">
        <f>data[[#This Row],[Revenue]]-data[[#This Row],[ShippingCost]]</f>
        <v>251</v>
      </c>
      <c r="U579" s="17">
        <v>6242</v>
      </c>
      <c r="V579" s="17">
        <v>94</v>
      </c>
      <c r="W579" s="17" t="s">
        <v>68</v>
      </c>
      <c r="X579" s="17">
        <v>7</v>
      </c>
      <c r="Y579" s="17">
        <f>data[[#This Row],[DeliveryDate]]-data[[#This Row],[ShipDate]]</f>
        <v>5</v>
      </c>
      <c r="Z579" s="17" t="str">
        <f>IF(data[[#This Row],[Actual Delivery Days]]&gt;AD580,"Yes","No")</f>
        <v>Yes</v>
      </c>
    </row>
    <row r="580" spans="1:26">
      <c r="A580" s="17">
        <v>10763</v>
      </c>
      <c r="B580" s="17">
        <v>2</v>
      </c>
      <c r="C580" s="17">
        <v>6</v>
      </c>
      <c r="D580" s="17" t="s">
        <v>445</v>
      </c>
      <c r="E580" s="17" t="s">
        <v>391</v>
      </c>
      <c r="F580" s="17" t="str">
        <f>TEXT(data[[#This Row],[ShipDate]],"yyyy - mmmm")</f>
        <v>2016 - March</v>
      </c>
      <c r="G580" s="17" t="str">
        <f>data[[#This Row],[OriginCity]] &amp; " - "  &amp; data[[#This Row],[DestinationCity]]</f>
        <v>Rockford - Green Bay</v>
      </c>
      <c r="H580" s="17" t="s">
        <v>40</v>
      </c>
      <c r="I580" s="17" t="s">
        <v>31</v>
      </c>
      <c r="J580" s="17">
        <v>5</v>
      </c>
      <c r="K580" s="17" t="s">
        <v>75</v>
      </c>
      <c r="L580" s="17" t="s">
        <v>29</v>
      </c>
      <c r="M580" s="17" t="s">
        <v>82</v>
      </c>
      <c r="N580" s="17">
        <v>568</v>
      </c>
      <c r="O580" s="17">
        <v>568</v>
      </c>
      <c r="P580" s="26">
        <f>(data[[#This Row],[LoadedMiles]]/data[[#This Row],[TotalMiles]])*100</f>
        <v>100</v>
      </c>
      <c r="Q580" s="25">
        <f>data[[#This Row],[ShippingCost]]/data[[#This Row],[TotalMiles]]</f>
        <v>14.628521126760564</v>
      </c>
      <c r="R580" s="17">
        <v>8309</v>
      </c>
      <c r="S580" s="25">
        <f>data[[#This Row],[Revenue]]/data[[#This Row],[TotalMiles]]</f>
        <v>14.97887323943662</v>
      </c>
      <c r="T580" s="26">
        <f>data[[#This Row],[Revenue]]-data[[#This Row],[ShippingCost]]</f>
        <v>199</v>
      </c>
      <c r="U580" s="17">
        <v>8508</v>
      </c>
      <c r="V580" s="17">
        <v>90</v>
      </c>
      <c r="W580" s="17" t="s">
        <v>68</v>
      </c>
      <c r="X580" s="17">
        <v>1</v>
      </c>
      <c r="Y580" s="17">
        <f>data[[#This Row],[DeliveryDate]]-data[[#This Row],[ShipDate]]</f>
        <v>17</v>
      </c>
      <c r="Z580" s="17" t="str">
        <f>IF(data[[#This Row],[Actual Delivery Days]]&gt;AD581,"Yes","No")</f>
        <v>Yes</v>
      </c>
    </row>
    <row r="581" spans="1:26">
      <c r="A581" s="17">
        <v>10798</v>
      </c>
      <c r="B581" s="17">
        <v>1</v>
      </c>
      <c r="C581" s="17">
        <v>4</v>
      </c>
      <c r="D581" s="17" t="s">
        <v>495</v>
      </c>
      <c r="E581" s="17" t="s">
        <v>613</v>
      </c>
      <c r="F581" s="17" t="str">
        <f>TEXT(data[[#This Row],[ShipDate]],"yyyy - mmmm")</f>
        <v>2016 - June</v>
      </c>
      <c r="G581" s="17" t="str">
        <f>data[[#This Row],[OriginCity]] &amp; " - "  &amp; data[[#This Row],[DestinationCity]]</f>
        <v>Chicago - Rockford</v>
      </c>
      <c r="H581" s="17" t="s">
        <v>39</v>
      </c>
      <c r="I581" s="17" t="s">
        <v>31</v>
      </c>
      <c r="J581" s="17">
        <v>5</v>
      </c>
      <c r="K581" s="17" t="s">
        <v>40</v>
      </c>
      <c r="L581" s="17" t="s">
        <v>31</v>
      </c>
      <c r="M581" s="17" t="s">
        <v>619</v>
      </c>
      <c r="N581" s="17">
        <v>322</v>
      </c>
      <c r="O581" s="17">
        <v>322</v>
      </c>
      <c r="P581" s="26">
        <f>(data[[#This Row],[LoadedMiles]]/data[[#This Row],[TotalMiles]])*100</f>
        <v>100</v>
      </c>
      <c r="Q581" s="25">
        <f>data[[#This Row],[ShippingCost]]/data[[#This Row],[TotalMiles]]</f>
        <v>19.785714285714285</v>
      </c>
      <c r="R581" s="17">
        <v>6371</v>
      </c>
      <c r="S581" s="25">
        <f>data[[#This Row],[Revenue]]/data[[#This Row],[TotalMiles]]</f>
        <v>15.307453416149068</v>
      </c>
      <c r="T581" s="26">
        <f>data[[#This Row],[Revenue]]-data[[#This Row],[ShippingCost]]</f>
        <v>-1442</v>
      </c>
      <c r="U581" s="17">
        <v>4929</v>
      </c>
      <c r="V581" s="17">
        <v>78</v>
      </c>
      <c r="W581" s="17" t="s">
        <v>68</v>
      </c>
      <c r="X581" s="17">
        <v>3</v>
      </c>
      <c r="Y581" s="17">
        <f>data[[#This Row],[DeliveryDate]]-data[[#This Row],[ShipDate]]</f>
        <v>5</v>
      </c>
      <c r="Z581" s="17" t="str">
        <f>IF(data[[#This Row],[Actual Delivery Days]]&gt;AD582,"Yes","No")</f>
        <v>Yes</v>
      </c>
    </row>
    <row r="582" spans="1:26">
      <c r="A582" s="17">
        <v>10805</v>
      </c>
      <c r="B582" s="17">
        <v>2</v>
      </c>
      <c r="C582" s="17">
        <v>8</v>
      </c>
      <c r="D582" s="17" t="s">
        <v>505</v>
      </c>
      <c r="E582" s="17" t="s">
        <v>567</v>
      </c>
      <c r="F582" s="17" t="str">
        <f>TEXT(data[[#This Row],[ShipDate]],"yyyy - mmmm")</f>
        <v>2016 - February</v>
      </c>
      <c r="G582" s="17" t="str">
        <f>data[[#This Row],[OriginCity]] &amp; " - "  &amp; data[[#This Row],[DestinationCity]]</f>
        <v>Green Bay - Joliet</v>
      </c>
      <c r="H582" s="17" t="s">
        <v>75</v>
      </c>
      <c r="I582" s="17" t="s">
        <v>29</v>
      </c>
      <c r="J582" s="17">
        <v>5</v>
      </c>
      <c r="K582" s="17" t="s">
        <v>61</v>
      </c>
      <c r="L582" s="17" t="s">
        <v>31</v>
      </c>
      <c r="M582" s="17" t="s">
        <v>90</v>
      </c>
      <c r="N582" s="17">
        <v>1111</v>
      </c>
      <c r="O582" s="17">
        <v>497</v>
      </c>
      <c r="P582" s="26">
        <f>(data[[#This Row],[LoadedMiles]]/data[[#This Row],[TotalMiles]])*100</f>
        <v>44.734473447344733</v>
      </c>
      <c r="Q582" s="25">
        <f>data[[#This Row],[ShippingCost]]/data[[#This Row],[TotalMiles]]</f>
        <v>6.54995499549955</v>
      </c>
      <c r="R582" s="17">
        <v>7277</v>
      </c>
      <c r="S582" s="25">
        <f>data[[#This Row],[Revenue]]/data[[#This Row],[TotalMiles]]</f>
        <v>7.3681368136813683</v>
      </c>
      <c r="T582" s="26">
        <f>data[[#This Row],[Revenue]]-data[[#This Row],[ShippingCost]]</f>
        <v>909</v>
      </c>
      <c r="U582" s="17">
        <v>8186</v>
      </c>
      <c r="V582" s="17">
        <v>69</v>
      </c>
      <c r="W582" s="17" t="s">
        <v>68</v>
      </c>
      <c r="X582" s="17">
        <v>4</v>
      </c>
      <c r="Y582" s="17">
        <f>data[[#This Row],[DeliveryDate]]-data[[#This Row],[ShipDate]]</f>
        <v>2</v>
      </c>
      <c r="Z582" s="17" t="str">
        <f>IF(data[[#This Row],[Actual Delivery Days]]&gt;AD583,"Yes","No")</f>
        <v>Yes</v>
      </c>
    </row>
    <row r="583" spans="1:26">
      <c r="A583" s="17">
        <v>10814</v>
      </c>
      <c r="B583" s="17">
        <v>2</v>
      </c>
      <c r="C583" s="17">
        <v>8</v>
      </c>
      <c r="D583" s="17" t="s">
        <v>517</v>
      </c>
      <c r="E583" s="17" t="s">
        <v>355</v>
      </c>
      <c r="F583" s="17" t="str">
        <f>TEXT(data[[#This Row],[ShipDate]],"yyyy - mmmm")</f>
        <v>2016 - March</v>
      </c>
      <c r="G583" s="17" t="str">
        <f>data[[#This Row],[OriginCity]] &amp; " - "  &amp; data[[#This Row],[DestinationCity]]</f>
        <v>Skokie - Chicago</v>
      </c>
      <c r="H583" s="17" t="s">
        <v>35</v>
      </c>
      <c r="I583" s="17" t="s">
        <v>31</v>
      </c>
      <c r="J583" s="17">
        <v>5</v>
      </c>
      <c r="K583" s="17" t="s">
        <v>39</v>
      </c>
      <c r="L583" s="17" t="s">
        <v>31</v>
      </c>
      <c r="M583" s="17" t="s">
        <v>234</v>
      </c>
      <c r="N583" s="17">
        <v>857</v>
      </c>
      <c r="O583" s="17">
        <v>500</v>
      </c>
      <c r="P583" s="26">
        <f>(data[[#This Row],[LoadedMiles]]/data[[#This Row],[TotalMiles]])*100</f>
        <v>58.343057176196034</v>
      </c>
      <c r="Q583" s="25">
        <f>data[[#This Row],[ShippingCost]]/data[[#This Row],[TotalMiles]]</f>
        <v>8.0326721120186697</v>
      </c>
      <c r="R583" s="17">
        <v>6884</v>
      </c>
      <c r="S583" s="25">
        <f>data[[#This Row],[Revenue]]/data[[#This Row],[TotalMiles]]</f>
        <v>8.5262543757292875</v>
      </c>
      <c r="T583" s="26">
        <f>data[[#This Row],[Revenue]]-data[[#This Row],[ShippingCost]]</f>
        <v>423</v>
      </c>
      <c r="U583" s="17">
        <v>7307</v>
      </c>
      <c r="V583" s="17">
        <v>91</v>
      </c>
      <c r="W583" s="17" t="s">
        <v>68</v>
      </c>
      <c r="X583" s="17">
        <v>8</v>
      </c>
      <c r="Y583" s="17">
        <f>data[[#This Row],[DeliveryDate]]-data[[#This Row],[ShipDate]]</f>
        <v>5</v>
      </c>
      <c r="Z583" s="17" t="str">
        <f>IF(data[[#This Row],[Actual Delivery Days]]&gt;AD584,"Yes","No")</f>
        <v>Yes</v>
      </c>
    </row>
    <row r="584" spans="1:26">
      <c r="A584" s="17">
        <v>10871</v>
      </c>
      <c r="B584" s="17">
        <v>2</v>
      </c>
      <c r="C584" s="17">
        <v>3</v>
      </c>
      <c r="D584" s="17" t="s">
        <v>590</v>
      </c>
      <c r="E584" s="17" t="s">
        <v>49</v>
      </c>
      <c r="F584" s="17" t="str">
        <f>TEXT(data[[#This Row],[ShipDate]],"yyyy - mmmm")</f>
        <v>2016 - April</v>
      </c>
      <c r="G584" s="17" t="str">
        <f>data[[#This Row],[OriginCity]] &amp; " - "  &amp; data[[#This Row],[DestinationCity]]</f>
        <v>Monon - Lansing</v>
      </c>
      <c r="H584" s="17" t="s">
        <v>53</v>
      </c>
      <c r="I584" s="17" t="s">
        <v>44</v>
      </c>
      <c r="J584" s="17">
        <v>5</v>
      </c>
      <c r="K584" s="17" t="s">
        <v>66</v>
      </c>
      <c r="L584" s="17" t="s">
        <v>21</v>
      </c>
      <c r="M584" s="17" t="s">
        <v>606</v>
      </c>
      <c r="N584" s="17">
        <v>433</v>
      </c>
      <c r="O584" s="17">
        <v>421</v>
      </c>
      <c r="P584" s="26">
        <f>(data[[#This Row],[LoadedMiles]]/data[[#This Row],[TotalMiles]])*100</f>
        <v>97.228637413394921</v>
      </c>
      <c r="Q584" s="25">
        <f>data[[#This Row],[ShippingCost]]/data[[#This Row],[TotalMiles]]</f>
        <v>13.625866050808314</v>
      </c>
      <c r="R584" s="17">
        <v>5900</v>
      </c>
      <c r="S584" s="25">
        <f>data[[#This Row],[Revenue]]/data[[#This Row],[TotalMiles]]</f>
        <v>13.914549653579677</v>
      </c>
      <c r="T584" s="26">
        <f>data[[#This Row],[Revenue]]-data[[#This Row],[ShippingCost]]</f>
        <v>125</v>
      </c>
      <c r="U584" s="17">
        <v>6025</v>
      </c>
      <c r="V584" s="17">
        <v>74</v>
      </c>
      <c r="W584" s="17" t="s">
        <v>68</v>
      </c>
      <c r="X584" s="17">
        <v>6</v>
      </c>
      <c r="Y584" s="17">
        <f>data[[#This Row],[DeliveryDate]]-data[[#This Row],[ShipDate]]</f>
        <v>5</v>
      </c>
      <c r="Z584" s="17" t="str">
        <f>IF(data[[#This Row],[Actual Delivery Days]]&gt;AD585,"Yes","No")</f>
        <v>Yes</v>
      </c>
    </row>
    <row r="585" spans="1:26">
      <c r="A585" s="17">
        <v>10879</v>
      </c>
      <c r="B585" s="17">
        <v>2</v>
      </c>
      <c r="C585" s="17">
        <v>3</v>
      </c>
      <c r="D585" s="17" t="s">
        <v>600</v>
      </c>
      <c r="E585" s="17" t="s">
        <v>227</v>
      </c>
      <c r="F585" s="17" t="str">
        <f>TEXT(data[[#This Row],[ShipDate]],"yyyy - mmmm")</f>
        <v>2016 - May</v>
      </c>
      <c r="G585" s="17" t="str">
        <f>data[[#This Row],[OriginCity]] &amp; " - "  &amp; data[[#This Row],[DestinationCity]]</f>
        <v>Lansing - Dayton</v>
      </c>
      <c r="H585" s="17" t="s">
        <v>66</v>
      </c>
      <c r="I585" s="17" t="s">
        <v>21</v>
      </c>
      <c r="J585" s="17">
        <v>5</v>
      </c>
      <c r="K585" s="17" t="s">
        <v>93</v>
      </c>
      <c r="L585" s="17" t="s">
        <v>23</v>
      </c>
      <c r="M585" s="17" t="s">
        <v>224</v>
      </c>
      <c r="N585" s="17">
        <v>726</v>
      </c>
      <c r="O585" s="17">
        <v>726</v>
      </c>
      <c r="P585" s="26">
        <f>(data[[#This Row],[LoadedMiles]]/data[[#This Row],[TotalMiles]])*100</f>
        <v>100</v>
      </c>
      <c r="Q585" s="25">
        <f>data[[#This Row],[ShippingCost]]/data[[#This Row],[TotalMiles]]</f>
        <v>6.9820936639118454</v>
      </c>
      <c r="R585" s="17">
        <v>5069</v>
      </c>
      <c r="S585" s="25">
        <f>data[[#This Row],[Revenue]]/data[[#This Row],[TotalMiles]]</f>
        <v>8.0702479338842981</v>
      </c>
      <c r="T585" s="26">
        <f>data[[#This Row],[Revenue]]-data[[#This Row],[ShippingCost]]</f>
        <v>790</v>
      </c>
      <c r="U585" s="17">
        <v>5859</v>
      </c>
      <c r="V585" s="17">
        <v>50</v>
      </c>
      <c r="W585" s="17" t="s">
        <v>68</v>
      </c>
      <c r="X585" s="17">
        <v>3</v>
      </c>
      <c r="Y585" s="17">
        <f>data[[#This Row],[DeliveryDate]]-data[[#This Row],[ShipDate]]</f>
        <v>2</v>
      </c>
      <c r="Z585" s="17" t="str">
        <f>IF(data[[#This Row],[Actual Delivery Days]]&gt;AD586,"Yes","No")</f>
        <v>Yes</v>
      </c>
    </row>
    <row r="586" spans="1:26">
      <c r="A586" s="17">
        <v>10898</v>
      </c>
      <c r="B586" s="17">
        <v>2</v>
      </c>
      <c r="C586" s="17">
        <v>4</v>
      </c>
      <c r="D586" s="17" t="s">
        <v>83</v>
      </c>
      <c r="E586" s="17" t="s">
        <v>164</v>
      </c>
      <c r="F586" s="17" t="str">
        <f>TEXT(data[[#This Row],[ShipDate]],"yyyy - mmmm")</f>
        <v>2016 - February</v>
      </c>
      <c r="G586" s="17" t="str">
        <f>data[[#This Row],[OriginCity]] &amp; " - "  &amp; data[[#This Row],[DestinationCity]]</f>
        <v>Appleton - Grand Rapids</v>
      </c>
      <c r="H586" s="17" t="s">
        <v>85</v>
      </c>
      <c r="I586" s="17" t="s">
        <v>29</v>
      </c>
      <c r="J586" s="17">
        <v>5</v>
      </c>
      <c r="K586" s="17" t="s">
        <v>20</v>
      </c>
      <c r="L586" s="17" t="s">
        <v>21</v>
      </c>
      <c r="M586" s="17" t="s">
        <v>268</v>
      </c>
      <c r="N586" s="17">
        <v>986</v>
      </c>
      <c r="O586" s="17">
        <v>518</v>
      </c>
      <c r="P586" s="26">
        <f>(data[[#This Row],[LoadedMiles]]/data[[#This Row],[TotalMiles]])*100</f>
        <v>52.535496957403652</v>
      </c>
      <c r="Q586" s="25">
        <f>data[[#This Row],[ShippingCost]]/data[[#This Row],[TotalMiles]]</f>
        <v>8.6440162271805274</v>
      </c>
      <c r="R586" s="17">
        <v>8523</v>
      </c>
      <c r="S586" s="25">
        <f>data[[#This Row],[Revenue]]/data[[#This Row],[TotalMiles]]</f>
        <v>6.4604462474645032</v>
      </c>
      <c r="T586" s="26">
        <f>data[[#This Row],[Revenue]]-data[[#This Row],[ShippingCost]]</f>
        <v>-2153</v>
      </c>
      <c r="U586" s="17">
        <v>6370</v>
      </c>
      <c r="V586" s="17">
        <v>92</v>
      </c>
      <c r="W586" s="17" t="s">
        <v>68</v>
      </c>
      <c r="X586" s="17">
        <v>5</v>
      </c>
      <c r="Y586" s="17">
        <f>data[[#This Row],[DeliveryDate]]-data[[#This Row],[ShipDate]]</f>
        <v>4</v>
      </c>
      <c r="Z586" s="17" t="str">
        <f>IF(data[[#This Row],[Actual Delivery Days]]&gt;AD587,"Yes","No")</f>
        <v>Yes</v>
      </c>
    </row>
    <row r="587" spans="1:26">
      <c r="A587" s="17">
        <v>10899</v>
      </c>
      <c r="B587" s="17">
        <v>2</v>
      </c>
      <c r="C587" s="17">
        <v>4</v>
      </c>
      <c r="D587" s="17" t="s">
        <v>87</v>
      </c>
      <c r="E587" s="17" t="s">
        <v>214</v>
      </c>
      <c r="F587" s="17" t="str">
        <f>TEXT(data[[#This Row],[ShipDate]],"yyyy - mmmm")</f>
        <v>2016 - August</v>
      </c>
      <c r="G587" s="17" t="str">
        <f>data[[#This Row],[OriginCity]] &amp; " - "  &amp; data[[#This Row],[DestinationCity]]</f>
        <v>Cincinnati - Gary</v>
      </c>
      <c r="H587" s="17" t="s">
        <v>89</v>
      </c>
      <c r="I587" s="17" t="s">
        <v>23</v>
      </c>
      <c r="J587" s="17">
        <v>5</v>
      </c>
      <c r="K587" s="17" t="s">
        <v>57</v>
      </c>
      <c r="L587" s="17" t="s">
        <v>44</v>
      </c>
      <c r="M587" s="17" t="s">
        <v>302</v>
      </c>
      <c r="N587" s="17">
        <v>1065</v>
      </c>
      <c r="O587" s="17">
        <v>389</v>
      </c>
      <c r="P587" s="26">
        <f>(data[[#This Row],[LoadedMiles]]/data[[#This Row],[TotalMiles]])*100</f>
        <v>36.525821596244128</v>
      </c>
      <c r="Q587" s="25">
        <f>data[[#This Row],[ShippingCost]]/data[[#This Row],[TotalMiles]]</f>
        <v>3.6732394366197183</v>
      </c>
      <c r="R587" s="17">
        <v>3912</v>
      </c>
      <c r="S587" s="25">
        <f>data[[#This Row],[Revenue]]/data[[#This Row],[TotalMiles]]</f>
        <v>1.5586854460093897</v>
      </c>
      <c r="T587" s="26">
        <f>data[[#This Row],[Revenue]]-data[[#This Row],[ShippingCost]]</f>
        <v>-2252</v>
      </c>
      <c r="U587" s="17">
        <v>1660</v>
      </c>
      <c r="V587" s="17">
        <v>75</v>
      </c>
      <c r="W587" s="17" t="s">
        <v>68</v>
      </c>
      <c r="X587" s="17">
        <v>9</v>
      </c>
      <c r="Y587" s="17">
        <f>data[[#This Row],[DeliveryDate]]-data[[#This Row],[ShipDate]]</f>
        <v>3</v>
      </c>
      <c r="Z587" s="17" t="str">
        <f>IF(data[[#This Row],[Actual Delivery Days]]&gt;AD588,"Yes","No")</f>
        <v>Yes</v>
      </c>
    </row>
    <row r="588" spans="1:26">
      <c r="A588" s="17">
        <v>10912</v>
      </c>
      <c r="B588" s="17">
        <v>2</v>
      </c>
      <c r="C588" s="17">
        <v>1</v>
      </c>
      <c r="D588" s="17" t="s">
        <v>128</v>
      </c>
      <c r="E588" s="17" t="s">
        <v>365</v>
      </c>
      <c r="F588" s="17" t="str">
        <f>TEXT(data[[#This Row],[ShipDate]],"yyyy - mmmm")</f>
        <v>2016 - June</v>
      </c>
      <c r="G588" s="17" t="str">
        <f>data[[#This Row],[OriginCity]] &amp; " - "  &amp; data[[#This Row],[DestinationCity]]</f>
        <v>Indianapolis - Northbrook</v>
      </c>
      <c r="H588" s="17" t="s">
        <v>43</v>
      </c>
      <c r="I588" s="17" t="s">
        <v>44</v>
      </c>
      <c r="J588" s="17">
        <v>5</v>
      </c>
      <c r="K588" s="17" t="s">
        <v>45</v>
      </c>
      <c r="L588" s="17" t="s">
        <v>31</v>
      </c>
      <c r="M588" s="17" t="s">
        <v>147</v>
      </c>
      <c r="N588" s="17">
        <v>407</v>
      </c>
      <c r="O588" s="17">
        <v>290</v>
      </c>
      <c r="P588" s="26">
        <f>(data[[#This Row],[LoadedMiles]]/data[[#This Row],[TotalMiles]])*100</f>
        <v>71.253071253071255</v>
      </c>
      <c r="Q588" s="25">
        <f>data[[#This Row],[ShippingCost]]/data[[#This Row],[TotalMiles]]</f>
        <v>1.5405405405405406</v>
      </c>
      <c r="R588" s="17">
        <v>627</v>
      </c>
      <c r="S588" s="25">
        <f>data[[#This Row],[Revenue]]/data[[#This Row],[TotalMiles]]</f>
        <v>12.643734643734645</v>
      </c>
      <c r="T588" s="26">
        <f>data[[#This Row],[Revenue]]-data[[#This Row],[ShippingCost]]</f>
        <v>4519</v>
      </c>
      <c r="U588" s="17">
        <v>5146</v>
      </c>
      <c r="V588" s="17">
        <v>96</v>
      </c>
      <c r="W588" s="17" t="s">
        <v>68</v>
      </c>
      <c r="X588" s="17">
        <v>7</v>
      </c>
      <c r="Y588" s="17">
        <f>data[[#This Row],[DeliveryDate]]-data[[#This Row],[ShipDate]]</f>
        <v>5</v>
      </c>
      <c r="Z588" s="17" t="str">
        <f>IF(data[[#This Row],[Actual Delivery Days]]&gt;AD589,"Yes","No")</f>
        <v>Yes</v>
      </c>
    </row>
    <row r="589" spans="1:26">
      <c r="A589" s="17">
        <v>10931</v>
      </c>
      <c r="B589" s="17">
        <v>2</v>
      </c>
      <c r="C589" s="17">
        <v>2</v>
      </c>
      <c r="D589" s="17" t="s">
        <v>181</v>
      </c>
      <c r="E589" s="17" t="s">
        <v>150</v>
      </c>
      <c r="F589" s="17" t="str">
        <f>TEXT(data[[#This Row],[ShipDate]],"yyyy - mmmm")</f>
        <v>2016 - July</v>
      </c>
      <c r="G589" s="17" t="str">
        <f>data[[#This Row],[OriginCity]] &amp; " - "  &amp; data[[#This Row],[DestinationCity]]</f>
        <v>Grand Rapids - Toledo</v>
      </c>
      <c r="H589" s="17" t="s">
        <v>20</v>
      </c>
      <c r="I589" s="17" t="s">
        <v>21</v>
      </c>
      <c r="J589" s="17">
        <v>5</v>
      </c>
      <c r="K589" s="17" t="s">
        <v>22</v>
      </c>
      <c r="L589" s="17" t="s">
        <v>23</v>
      </c>
      <c r="M589" s="17" t="s">
        <v>535</v>
      </c>
      <c r="N589" s="17">
        <v>475</v>
      </c>
      <c r="O589" s="17">
        <v>475</v>
      </c>
      <c r="P589" s="26">
        <f>(data[[#This Row],[LoadedMiles]]/data[[#This Row],[TotalMiles]])*100</f>
        <v>100</v>
      </c>
      <c r="Q589" s="25">
        <f>data[[#This Row],[ShippingCost]]/data[[#This Row],[TotalMiles]]</f>
        <v>3.3810526315789473</v>
      </c>
      <c r="R589" s="17">
        <v>1606</v>
      </c>
      <c r="S589" s="25">
        <f>data[[#This Row],[Revenue]]/data[[#This Row],[TotalMiles]]</f>
        <v>3.6357894736842105</v>
      </c>
      <c r="T589" s="26">
        <f>data[[#This Row],[Revenue]]-data[[#This Row],[ShippingCost]]</f>
        <v>121</v>
      </c>
      <c r="U589" s="17">
        <v>1727</v>
      </c>
      <c r="V589" s="17">
        <v>83</v>
      </c>
      <c r="W589" s="17" t="s">
        <v>68</v>
      </c>
      <c r="X589" s="17">
        <v>5</v>
      </c>
      <c r="Y589" s="17">
        <f>data[[#This Row],[DeliveryDate]]-data[[#This Row],[ShipDate]]</f>
        <v>5</v>
      </c>
      <c r="Z589" s="17" t="str">
        <f>IF(data[[#This Row],[Actual Delivery Days]]&gt;AD590,"Yes","No")</f>
        <v>Yes</v>
      </c>
    </row>
    <row r="590" spans="1:26">
      <c r="A590" s="17">
        <v>10935</v>
      </c>
      <c r="B590" s="17">
        <v>3</v>
      </c>
      <c r="C590" s="17">
        <v>1</v>
      </c>
      <c r="D590" s="17" t="s">
        <v>194</v>
      </c>
      <c r="E590" s="17" t="s">
        <v>617</v>
      </c>
      <c r="F590" s="17" t="str">
        <f>TEXT(data[[#This Row],[ShipDate]],"yyyy - mmmm")</f>
        <v>2016 - June</v>
      </c>
      <c r="G590" s="17" t="str">
        <f>data[[#This Row],[OriginCity]] &amp; " - "  &amp; data[[#This Row],[DestinationCity]]</f>
        <v>Detriot - Monon</v>
      </c>
      <c r="H590" s="17" t="s">
        <v>52</v>
      </c>
      <c r="I590" s="17" t="s">
        <v>21</v>
      </c>
      <c r="J590" s="17">
        <v>5</v>
      </c>
      <c r="K590" s="17" t="s">
        <v>53</v>
      </c>
      <c r="L590" s="17" t="s">
        <v>44</v>
      </c>
      <c r="M590" s="17" t="s">
        <v>278</v>
      </c>
      <c r="N590" s="17">
        <v>1006</v>
      </c>
      <c r="O590" s="17">
        <v>403</v>
      </c>
      <c r="P590" s="26">
        <f>(data[[#This Row],[LoadedMiles]]/data[[#This Row],[TotalMiles]])*100</f>
        <v>40.059642147117295</v>
      </c>
      <c r="Q590" s="25">
        <f>data[[#This Row],[ShippingCost]]/data[[#This Row],[TotalMiles]]</f>
        <v>6.1351888667992052</v>
      </c>
      <c r="R590" s="17">
        <v>6172</v>
      </c>
      <c r="S590" s="25">
        <f>data[[#This Row],[Revenue]]/data[[#This Row],[TotalMiles]]</f>
        <v>10.522862823061629</v>
      </c>
      <c r="T590" s="26">
        <f>data[[#This Row],[Revenue]]-data[[#This Row],[ShippingCost]]</f>
        <v>4414</v>
      </c>
      <c r="U590" s="17">
        <v>10586</v>
      </c>
      <c r="V590" s="17">
        <v>71</v>
      </c>
      <c r="W590" s="17" t="s">
        <v>68</v>
      </c>
      <c r="X590" s="17">
        <v>3</v>
      </c>
      <c r="Y590" s="17">
        <f>data[[#This Row],[DeliveryDate]]-data[[#This Row],[ShipDate]]</f>
        <v>3</v>
      </c>
      <c r="Z590" s="17" t="str">
        <f>IF(data[[#This Row],[Actual Delivery Days]]&gt;AD591,"Yes","No")</f>
        <v>Yes</v>
      </c>
    </row>
    <row r="591" spans="1:26">
      <c r="A591" s="17">
        <v>10953</v>
      </c>
      <c r="B591" s="17">
        <v>3</v>
      </c>
      <c r="C591" s="17">
        <v>3</v>
      </c>
      <c r="D591" s="17" t="s">
        <v>239</v>
      </c>
      <c r="E591" s="17" t="s">
        <v>612</v>
      </c>
      <c r="F591" s="17" t="str">
        <f>TEXT(data[[#This Row],[ShipDate]],"yyyy - mmmm")</f>
        <v>2016 - January</v>
      </c>
      <c r="G591" s="17" t="str">
        <f>data[[#This Row],[OriginCity]] &amp; " - "  &amp; data[[#This Row],[DestinationCity]]</f>
        <v>Chicago - Rockford</v>
      </c>
      <c r="H591" s="17" t="s">
        <v>39</v>
      </c>
      <c r="I591" s="17" t="s">
        <v>31</v>
      </c>
      <c r="J591" s="17">
        <v>5</v>
      </c>
      <c r="K591" s="17" t="s">
        <v>40</v>
      </c>
      <c r="L591" s="17" t="s">
        <v>31</v>
      </c>
      <c r="M591" s="17" t="s">
        <v>112</v>
      </c>
      <c r="N591" s="17">
        <v>780</v>
      </c>
      <c r="O591" s="17">
        <v>275</v>
      </c>
      <c r="P591" s="26">
        <f>(data[[#This Row],[LoadedMiles]]/data[[#This Row],[TotalMiles]])*100</f>
        <v>35.256410256410255</v>
      </c>
      <c r="Q591" s="25">
        <f>data[[#This Row],[ShippingCost]]/data[[#This Row],[TotalMiles]]</f>
        <v>7.476923076923077</v>
      </c>
      <c r="R591" s="17">
        <v>5832</v>
      </c>
      <c r="S591" s="25">
        <f>data[[#This Row],[Revenue]]/data[[#This Row],[TotalMiles]]</f>
        <v>8.7282051282051274</v>
      </c>
      <c r="T591" s="26">
        <f>data[[#This Row],[Revenue]]-data[[#This Row],[ShippingCost]]</f>
        <v>976</v>
      </c>
      <c r="U591" s="17">
        <v>6808</v>
      </c>
      <c r="V591" s="17">
        <v>82</v>
      </c>
      <c r="W591" s="17" t="s">
        <v>68</v>
      </c>
      <c r="X591" s="17">
        <v>4</v>
      </c>
      <c r="Y591" s="17">
        <f>data[[#This Row],[DeliveryDate]]-data[[#This Row],[ShipDate]]</f>
        <v>4</v>
      </c>
      <c r="Z591" s="17" t="str">
        <f>IF(data[[#This Row],[Actual Delivery Days]]&gt;AD592,"Yes","No")</f>
        <v>Yes</v>
      </c>
    </row>
    <row r="592" spans="1:26">
      <c r="A592" s="17">
        <v>10963</v>
      </c>
      <c r="B592" s="17">
        <v>3</v>
      </c>
      <c r="C592" s="17">
        <v>4</v>
      </c>
      <c r="D592" s="17" t="s">
        <v>266</v>
      </c>
      <c r="E592" s="17" t="s">
        <v>542</v>
      </c>
      <c r="F592" s="17" t="str">
        <f>TEXT(data[[#This Row],[ShipDate]],"yyyy - mmmm")</f>
        <v>2016 - June</v>
      </c>
      <c r="G592" s="17" t="str">
        <f>data[[#This Row],[OriginCity]] &amp; " - "  &amp; data[[#This Row],[DestinationCity]]</f>
        <v>Dayton - Elgin</v>
      </c>
      <c r="H592" s="17" t="s">
        <v>93</v>
      </c>
      <c r="I592" s="17" t="s">
        <v>23</v>
      </c>
      <c r="J592" s="17">
        <v>5</v>
      </c>
      <c r="K592" s="17" t="s">
        <v>94</v>
      </c>
      <c r="L592" s="17" t="s">
        <v>31</v>
      </c>
      <c r="M592" s="17" t="s">
        <v>498</v>
      </c>
      <c r="N592" s="17">
        <v>1115</v>
      </c>
      <c r="O592" s="17">
        <v>551</v>
      </c>
      <c r="P592" s="26">
        <f>(data[[#This Row],[LoadedMiles]]/data[[#This Row],[TotalMiles]])*100</f>
        <v>49.417040358744394</v>
      </c>
      <c r="Q592" s="25">
        <f>data[[#This Row],[ShippingCost]]/data[[#This Row],[TotalMiles]]</f>
        <v>3.0529147982062779</v>
      </c>
      <c r="R592" s="17">
        <v>3404</v>
      </c>
      <c r="S592" s="25">
        <f>data[[#This Row],[Revenue]]/data[[#This Row],[TotalMiles]]</f>
        <v>0.90852017937219731</v>
      </c>
      <c r="T592" s="26">
        <f>data[[#This Row],[Revenue]]-data[[#This Row],[ShippingCost]]</f>
        <v>-2391</v>
      </c>
      <c r="U592" s="17">
        <v>1013</v>
      </c>
      <c r="V592" s="17">
        <v>100</v>
      </c>
      <c r="W592" s="17" t="s">
        <v>68</v>
      </c>
      <c r="X592" s="17">
        <v>9</v>
      </c>
      <c r="Y592" s="17">
        <f>data[[#This Row],[DeliveryDate]]-data[[#This Row],[ShipDate]]</f>
        <v>5</v>
      </c>
      <c r="Z592" s="17" t="str">
        <f>IF(data[[#This Row],[Actual Delivery Days]]&gt;AD593,"Yes","No")</f>
        <v>Yes</v>
      </c>
    </row>
    <row r="593" spans="1:26">
      <c r="A593" s="17">
        <v>11017</v>
      </c>
      <c r="B593" s="17">
        <v>2</v>
      </c>
      <c r="C593" s="17">
        <v>4</v>
      </c>
      <c r="D593" s="17" t="s">
        <v>370</v>
      </c>
      <c r="E593" s="17" t="s">
        <v>470</v>
      </c>
      <c r="F593" s="17" t="str">
        <f>TEXT(data[[#This Row],[ShipDate]],"yyyy - mmmm")</f>
        <v>2016 - August</v>
      </c>
      <c r="G593" s="17" t="str">
        <f>data[[#This Row],[OriginCity]] &amp; " - "  &amp; data[[#This Row],[DestinationCity]]</f>
        <v>Indianapolis - Northbrook</v>
      </c>
      <c r="H593" s="17" t="s">
        <v>43</v>
      </c>
      <c r="I593" s="17" t="s">
        <v>44</v>
      </c>
      <c r="J593" s="17">
        <v>5</v>
      </c>
      <c r="K593" s="17" t="s">
        <v>45</v>
      </c>
      <c r="L593" s="17" t="s">
        <v>31</v>
      </c>
      <c r="M593" s="17" t="s">
        <v>387</v>
      </c>
      <c r="N593" s="17">
        <v>1071</v>
      </c>
      <c r="O593" s="17">
        <v>582</v>
      </c>
      <c r="P593" s="26">
        <f>(data[[#This Row],[LoadedMiles]]/data[[#This Row],[TotalMiles]])*100</f>
        <v>54.34173669467787</v>
      </c>
      <c r="Q593" s="25">
        <f>data[[#This Row],[ShippingCost]]/data[[#This Row],[TotalMiles]]</f>
        <v>3.5527544351073761</v>
      </c>
      <c r="R593" s="17">
        <v>3805</v>
      </c>
      <c r="S593" s="25">
        <f>data[[#This Row],[Revenue]]/data[[#This Row],[TotalMiles]]</f>
        <v>1.1008403361344539</v>
      </c>
      <c r="T593" s="26">
        <f>data[[#This Row],[Revenue]]-data[[#This Row],[ShippingCost]]</f>
        <v>-2626</v>
      </c>
      <c r="U593" s="17">
        <v>1179</v>
      </c>
      <c r="V593" s="17">
        <v>70</v>
      </c>
      <c r="W593" s="17" t="s">
        <v>68</v>
      </c>
      <c r="X593" s="17">
        <v>10</v>
      </c>
      <c r="Y593" s="17">
        <f>data[[#This Row],[DeliveryDate]]-data[[#This Row],[ShipDate]]</f>
        <v>5</v>
      </c>
      <c r="Z593" s="17" t="str">
        <f>IF(data[[#This Row],[Actual Delivery Days]]&gt;AD594,"Yes","No")</f>
        <v>Yes</v>
      </c>
    </row>
    <row r="594" spans="1:26">
      <c r="A594" s="17">
        <v>11024</v>
      </c>
      <c r="B594" s="17">
        <v>2</v>
      </c>
      <c r="C594" s="17">
        <v>5</v>
      </c>
      <c r="D594" s="17" t="s">
        <v>380</v>
      </c>
      <c r="E594" s="17" t="s">
        <v>620</v>
      </c>
      <c r="F594" s="17" t="str">
        <f>TEXT(data[[#This Row],[ShipDate]],"yyyy - mmmm")</f>
        <v>2016 - April</v>
      </c>
      <c r="G594" s="17" t="str">
        <f>data[[#This Row],[OriginCity]] &amp; " - "  &amp; data[[#This Row],[DestinationCity]]</f>
        <v>Green Bay - Joliet</v>
      </c>
      <c r="H594" s="17" t="s">
        <v>75</v>
      </c>
      <c r="I594" s="17" t="s">
        <v>29</v>
      </c>
      <c r="J594" s="17">
        <v>5</v>
      </c>
      <c r="K594" s="17" t="s">
        <v>61</v>
      </c>
      <c r="L594" s="17" t="s">
        <v>31</v>
      </c>
      <c r="M594" s="17" t="s">
        <v>161</v>
      </c>
      <c r="N594" s="17">
        <v>1181</v>
      </c>
      <c r="O594" s="17">
        <v>342</v>
      </c>
      <c r="P594" s="26">
        <f>(data[[#This Row],[LoadedMiles]]/data[[#This Row],[TotalMiles]])*100</f>
        <v>28.958509737510585</v>
      </c>
      <c r="Q594" s="25">
        <f>data[[#This Row],[ShippingCost]]/data[[#This Row],[TotalMiles]]</f>
        <v>4.5266723116003389</v>
      </c>
      <c r="R594" s="17">
        <v>5346</v>
      </c>
      <c r="S594" s="25">
        <f>data[[#This Row],[Revenue]]/data[[#This Row],[TotalMiles]]</f>
        <v>5.364098221845893</v>
      </c>
      <c r="T594" s="26">
        <f>data[[#This Row],[Revenue]]-data[[#This Row],[ShippingCost]]</f>
        <v>989</v>
      </c>
      <c r="U594" s="17">
        <v>6335</v>
      </c>
      <c r="V594" s="17">
        <v>57</v>
      </c>
      <c r="W594" s="17" t="s">
        <v>68</v>
      </c>
      <c r="X594" s="17">
        <v>10</v>
      </c>
      <c r="Y594" s="17">
        <f>data[[#This Row],[DeliveryDate]]-data[[#This Row],[ShipDate]]</f>
        <v>4</v>
      </c>
      <c r="Z594" s="17" t="str">
        <f>IF(data[[#This Row],[Actual Delivery Days]]&gt;AD595,"Yes","No")</f>
        <v>Yes</v>
      </c>
    </row>
    <row r="595" spans="1:26">
      <c r="A595" s="17">
        <v>11035</v>
      </c>
      <c r="B595" s="17">
        <v>3</v>
      </c>
      <c r="C595" s="17">
        <v>3</v>
      </c>
      <c r="D595" s="17" t="s">
        <v>397</v>
      </c>
      <c r="E595" s="17" t="s">
        <v>216</v>
      </c>
      <c r="F595" s="17" t="str">
        <f>TEXT(data[[#This Row],[ShipDate]],"yyyy - mmmm")</f>
        <v>2016 - August</v>
      </c>
      <c r="G595" s="17" t="str">
        <f>data[[#This Row],[OriginCity]] &amp; " - "  &amp; data[[#This Row],[DestinationCity]]</f>
        <v>Kalamazoo - Bangor</v>
      </c>
      <c r="H595" s="17" t="s">
        <v>71</v>
      </c>
      <c r="I595" s="17" t="s">
        <v>21</v>
      </c>
      <c r="J595" s="17">
        <v>5</v>
      </c>
      <c r="K595" s="17" t="s">
        <v>104</v>
      </c>
      <c r="L595" s="17" t="s">
        <v>21</v>
      </c>
      <c r="M595" s="17" t="s">
        <v>587</v>
      </c>
      <c r="N595" s="17">
        <v>302</v>
      </c>
      <c r="O595" s="17">
        <v>302</v>
      </c>
      <c r="P595" s="26">
        <f>(data[[#This Row],[LoadedMiles]]/data[[#This Row],[TotalMiles]])*100</f>
        <v>100</v>
      </c>
      <c r="Q595" s="25">
        <f>data[[#This Row],[ShippingCost]]/data[[#This Row],[TotalMiles]]</f>
        <v>3.5298013245033113</v>
      </c>
      <c r="R595" s="17">
        <v>1066</v>
      </c>
      <c r="S595" s="25">
        <f>data[[#This Row],[Revenue]]/data[[#This Row],[TotalMiles]]</f>
        <v>6.1059602649006619</v>
      </c>
      <c r="T595" s="26">
        <f>data[[#This Row],[Revenue]]-data[[#This Row],[ShippingCost]]</f>
        <v>778</v>
      </c>
      <c r="U595" s="17">
        <v>1844</v>
      </c>
      <c r="V595" s="17">
        <v>62</v>
      </c>
      <c r="W595" s="17" t="s">
        <v>68</v>
      </c>
      <c r="X595" s="17">
        <v>4</v>
      </c>
      <c r="Y595" s="17">
        <f>data[[#This Row],[DeliveryDate]]-data[[#This Row],[ShipDate]]</f>
        <v>5</v>
      </c>
      <c r="Z595" s="17" t="str">
        <f>IF(data[[#This Row],[Actual Delivery Days]]&gt;AD596,"Yes","No")</f>
        <v>Yes</v>
      </c>
    </row>
    <row r="596" spans="1:26">
      <c r="A596" s="17">
        <v>11040</v>
      </c>
      <c r="B596" s="17">
        <v>3</v>
      </c>
      <c r="C596" s="17">
        <v>2</v>
      </c>
      <c r="D596" s="17" t="s">
        <v>409</v>
      </c>
      <c r="E596" s="17" t="s">
        <v>100</v>
      </c>
      <c r="F596" s="17" t="str">
        <f>TEXT(data[[#This Row],[ShipDate]],"yyyy - mmmm")</f>
        <v>2016 - April</v>
      </c>
      <c r="G596" s="17" t="str">
        <f>data[[#This Row],[OriginCity]] &amp; " - "  &amp; data[[#This Row],[DestinationCity]]</f>
        <v>Detriot - Monon</v>
      </c>
      <c r="H596" s="17" t="s">
        <v>52</v>
      </c>
      <c r="I596" s="17" t="s">
        <v>21</v>
      </c>
      <c r="J596" s="17">
        <v>5</v>
      </c>
      <c r="K596" s="17" t="s">
        <v>53</v>
      </c>
      <c r="L596" s="17" t="s">
        <v>44</v>
      </c>
      <c r="M596" s="17" t="s">
        <v>413</v>
      </c>
      <c r="N596" s="17">
        <v>996</v>
      </c>
      <c r="O596" s="17">
        <v>262</v>
      </c>
      <c r="P596" s="26">
        <f>(data[[#This Row],[LoadedMiles]]/data[[#This Row],[TotalMiles]])*100</f>
        <v>26.305220883534137</v>
      </c>
      <c r="Q596" s="25">
        <f>data[[#This Row],[ShippingCost]]/data[[#This Row],[TotalMiles]]</f>
        <v>2.2429718875502007</v>
      </c>
      <c r="R596" s="17">
        <v>2234</v>
      </c>
      <c r="S596" s="25">
        <f>data[[#This Row],[Revenue]]/data[[#This Row],[TotalMiles]]</f>
        <v>3.1887550200803214</v>
      </c>
      <c r="T596" s="26">
        <f>data[[#This Row],[Revenue]]-data[[#This Row],[ShippingCost]]</f>
        <v>942</v>
      </c>
      <c r="U596" s="17">
        <v>3176</v>
      </c>
      <c r="V596" s="17">
        <v>73</v>
      </c>
      <c r="W596" s="17" t="s">
        <v>68</v>
      </c>
      <c r="X596" s="17">
        <v>6</v>
      </c>
      <c r="Y596" s="17">
        <f>data[[#This Row],[DeliveryDate]]-data[[#This Row],[ShipDate]]</f>
        <v>2</v>
      </c>
      <c r="Z596" s="17" t="str">
        <f>IF(data[[#This Row],[Actual Delivery Days]]&gt;AD597,"Yes","No")</f>
        <v>Yes</v>
      </c>
    </row>
    <row r="597" spans="1:26">
      <c r="A597" s="17">
        <v>11041</v>
      </c>
      <c r="B597" s="17">
        <v>2</v>
      </c>
      <c r="C597" s="17">
        <v>6</v>
      </c>
      <c r="D597" s="17" t="s">
        <v>411</v>
      </c>
      <c r="E597" s="17" t="s">
        <v>129</v>
      </c>
      <c r="F597" s="17" t="str">
        <f>TEXT(data[[#This Row],[ShipDate]],"yyyy - mmmm")</f>
        <v>2016 - March</v>
      </c>
      <c r="G597" s="17" t="str">
        <f>data[[#This Row],[OriginCity]] &amp; " - "  &amp; data[[#This Row],[DestinationCity]]</f>
        <v>Gary - Milwaukee</v>
      </c>
      <c r="H597" s="17" t="s">
        <v>57</v>
      </c>
      <c r="I597" s="17" t="s">
        <v>44</v>
      </c>
      <c r="J597" s="17">
        <v>5</v>
      </c>
      <c r="K597" s="17" t="s">
        <v>28</v>
      </c>
      <c r="L597" s="17" t="s">
        <v>29</v>
      </c>
      <c r="M597" s="17" t="s">
        <v>130</v>
      </c>
      <c r="N597" s="17">
        <v>292</v>
      </c>
      <c r="O597" s="17">
        <v>292</v>
      </c>
      <c r="P597" s="26">
        <f>(data[[#This Row],[LoadedMiles]]/data[[#This Row],[TotalMiles]])*100</f>
        <v>100</v>
      </c>
      <c r="Q597" s="25">
        <f>data[[#This Row],[ShippingCost]]/data[[#This Row],[TotalMiles]]</f>
        <v>12.852739726027398</v>
      </c>
      <c r="R597" s="17">
        <v>3753</v>
      </c>
      <c r="S597" s="25">
        <f>data[[#This Row],[Revenue]]/data[[#This Row],[TotalMiles]]</f>
        <v>15.705479452054794</v>
      </c>
      <c r="T597" s="26">
        <f>data[[#This Row],[Revenue]]-data[[#This Row],[ShippingCost]]</f>
        <v>833</v>
      </c>
      <c r="U597" s="17">
        <v>4586</v>
      </c>
      <c r="V597" s="17">
        <v>62</v>
      </c>
      <c r="W597" s="17" t="s">
        <v>68</v>
      </c>
      <c r="X597" s="17">
        <v>9</v>
      </c>
      <c r="Y597" s="17">
        <f>data[[#This Row],[DeliveryDate]]-data[[#This Row],[ShipDate]]</f>
        <v>3</v>
      </c>
      <c r="Z597" s="17" t="str">
        <f>IF(data[[#This Row],[Actual Delivery Days]]&gt;AD598,"Yes","No")</f>
        <v>Yes</v>
      </c>
    </row>
    <row r="598" spans="1:26">
      <c r="A598" s="17">
        <v>11059</v>
      </c>
      <c r="B598" s="17">
        <v>3</v>
      </c>
      <c r="C598" s="17">
        <v>6</v>
      </c>
      <c r="D598" s="17" t="s">
        <v>442</v>
      </c>
      <c r="E598" s="17" t="s">
        <v>416</v>
      </c>
      <c r="F598" s="17" t="str">
        <f>TEXT(data[[#This Row],[ShipDate]],"yyyy - mmmm")</f>
        <v>2016 - August</v>
      </c>
      <c r="G598" s="17" t="str">
        <f>data[[#This Row],[OriginCity]] &amp; " - "  &amp; data[[#This Row],[DestinationCity]]</f>
        <v>Chicago - Rockford</v>
      </c>
      <c r="H598" s="17" t="s">
        <v>39</v>
      </c>
      <c r="I598" s="17" t="s">
        <v>31</v>
      </c>
      <c r="J598" s="17">
        <v>5</v>
      </c>
      <c r="K598" s="17" t="s">
        <v>40</v>
      </c>
      <c r="L598" s="17" t="s">
        <v>31</v>
      </c>
      <c r="M598" s="17" t="s">
        <v>142</v>
      </c>
      <c r="N598" s="17">
        <v>712</v>
      </c>
      <c r="O598" s="17">
        <v>629</v>
      </c>
      <c r="P598" s="26">
        <f>(data[[#This Row],[LoadedMiles]]/data[[#This Row],[TotalMiles]])*100</f>
        <v>88.342696629213478</v>
      </c>
      <c r="Q598" s="25">
        <f>data[[#This Row],[ShippingCost]]/data[[#This Row],[TotalMiles]]</f>
        <v>3.101123595505618</v>
      </c>
      <c r="R598" s="17">
        <v>2208</v>
      </c>
      <c r="S598" s="25">
        <f>data[[#This Row],[Revenue]]/data[[#This Row],[TotalMiles]]</f>
        <v>4.2485955056179776</v>
      </c>
      <c r="T598" s="26">
        <f>data[[#This Row],[Revenue]]-data[[#This Row],[ShippingCost]]</f>
        <v>817</v>
      </c>
      <c r="U598" s="17">
        <v>3025</v>
      </c>
      <c r="V598" s="17">
        <v>69</v>
      </c>
      <c r="W598" s="17" t="s">
        <v>68</v>
      </c>
      <c r="X598" s="17">
        <v>4</v>
      </c>
      <c r="Y598" s="17">
        <f>data[[#This Row],[DeliveryDate]]-data[[#This Row],[ShipDate]]</f>
        <v>4</v>
      </c>
      <c r="Z598" s="17" t="str">
        <f>IF(data[[#This Row],[Actual Delivery Days]]&gt;AD599,"Yes","No")</f>
        <v>Yes</v>
      </c>
    </row>
    <row r="599" spans="1:26">
      <c r="A599" s="17">
        <v>11071</v>
      </c>
      <c r="B599" s="17">
        <v>3</v>
      </c>
      <c r="C599" s="17">
        <v>6</v>
      </c>
      <c r="D599" s="17" t="s">
        <v>463</v>
      </c>
      <c r="E599" s="17" t="s">
        <v>227</v>
      </c>
      <c r="F599" s="17" t="str">
        <f>TEXT(data[[#This Row],[ShipDate]],"yyyy - mmmm")</f>
        <v>2016 - May</v>
      </c>
      <c r="G599" s="17" t="str">
        <f>data[[#This Row],[OriginCity]] &amp; " - "  &amp; data[[#This Row],[DestinationCity]]</f>
        <v>Toledo - Detriot</v>
      </c>
      <c r="H599" s="17" t="s">
        <v>22</v>
      </c>
      <c r="I599" s="17" t="s">
        <v>23</v>
      </c>
      <c r="J599" s="17">
        <v>5</v>
      </c>
      <c r="K599" s="17" t="s">
        <v>52</v>
      </c>
      <c r="L599" s="17" t="s">
        <v>21</v>
      </c>
      <c r="M599" s="17" t="s">
        <v>82</v>
      </c>
      <c r="N599" s="17">
        <v>654</v>
      </c>
      <c r="O599" s="17">
        <v>654</v>
      </c>
      <c r="P599" s="26">
        <f>(data[[#This Row],[LoadedMiles]]/data[[#This Row],[TotalMiles]])*100</f>
        <v>100</v>
      </c>
      <c r="Q599" s="25">
        <f>data[[#This Row],[ShippingCost]]/data[[#This Row],[TotalMiles]]</f>
        <v>11.299694189602446</v>
      </c>
      <c r="R599" s="17">
        <v>7390</v>
      </c>
      <c r="S599" s="25">
        <f>data[[#This Row],[Revenue]]/data[[#This Row],[TotalMiles]]</f>
        <v>12.516819571865444</v>
      </c>
      <c r="T599" s="26">
        <f>data[[#This Row],[Revenue]]-data[[#This Row],[ShippingCost]]</f>
        <v>796</v>
      </c>
      <c r="U599" s="17">
        <v>8186</v>
      </c>
      <c r="V599" s="17">
        <v>83</v>
      </c>
      <c r="W599" s="17" t="s">
        <v>68</v>
      </c>
      <c r="X599" s="17">
        <v>2</v>
      </c>
      <c r="Y599" s="17">
        <f>data[[#This Row],[DeliveryDate]]-data[[#This Row],[ShipDate]]</f>
        <v>-48</v>
      </c>
      <c r="Z599" s="17" t="str">
        <f>IF(data[[#This Row],[Actual Delivery Days]]&gt;AD600,"Yes","No")</f>
        <v>No</v>
      </c>
    </row>
    <row r="600" spans="1:26">
      <c r="A600" s="17">
        <v>11124</v>
      </c>
      <c r="B600" s="17">
        <v>3</v>
      </c>
      <c r="C600" s="17">
        <v>1</v>
      </c>
      <c r="D600" s="17" t="s">
        <v>536</v>
      </c>
      <c r="E600" s="17" t="s">
        <v>190</v>
      </c>
      <c r="F600" s="17" t="str">
        <f>TEXT(data[[#This Row],[ShipDate]],"yyyy - mmmm")</f>
        <v>2016 - July</v>
      </c>
      <c r="G600" s="17" t="str">
        <f>data[[#This Row],[OriginCity]] &amp; " - "  &amp; data[[#This Row],[DestinationCity]]</f>
        <v>Chicago - Rockford</v>
      </c>
      <c r="H600" s="17" t="s">
        <v>39</v>
      </c>
      <c r="I600" s="17" t="s">
        <v>31</v>
      </c>
      <c r="J600" s="17">
        <v>5</v>
      </c>
      <c r="K600" s="17" t="s">
        <v>40</v>
      </c>
      <c r="L600" s="17" t="s">
        <v>31</v>
      </c>
      <c r="M600" s="17" t="s">
        <v>24</v>
      </c>
      <c r="N600" s="17">
        <v>1057</v>
      </c>
      <c r="O600" s="17">
        <v>216</v>
      </c>
      <c r="P600" s="26">
        <f>(data[[#This Row],[LoadedMiles]]/data[[#This Row],[TotalMiles]])*100</f>
        <v>20.435193945127718</v>
      </c>
      <c r="Q600" s="25">
        <f>data[[#This Row],[ShippingCost]]/data[[#This Row],[TotalMiles]]</f>
        <v>6.3330179754020817</v>
      </c>
      <c r="R600" s="17">
        <v>6694</v>
      </c>
      <c r="S600" s="25">
        <f>data[[#This Row],[Revenue]]/data[[#This Row],[TotalMiles]]</f>
        <v>10.651844843897823</v>
      </c>
      <c r="T600" s="26">
        <f>data[[#This Row],[Revenue]]-data[[#This Row],[ShippingCost]]</f>
        <v>4565</v>
      </c>
      <c r="U600" s="17">
        <v>11259</v>
      </c>
      <c r="V600" s="17">
        <v>52</v>
      </c>
      <c r="W600" s="17" t="s">
        <v>68</v>
      </c>
      <c r="X600" s="17">
        <v>8</v>
      </c>
      <c r="Y600" s="17">
        <f>data[[#This Row],[DeliveryDate]]-data[[#This Row],[ShipDate]]</f>
        <v>5</v>
      </c>
      <c r="Z600" s="17" t="str">
        <f>IF(data[[#This Row],[Actual Delivery Days]]&gt;AD601,"Yes","No")</f>
        <v>Yes</v>
      </c>
    </row>
    <row r="601" spans="1:26">
      <c r="A601" s="17">
        <v>11143</v>
      </c>
      <c r="B601" s="17">
        <v>3</v>
      </c>
      <c r="C601" s="17">
        <v>1</v>
      </c>
      <c r="D601" s="17" t="s">
        <v>560</v>
      </c>
      <c r="E601" s="17" t="s">
        <v>47</v>
      </c>
      <c r="F601" s="17" t="str">
        <f>TEXT(data[[#This Row],[ShipDate]],"yyyy - mmmm")</f>
        <v>2016 - April</v>
      </c>
      <c r="G601" s="17" t="str">
        <f>data[[#This Row],[OriginCity]] &amp; " - "  &amp; data[[#This Row],[DestinationCity]]</f>
        <v>Davenport - Appleton</v>
      </c>
      <c r="H601" s="17" t="s">
        <v>105</v>
      </c>
      <c r="I601" s="17" t="s">
        <v>106</v>
      </c>
      <c r="J601" s="17">
        <v>5</v>
      </c>
      <c r="K601" s="17" t="s">
        <v>85</v>
      </c>
      <c r="L601" s="17" t="s">
        <v>29</v>
      </c>
      <c r="M601" s="17" t="s">
        <v>624</v>
      </c>
      <c r="N601" s="17">
        <v>1171</v>
      </c>
      <c r="O601" s="17">
        <v>726</v>
      </c>
      <c r="P601" s="26">
        <f>(data[[#This Row],[LoadedMiles]]/data[[#This Row],[TotalMiles]])*100</f>
        <v>61.998292058070028</v>
      </c>
      <c r="Q601" s="25">
        <f>data[[#This Row],[ShippingCost]]/data[[#This Row],[TotalMiles]]</f>
        <v>6.5747224594363791</v>
      </c>
      <c r="R601" s="17">
        <v>7699</v>
      </c>
      <c r="S601" s="25">
        <f>data[[#This Row],[Revenue]]/data[[#This Row],[TotalMiles]]</f>
        <v>10.75405636208369</v>
      </c>
      <c r="T601" s="26">
        <f>data[[#This Row],[Revenue]]-data[[#This Row],[ShippingCost]]</f>
        <v>4894</v>
      </c>
      <c r="U601" s="17">
        <v>12593</v>
      </c>
      <c r="V601" s="17">
        <v>52</v>
      </c>
      <c r="W601" s="17" t="s">
        <v>68</v>
      </c>
      <c r="X601" s="17">
        <v>3</v>
      </c>
      <c r="Y601" s="17">
        <f>data[[#This Row],[DeliveryDate]]-data[[#This Row],[ShipDate]]</f>
        <v>5</v>
      </c>
      <c r="Z601" s="17" t="str">
        <f>IF(data[[#This Row],[Actual Delivery Days]]&gt;AD602,"Yes","No")</f>
        <v>Yes</v>
      </c>
    </row>
    <row r="602" spans="1:26">
      <c r="A602" s="17">
        <v>11149</v>
      </c>
      <c r="B602" s="17">
        <v>2</v>
      </c>
      <c r="C602" s="17">
        <v>1</v>
      </c>
      <c r="D602" s="17" t="s">
        <v>568</v>
      </c>
      <c r="E602" s="17" t="s">
        <v>130</v>
      </c>
      <c r="F602" s="17" t="str">
        <f>TEXT(data[[#This Row],[ShipDate]],"yyyy - mmmm")</f>
        <v>2016 - March</v>
      </c>
      <c r="G602" s="17" t="str">
        <f>data[[#This Row],[OriginCity]] &amp; " - "  &amp; data[[#This Row],[DestinationCity]]</f>
        <v>Detriot - Monon</v>
      </c>
      <c r="H602" s="17" t="s">
        <v>52</v>
      </c>
      <c r="I602" s="17" t="s">
        <v>21</v>
      </c>
      <c r="J602" s="17">
        <v>5</v>
      </c>
      <c r="K602" s="17" t="s">
        <v>53</v>
      </c>
      <c r="L602" s="17" t="s">
        <v>44</v>
      </c>
      <c r="M602" s="17" t="s">
        <v>355</v>
      </c>
      <c r="N602" s="17">
        <v>290</v>
      </c>
      <c r="O602" s="17">
        <v>289</v>
      </c>
      <c r="P602" s="26">
        <f>(data[[#This Row],[LoadedMiles]]/data[[#This Row],[TotalMiles]])*100</f>
        <v>99.655172413793096</v>
      </c>
      <c r="Q602" s="25">
        <f>data[[#This Row],[ShippingCost]]/data[[#This Row],[TotalMiles]]</f>
        <v>4.0862068965517242</v>
      </c>
      <c r="R602" s="17">
        <v>1185</v>
      </c>
      <c r="S602" s="25">
        <f>data[[#This Row],[Revenue]]/data[[#This Row],[TotalMiles]]</f>
        <v>15.934482758620689</v>
      </c>
      <c r="T602" s="26">
        <f>data[[#This Row],[Revenue]]-data[[#This Row],[ShippingCost]]</f>
        <v>3436</v>
      </c>
      <c r="U602" s="17">
        <v>4621</v>
      </c>
      <c r="V602" s="17">
        <v>76</v>
      </c>
      <c r="W602" s="17" t="s">
        <v>68</v>
      </c>
      <c r="X602" s="17">
        <v>5</v>
      </c>
      <c r="Y602" s="17">
        <f>data[[#This Row],[DeliveryDate]]-data[[#This Row],[ShipDate]]</f>
        <v>4</v>
      </c>
      <c r="Z602" s="17" t="str">
        <f>IF(data[[#This Row],[Actual Delivery Days]]&gt;AD603,"Yes","No")</f>
        <v>Yes</v>
      </c>
    </row>
    <row r="603" spans="1:26">
      <c r="A603" s="17">
        <v>11160</v>
      </c>
      <c r="B603" s="17">
        <v>2</v>
      </c>
      <c r="C603" s="17">
        <v>2</v>
      </c>
      <c r="D603" s="17" t="s">
        <v>580</v>
      </c>
      <c r="E603" s="17" t="s">
        <v>141</v>
      </c>
      <c r="F603" s="17" t="str">
        <f>TEXT(data[[#This Row],[ShipDate]],"yyyy - mmmm")</f>
        <v>2016 - August</v>
      </c>
      <c r="G603" s="17" t="str">
        <f>data[[#This Row],[OriginCity]] &amp; " - "  &amp; data[[#This Row],[DestinationCity]]</f>
        <v>Toledo - Detriot</v>
      </c>
      <c r="H603" s="17" t="s">
        <v>22</v>
      </c>
      <c r="I603" s="17" t="s">
        <v>23</v>
      </c>
      <c r="J603" s="17">
        <v>5</v>
      </c>
      <c r="K603" s="17" t="s">
        <v>52</v>
      </c>
      <c r="L603" s="17" t="s">
        <v>21</v>
      </c>
      <c r="M603" s="17" t="s">
        <v>422</v>
      </c>
      <c r="N603" s="17">
        <v>555</v>
      </c>
      <c r="O603" s="17">
        <v>280</v>
      </c>
      <c r="P603" s="26">
        <f>(data[[#This Row],[LoadedMiles]]/data[[#This Row],[TotalMiles]])*100</f>
        <v>50.450450450450447</v>
      </c>
      <c r="Q603" s="25">
        <f>data[[#This Row],[ShippingCost]]/data[[#This Row],[TotalMiles]]</f>
        <v>9.8396396396396391</v>
      </c>
      <c r="R603" s="17">
        <v>5461</v>
      </c>
      <c r="S603" s="25">
        <f>data[[#This Row],[Revenue]]/data[[#This Row],[TotalMiles]]</f>
        <v>10.688288288288287</v>
      </c>
      <c r="T603" s="26">
        <f>data[[#This Row],[Revenue]]-data[[#This Row],[ShippingCost]]</f>
        <v>471</v>
      </c>
      <c r="U603" s="17">
        <v>5932</v>
      </c>
      <c r="V603" s="17">
        <v>87</v>
      </c>
      <c r="W603" s="17" t="s">
        <v>68</v>
      </c>
      <c r="X603" s="17">
        <v>10</v>
      </c>
      <c r="Y603" s="17">
        <f>data[[#This Row],[DeliveryDate]]-data[[#This Row],[ShipDate]]</f>
        <v>5</v>
      </c>
      <c r="Z603" s="17" t="str">
        <f>IF(data[[#This Row],[Actual Delivery Days]]&gt;AD604,"Yes","No")</f>
        <v>Yes</v>
      </c>
    </row>
    <row r="604" spans="1:26">
      <c r="A604" s="17">
        <v>11161</v>
      </c>
      <c r="B604" s="17">
        <v>2</v>
      </c>
      <c r="C604" s="17">
        <v>3</v>
      </c>
      <c r="D604" s="17" t="s">
        <v>581</v>
      </c>
      <c r="E604" s="17" t="s">
        <v>184</v>
      </c>
      <c r="F604" s="17" t="str">
        <f>TEXT(data[[#This Row],[ShipDate]],"yyyy - mmmm")</f>
        <v>2016 - August</v>
      </c>
      <c r="G604" s="17" t="str">
        <f>data[[#This Row],[OriginCity]] &amp; " - "  &amp; data[[#This Row],[DestinationCity]]</f>
        <v>Lansing - Dayton</v>
      </c>
      <c r="H604" s="17" t="s">
        <v>66</v>
      </c>
      <c r="I604" s="17" t="s">
        <v>21</v>
      </c>
      <c r="J604" s="17">
        <v>5</v>
      </c>
      <c r="K604" s="17" t="s">
        <v>93</v>
      </c>
      <c r="L604" s="17" t="s">
        <v>23</v>
      </c>
      <c r="M604" s="17" t="s">
        <v>211</v>
      </c>
      <c r="N604" s="17">
        <v>333</v>
      </c>
      <c r="O604" s="17">
        <v>333</v>
      </c>
      <c r="P604" s="26">
        <f>(data[[#This Row],[LoadedMiles]]/data[[#This Row],[TotalMiles]])*100</f>
        <v>100</v>
      </c>
      <c r="Q604" s="25">
        <f>data[[#This Row],[ShippingCost]]/data[[#This Row],[TotalMiles]]</f>
        <v>2.5465465465465464</v>
      </c>
      <c r="R604" s="17">
        <v>848</v>
      </c>
      <c r="S604" s="25">
        <f>data[[#This Row],[Revenue]]/data[[#This Row],[TotalMiles]]</f>
        <v>4.96996996996997</v>
      </c>
      <c r="T604" s="26">
        <f>data[[#This Row],[Revenue]]-data[[#This Row],[ShippingCost]]</f>
        <v>807</v>
      </c>
      <c r="U604" s="17">
        <v>1655</v>
      </c>
      <c r="V604" s="17">
        <v>100</v>
      </c>
      <c r="W604" s="17" t="s">
        <v>68</v>
      </c>
      <c r="X604" s="17">
        <v>8</v>
      </c>
      <c r="Y604" s="17">
        <f>data[[#This Row],[DeliveryDate]]-data[[#This Row],[ShipDate]]</f>
        <v>5</v>
      </c>
      <c r="Z604" s="17" t="str">
        <f>IF(data[[#This Row],[Actual Delivery Days]]&gt;AD605,"Yes","No")</f>
        <v>Yes</v>
      </c>
    </row>
    <row r="605" spans="1:26">
      <c r="A605" s="17">
        <v>11200</v>
      </c>
      <c r="B605" s="17">
        <v>2</v>
      </c>
      <c r="C605" s="17">
        <v>5</v>
      </c>
      <c r="D605" s="17" t="s">
        <v>102</v>
      </c>
      <c r="E605" s="17" t="s">
        <v>202</v>
      </c>
      <c r="F605" s="17" t="str">
        <f>TEXT(data[[#This Row],[ShipDate]],"yyyy - mmmm")</f>
        <v>2016 - February</v>
      </c>
      <c r="G605" s="17" t="str">
        <f>data[[#This Row],[OriginCity]] &amp; " - "  &amp; data[[#This Row],[DestinationCity]]</f>
        <v>Green Bay - Joliet</v>
      </c>
      <c r="H605" s="17" t="s">
        <v>75</v>
      </c>
      <c r="I605" s="17" t="s">
        <v>29</v>
      </c>
      <c r="J605" s="17">
        <v>5</v>
      </c>
      <c r="K605" s="17" t="s">
        <v>61</v>
      </c>
      <c r="L605" s="17" t="s">
        <v>31</v>
      </c>
      <c r="M605" s="17" t="s">
        <v>206</v>
      </c>
      <c r="N605" s="17">
        <v>406</v>
      </c>
      <c r="O605" s="17">
        <v>339</v>
      </c>
      <c r="P605" s="26">
        <f>(data[[#This Row],[LoadedMiles]]/data[[#This Row],[TotalMiles]])*100</f>
        <v>83.497536945812811</v>
      </c>
      <c r="Q605" s="25">
        <f>data[[#This Row],[ShippingCost]]/data[[#This Row],[TotalMiles]]</f>
        <v>3.6527093596059115</v>
      </c>
      <c r="R605" s="17">
        <v>1483</v>
      </c>
      <c r="S605" s="25">
        <f>data[[#This Row],[Revenue]]/data[[#This Row],[TotalMiles]]</f>
        <v>4.8522167487684733</v>
      </c>
      <c r="T605" s="26">
        <f>data[[#This Row],[Revenue]]-data[[#This Row],[ShippingCost]]</f>
        <v>487</v>
      </c>
      <c r="U605" s="17">
        <v>1970</v>
      </c>
      <c r="V605" s="17">
        <v>85</v>
      </c>
      <c r="W605" s="17" t="s">
        <v>68</v>
      </c>
      <c r="X605" s="17">
        <v>7</v>
      </c>
      <c r="Y605" s="17">
        <f>data[[#This Row],[DeliveryDate]]-data[[#This Row],[ShipDate]]</f>
        <v>5</v>
      </c>
      <c r="Z605" s="17" t="str">
        <f>IF(data[[#This Row],[Actual Delivery Days]]&gt;AD606,"Yes","No")</f>
        <v>Yes</v>
      </c>
    </row>
    <row r="606" spans="1:26">
      <c r="A606" s="17">
        <v>11221</v>
      </c>
      <c r="B606" s="17">
        <v>3</v>
      </c>
      <c r="C606" s="17">
        <v>3</v>
      </c>
      <c r="D606" s="17" t="s">
        <v>162</v>
      </c>
      <c r="E606" s="17" t="s">
        <v>302</v>
      </c>
      <c r="F606" s="17" t="str">
        <f>TEXT(data[[#This Row],[ShipDate]],"yyyy - mmmm")</f>
        <v>2016 - August</v>
      </c>
      <c r="G606" s="17" t="str">
        <f>data[[#This Row],[OriginCity]] &amp; " - "  &amp; data[[#This Row],[DestinationCity]]</f>
        <v>Joliet - Madison</v>
      </c>
      <c r="H606" s="17" t="s">
        <v>61</v>
      </c>
      <c r="I606" s="17" t="s">
        <v>31</v>
      </c>
      <c r="J606" s="17">
        <v>5</v>
      </c>
      <c r="K606" s="17" t="s">
        <v>62</v>
      </c>
      <c r="L606" s="17" t="s">
        <v>29</v>
      </c>
      <c r="M606" s="17" t="s">
        <v>119</v>
      </c>
      <c r="N606" s="17">
        <v>305</v>
      </c>
      <c r="O606" s="17">
        <v>305</v>
      </c>
      <c r="P606" s="26">
        <f>(data[[#This Row],[LoadedMiles]]/data[[#This Row],[TotalMiles]])*100</f>
        <v>100</v>
      </c>
      <c r="Q606" s="25">
        <f>data[[#This Row],[ShippingCost]]/data[[#This Row],[TotalMiles]]</f>
        <v>18.140983606557377</v>
      </c>
      <c r="R606" s="17">
        <v>5533</v>
      </c>
      <c r="S606" s="25">
        <f>data[[#This Row],[Revenue]]/data[[#This Row],[TotalMiles]]</f>
        <v>21.314754098360655</v>
      </c>
      <c r="T606" s="26">
        <f>data[[#This Row],[Revenue]]-data[[#This Row],[ShippingCost]]</f>
        <v>968</v>
      </c>
      <c r="U606" s="17">
        <v>6501</v>
      </c>
      <c r="V606" s="17">
        <v>71</v>
      </c>
      <c r="W606" s="17" t="s">
        <v>68</v>
      </c>
      <c r="X606" s="17">
        <v>1</v>
      </c>
      <c r="Y606" s="17">
        <f>data[[#This Row],[DeliveryDate]]-data[[#This Row],[ShipDate]]</f>
        <v>5</v>
      </c>
      <c r="Z606" s="17" t="str">
        <f>IF(data[[#This Row],[Actual Delivery Days]]&gt;AD607,"Yes","No")</f>
        <v>Yes</v>
      </c>
    </row>
    <row r="607" spans="1:26">
      <c r="A607" s="17">
        <v>11222</v>
      </c>
      <c r="B607" s="17">
        <v>3</v>
      </c>
      <c r="C607" s="17">
        <v>3</v>
      </c>
      <c r="D607" s="17" t="s">
        <v>165</v>
      </c>
      <c r="E607" s="17" t="s">
        <v>299</v>
      </c>
      <c r="F607" s="17" t="str">
        <f>TEXT(data[[#This Row],[ShipDate]],"yyyy - mmmm")</f>
        <v>2016 - July</v>
      </c>
      <c r="G607" s="17" t="str">
        <f>data[[#This Row],[OriginCity]] &amp; " - "  &amp; data[[#This Row],[DestinationCity]]</f>
        <v>Monon - Lansing</v>
      </c>
      <c r="H607" s="17" t="s">
        <v>53</v>
      </c>
      <c r="I607" s="17" t="s">
        <v>44</v>
      </c>
      <c r="J607" s="17">
        <v>5</v>
      </c>
      <c r="K607" s="17" t="s">
        <v>66</v>
      </c>
      <c r="L607" s="17" t="s">
        <v>21</v>
      </c>
      <c r="M607" s="17" t="s">
        <v>82</v>
      </c>
      <c r="N607" s="17">
        <v>723</v>
      </c>
      <c r="O607" s="17">
        <v>212</v>
      </c>
      <c r="P607" s="26">
        <f>(data[[#This Row],[LoadedMiles]]/data[[#This Row],[TotalMiles]])*100</f>
        <v>29.322268326417706</v>
      </c>
      <c r="Q607" s="25">
        <f>data[[#This Row],[ShippingCost]]/data[[#This Row],[TotalMiles]]</f>
        <v>10.352697095435685</v>
      </c>
      <c r="R607" s="17">
        <v>7485</v>
      </c>
      <c r="S607" s="25">
        <f>data[[#This Row],[Revenue]]/data[[#This Row],[TotalMiles]]</f>
        <v>10.751037344398341</v>
      </c>
      <c r="T607" s="26">
        <f>data[[#This Row],[Revenue]]-data[[#This Row],[ShippingCost]]</f>
        <v>288</v>
      </c>
      <c r="U607" s="17">
        <v>7773</v>
      </c>
      <c r="V607" s="17">
        <v>91</v>
      </c>
      <c r="W607" s="17" t="s">
        <v>68</v>
      </c>
      <c r="X607" s="17">
        <v>2</v>
      </c>
      <c r="Y607" s="17">
        <f>data[[#This Row],[DeliveryDate]]-data[[#This Row],[ShipDate]]</f>
        <v>-106</v>
      </c>
      <c r="Z607" s="17" t="str">
        <f>IF(data[[#This Row],[Actual Delivery Days]]&gt;AD608,"Yes","No")</f>
        <v>No</v>
      </c>
    </row>
    <row r="608" spans="1:26">
      <c r="A608" s="17">
        <v>11236</v>
      </c>
      <c r="B608" s="17">
        <v>2</v>
      </c>
      <c r="C608" s="17">
        <v>6</v>
      </c>
      <c r="D608" s="17" t="s">
        <v>201</v>
      </c>
      <c r="E608" s="17" t="s">
        <v>136</v>
      </c>
      <c r="F608" s="17" t="str">
        <f>TEXT(data[[#This Row],[ShipDate]],"yyyy - mmmm")</f>
        <v>2016 - June</v>
      </c>
      <c r="G608" s="17" t="str">
        <f>data[[#This Row],[OriginCity]] &amp; " - "  &amp; data[[#This Row],[DestinationCity]]</f>
        <v>Milwaukee - Springfield</v>
      </c>
      <c r="H608" s="17" t="s">
        <v>28</v>
      </c>
      <c r="I608" s="17" t="s">
        <v>29</v>
      </c>
      <c r="J608" s="17">
        <v>5</v>
      </c>
      <c r="K608" s="17" t="s">
        <v>30</v>
      </c>
      <c r="L608" s="17" t="s">
        <v>31</v>
      </c>
      <c r="M608" s="17" t="s">
        <v>607</v>
      </c>
      <c r="N608" s="17">
        <v>323</v>
      </c>
      <c r="O608" s="17">
        <v>323</v>
      </c>
      <c r="P608" s="26">
        <f>(data[[#This Row],[LoadedMiles]]/data[[#This Row],[TotalMiles]])*100</f>
        <v>100</v>
      </c>
      <c r="Q608" s="25">
        <f>data[[#This Row],[ShippingCost]]/data[[#This Row],[TotalMiles]]</f>
        <v>10.009287925696594</v>
      </c>
      <c r="R608" s="17">
        <v>3233</v>
      </c>
      <c r="S608" s="25">
        <f>data[[#This Row],[Revenue]]/data[[#This Row],[TotalMiles]]</f>
        <v>11.117647058823529</v>
      </c>
      <c r="T608" s="26">
        <f>data[[#This Row],[Revenue]]-data[[#This Row],[ShippingCost]]</f>
        <v>358</v>
      </c>
      <c r="U608" s="17">
        <v>3591</v>
      </c>
      <c r="V608" s="17">
        <v>60</v>
      </c>
      <c r="W608" s="17" t="s">
        <v>68</v>
      </c>
      <c r="X608" s="17">
        <v>2</v>
      </c>
      <c r="Y608" s="17">
        <f>data[[#This Row],[DeliveryDate]]-data[[#This Row],[ShipDate]]</f>
        <v>5</v>
      </c>
      <c r="Z608" s="17" t="str">
        <f>IF(data[[#This Row],[Actual Delivery Days]]&gt;AD609,"Yes","No")</f>
        <v>Yes</v>
      </c>
    </row>
    <row r="609" spans="1:26">
      <c r="A609" s="17">
        <v>11346</v>
      </c>
      <c r="B609" s="17">
        <v>3</v>
      </c>
      <c r="C609" s="17">
        <v>1</v>
      </c>
      <c r="D609" s="17" t="s">
        <v>417</v>
      </c>
      <c r="E609" s="17" t="s">
        <v>513</v>
      </c>
      <c r="F609" s="17" t="str">
        <f>TEXT(data[[#This Row],[ShipDate]],"yyyy - mmmm")</f>
        <v>2016 - August</v>
      </c>
      <c r="G609" s="17" t="str">
        <f>data[[#This Row],[OriginCity]] &amp; " - "  &amp; data[[#This Row],[DestinationCity]]</f>
        <v>Springfield - Skokie</v>
      </c>
      <c r="H609" s="17" t="s">
        <v>30</v>
      </c>
      <c r="I609" s="17" t="s">
        <v>31</v>
      </c>
      <c r="J609" s="17">
        <v>5</v>
      </c>
      <c r="K609" s="17" t="s">
        <v>35</v>
      </c>
      <c r="L609" s="17" t="s">
        <v>31</v>
      </c>
      <c r="M609" s="17" t="s">
        <v>184</v>
      </c>
      <c r="N609" s="17">
        <v>320</v>
      </c>
      <c r="O609" s="17">
        <v>320</v>
      </c>
      <c r="P609" s="26">
        <f>(data[[#This Row],[LoadedMiles]]/data[[#This Row],[TotalMiles]])*100</f>
        <v>100</v>
      </c>
      <c r="Q609" s="25">
        <f>data[[#This Row],[ShippingCost]]/data[[#This Row],[TotalMiles]]</f>
        <v>13.409375000000001</v>
      </c>
      <c r="R609" s="17">
        <v>4291</v>
      </c>
      <c r="S609" s="25">
        <f>data[[#This Row],[Revenue]]/data[[#This Row],[TotalMiles]]</f>
        <v>26.581250000000001</v>
      </c>
      <c r="T609" s="26">
        <f>data[[#This Row],[Revenue]]-data[[#This Row],[ShippingCost]]</f>
        <v>4215</v>
      </c>
      <c r="U609" s="17">
        <v>8506</v>
      </c>
      <c r="V609" s="17">
        <v>88</v>
      </c>
      <c r="W609" s="17" t="s">
        <v>68</v>
      </c>
      <c r="X609" s="17">
        <v>8</v>
      </c>
      <c r="Y609" s="17">
        <f>data[[#This Row],[DeliveryDate]]-data[[#This Row],[ShipDate]]</f>
        <v>5</v>
      </c>
      <c r="Z609" s="17" t="str">
        <f>IF(data[[#This Row],[Actual Delivery Days]]&gt;AD610,"Yes","No")</f>
        <v>Yes</v>
      </c>
    </row>
    <row r="610" spans="1:26">
      <c r="A610" s="17">
        <v>11355</v>
      </c>
      <c r="B610" s="17">
        <v>2</v>
      </c>
      <c r="C610" s="17">
        <v>3</v>
      </c>
      <c r="D610" s="17" t="s">
        <v>431</v>
      </c>
      <c r="E610" s="17" t="s">
        <v>221</v>
      </c>
      <c r="F610" s="17" t="str">
        <f>TEXT(data[[#This Row],[ShipDate]],"yyyy - mmmm")</f>
        <v>2016 - April</v>
      </c>
      <c r="G610" s="17" t="str">
        <f>data[[#This Row],[OriginCity]] &amp; " - "  &amp; data[[#This Row],[DestinationCity]]</f>
        <v>Green Bay - Joliet</v>
      </c>
      <c r="H610" s="17" t="s">
        <v>75</v>
      </c>
      <c r="I610" s="17" t="s">
        <v>29</v>
      </c>
      <c r="J610" s="17">
        <v>5</v>
      </c>
      <c r="K610" s="17" t="s">
        <v>61</v>
      </c>
      <c r="L610" s="17" t="s">
        <v>31</v>
      </c>
      <c r="M610" s="17" t="s">
        <v>158</v>
      </c>
      <c r="N610" s="17">
        <v>609</v>
      </c>
      <c r="O610" s="17">
        <v>609</v>
      </c>
      <c r="P610" s="26">
        <f>(data[[#This Row],[LoadedMiles]]/data[[#This Row],[TotalMiles]])*100</f>
        <v>100</v>
      </c>
      <c r="Q610" s="25">
        <f>data[[#This Row],[ShippingCost]]/data[[#This Row],[TotalMiles]]</f>
        <v>1.1855500821018063</v>
      </c>
      <c r="R610" s="17">
        <v>722</v>
      </c>
      <c r="S610" s="25">
        <f>data[[#This Row],[Revenue]]/data[[#This Row],[TotalMiles]]</f>
        <v>2.1724137931034484</v>
      </c>
      <c r="T610" s="26">
        <f>data[[#This Row],[Revenue]]-data[[#This Row],[ShippingCost]]</f>
        <v>601</v>
      </c>
      <c r="U610" s="17">
        <v>1323</v>
      </c>
      <c r="V610" s="17">
        <v>82</v>
      </c>
      <c r="W610" s="17" t="s">
        <v>68</v>
      </c>
      <c r="X610" s="17">
        <v>9</v>
      </c>
      <c r="Y610" s="17">
        <f>data[[#This Row],[DeliveryDate]]-data[[#This Row],[ShipDate]]</f>
        <v>2</v>
      </c>
      <c r="Z610" s="17" t="str">
        <f>IF(data[[#This Row],[Actual Delivery Days]]&gt;AD611,"Yes","No")</f>
        <v>Yes</v>
      </c>
    </row>
    <row r="611" spans="1:26">
      <c r="A611" s="17">
        <v>11367</v>
      </c>
      <c r="B611" s="17">
        <v>2</v>
      </c>
      <c r="C611" s="17">
        <v>4</v>
      </c>
      <c r="D611" s="17" t="s">
        <v>448</v>
      </c>
      <c r="E611" s="17" t="s">
        <v>32</v>
      </c>
      <c r="F611" s="17" t="str">
        <f>TEXT(data[[#This Row],[ShipDate]],"yyyy - mmmm")</f>
        <v>2016 - May</v>
      </c>
      <c r="G611" s="17" t="str">
        <f>data[[#This Row],[OriginCity]] &amp; " - "  &amp; data[[#This Row],[DestinationCity]]</f>
        <v>Davenport - Appleton</v>
      </c>
      <c r="H611" s="17" t="s">
        <v>105</v>
      </c>
      <c r="I611" s="17" t="s">
        <v>106</v>
      </c>
      <c r="J611" s="17">
        <v>5</v>
      </c>
      <c r="K611" s="17" t="s">
        <v>85</v>
      </c>
      <c r="L611" s="17" t="s">
        <v>29</v>
      </c>
      <c r="M611" s="17" t="s">
        <v>509</v>
      </c>
      <c r="N611" s="17">
        <v>535</v>
      </c>
      <c r="O611" s="17">
        <v>480</v>
      </c>
      <c r="P611" s="26">
        <f>(data[[#This Row],[LoadedMiles]]/data[[#This Row],[TotalMiles]])*100</f>
        <v>89.719626168224295</v>
      </c>
      <c r="Q611" s="25">
        <f>data[[#This Row],[ShippingCost]]/data[[#This Row],[TotalMiles]]</f>
        <v>9.6</v>
      </c>
      <c r="R611" s="17">
        <v>5136</v>
      </c>
      <c r="S611" s="25">
        <f>data[[#This Row],[Revenue]]/data[[#This Row],[TotalMiles]]</f>
        <v>6.7943925233644862</v>
      </c>
      <c r="T611" s="26">
        <f>data[[#This Row],[Revenue]]-data[[#This Row],[ShippingCost]]</f>
        <v>-1501</v>
      </c>
      <c r="U611" s="17">
        <v>3635</v>
      </c>
      <c r="V611" s="17">
        <v>93</v>
      </c>
      <c r="W611" s="17" t="s">
        <v>68</v>
      </c>
      <c r="X611" s="17">
        <v>9</v>
      </c>
      <c r="Y611" s="17">
        <f>data[[#This Row],[DeliveryDate]]-data[[#This Row],[ShipDate]]</f>
        <v>5</v>
      </c>
      <c r="Z611" s="17" t="str">
        <f>IF(data[[#This Row],[Actual Delivery Days]]&gt;AD612,"Yes","No")</f>
        <v>Yes</v>
      </c>
    </row>
    <row r="612" spans="1:26">
      <c r="A612" s="17">
        <v>11384</v>
      </c>
      <c r="B612" s="17">
        <v>3</v>
      </c>
      <c r="C612" s="17">
        <v>5</v>
      </c>
      <c r="D612" s="17" t="s">
        <v>475</v>
      </c>
      <c r="E612" s="17" t="s">
        <v>199</v>
      </c>
      <c r="F612" s="17" t="str">
        <f>TEXT(data[[#This Row],[ShipDate]],"yyyy - mmmm")</f>
        <v>2016 - March</v>
      </c>
      <c r="G612" s="17" t="str">
        <f>data[[#This Row],[OriginCity]] &amp; " - "  &amp; data[[#This Row],[DestinationCity]]</f>
        <v>Toledo - Detriot</v>
      </c>
      <c r="H612" s="17" t="s">
        <v>22</v>
      </c>
      <c r="I612" s="17" t="s">
        <v>23</v>
      </c>
      <c r="J612" s="17">
        <v>5</v>
      </c>
      <c r="K612" s="17" t="s">
        <v>52</v>
      </c>
      <c r="L612" s="17" t="s">
        <v>21</v>
      </c>
      <c r="M612" s="17" t="s">
        <v>253</v>
      </c>
      <c r="N612" s="17">
        <v>341</v>
      </c>
      <c r="O612" s="17">
        <v>341</v>
      </c>
      <c r="P612" s="26">
        <f>(data[[#This Row],[LoadedMiles]]/data[[#This Row],[TotalMiles]])*100</f>
        <v>100</v>
      </c>
      <c r="Q612" s="25">
        <f>data[[#This Row],[ShippingCost]]/data[[#This Row],[TotalMiles]]</f>
        <v>2.4222873900293256</v>
      </c>
      <c r="R612" s="17">
        <v>826</v>
      </c>
      <c r="S612" s="25">
        <f>data[[#This Row],[Revenue]]/data[[#This Row],[TotalMiles]]</f>
        <v>3.7067448680351904</v>
      </c>
      <c r="T612" s="26">
        <f>data[[#This Row],[Revenue]]-data[[#This Row],[ShippingCost]]</f>
        <v>438</v>
      </c>
      <c r="U612" s="17">
        <v>1264</v>
      </c>
      <c r="V612" s="17">
        <v>63</v>
      </c>
      <c r="W612" s="17" t="s">
        <v>68</v>
      </c>
      <c r="X612" s="17">
        <v>3</v>
      </c>
      <c r="Y612" s="17">
        <f>data[[#This Row],[DeliveryDate]]-data[[#This Row],[ShipDate]]</f>
        <v>5</v>
      </c>
      <c r="Z612" s="17" t="str">
        <f>IF(data[[#This Row],[Actual Delivery Days]]&gt;AD613,"Yes","No")</f>
        <v>Yes</v>
      </c>
    </row>
    <row r="613" spans="1:26">
      <c r="A613" s="17">
        <v>11404</v>
      </c>
      <c r="B613" s="17">
        <v>2</v>
      </c>
      <c r="C613" s="17">
        <v>1</v>
      </c>
      <c r="D613" s="17" t="s">
        <v>502</v>
      </c>
      <c r="E613" s="17" t="s">
        <v>224</v>
      </c>
      <c r="F613" s="17" t="str">
        <f>TEXT(data[[#This Row],[ShipDate]],"yyyy - mmmm")</f>
        <v>2016 - May</v>
      </c>
      <c r="G613" s="17" t="str">
        <f>data[[#This Row],[OriginCity]] &amp; " - "  &amp; data[[#This Row],[DestinationCity]]</f>
        <v>Dayton - Elgin</v>
      </c>
      <c r="H613" s="17" t="s">
        <v>93</v>
      </c>
      <c r="I613" s="17" t="s">
        <v>23</v>
      </c>
      <c r="J613" s="17">
        <v>5</v>
      </c>
      <c r="K613" s="17" t="s">
        <v>94</v>
      </c>
      <c r="L613" s="17" t="s">
        <v>31</v>
      </c>
      <c r="M613" s="17" t="s">
        <v>312</v>
      </c>
      <c r="N613" s="17">
        <v>415</v>
      </c>
      <c r="O613" s="17">
        <v>367</v>
      </c>
      <c r="P613" s="26">
        <f>(data[[#This Row],[LoadedMiles]]/data[[#This Row],[TotalMiles]])*100</f>
        <v>88.433734939759034</v>
      </c>
      <c r="Q613" s="25">
        <f>data[[#This Row],[ShippingCost]]/data[[#This Row],[TotalMiles]]</f>
        <v>17.149397590361446</v>
      </c>
      <c r="R613" s="17">
        <v>7117</v>
      </c>
      <c r="S613" s="25">
        <f>data[[#This Row],[Revenue]]/data[[#This Row],[TotalMiles]]</f>
        <v>27.457831325301203</v>
      </c>
      <c r="T613" s="26">
        <f>data[[#This Row],[Revenue]]-data[[#This Row],[ShippingCost]]</f>
        <v>4278</v>
      </c>
      <c r="U613" s="17">
        <v>11395</v>
      </c>
      <c r="V613" s="17">
        <v>70</v>
      </c>
      <c r="W613" s="17" t="s">
        <v>68</v>
      </c>
      <c r="X613" s="17">
        <v>1</v>
      </c>
      <c r="Y613" s="17">
        <f>data[[#This Row],[DeliveryDate]]-data[[#This Row],[ShipDate]]</f>
        <v>5</v>
      </c>
      <c r="Z613" s="17" t="str">
        <f>IF(data[[#This Row],[Actual Delivery Days]]&gt;AD614,"Yes","No")</f>
        <v>Yes</v>
      </c>
    </row>
    <row r="614" spans="1:26">
      <c r="A614" s="17">
        <v>11456</v>
      </c>
      <c r="B614" s="17">
        <v>2</v>
      </c>
      <c r="C614" s="17">
        <v>1</v>
      </c>
      <c r="D614" s="17" t="s">
        <v>571</v>
      </c>
      <c r="E614" s="17" t="s">
        <v>119</v>
      </c>
      <c r="F614" s="17" t="str">
        <f>TEXT(data[[#This Row],[ShipDate]],"yyyy - mmmm")</f>
        <v>2016 - August</v>
      </c>
      <c r="G614" s="17" t="str">
        <f>data[[#This Row],[OriginCity]] &amp; " - "  &amp; data[[#This Row],[DestinationCity]]</f>
        <v>Milwaukee - Springfield</v>
      </c>
      <c r="H614" s="17" t="s">
        <v>28</v>
      </c>
      <c r="I614" s="17" t="s">
        <v>29</v>
      </c>
      <c r="J614" s="17">
        <v>5</v>
      </c>
      <c r="K614" s="17" t="s">
        <v>30</v>
      </c>
      <c r="L614" s="17" t="s">
        <v>31</v>
      </c>
      <c r="M614" s="17" t="s">
        <v>34</v>
      </c>
      <c r="N614" s="17">
        <v>755</v>
      </c>
      <c r="O614" s="17">
        <v>366</v>
      </c>
      <c r="P614" s="26">
        <f>(data[[#This Row],[LoadedMiles]]/data[[#This Row],[TotalMiles]])*100</f>
        <v>48.476821192052981</v>
      </c>
      <c r="Q614" s="25">
        <f>data[[#This Row],[ShippingCost]]/data[[#This Row],[TotalMiles]]</f>
        <v>7.5774834437086094</v>
      </c>
      <c r="R614" s="17">
        <v>5721</v>
      </c>
      <c r="S614" s="25">
        <f>data[[#This Row],[Revenue]]/data[[#This Row],[TotalMiles]]</f>
        <v>13.120529801324503</v>
      </c>
      <c r="T614" s="26">
        <f>data[[#This Row],[Revenue]]-data[[#This Row],[ShippingCost]]</f>
        <v>4185</v>
      </c>
      <c r="U614" s="17">
        <v>9906</v>
      </c>
      <c r="V614" s="17">
        <v>92</v>
      </c>
      <c r="W614" s="17" t="s">
        <v>68</v>
      </c>
      <c r="X614" s="17">
        <v>2</v>
      </c>
      <c r="Y614" s="17">
        <f>data[[#This Row],[DeliveryDate]]-data[[#This Row],[ShipDate]]</f>
        <v>5</v>
      </c>
      <c r="Z614" s="17" t="str">
        <f>IF(data[[#This Row],[Actual Delivery Days]]&gt;AD615,"Yes","No")</f>
        <v>Yes</v>
      </c>
    </row>
    <row r="615" spans="1:26">
      <c r="A615" s="17">
        <v>11477</v>
      </c>
      <c r="B615" s="17">
        <v>3</v>
      </c>
      <c r="C615" s="17">
        <v>6</v>
      </c>
      <c r="D615" s="17" t="s">
        <v>598</v>
      </c>
      <c r="E615" s="17" t="s">
        <v>609</v>
      </c>
      <c r="F615" s="17" t="str">
        <f>TEXT(data[[#This Row],[ShipDate]],"yyyy - mmmm")</f>
        <v>2016 - April</v>
      </c>
      <c r="G615" s="17" t="str">
        <f>data[[#This Row],[OriginCity]] &amp; " - "  &amp; data[[#This Row],[DestinationCity]]</f>
        <v>Grand Rapids - Toledo</v>
      </c>
      <c r="H615" s="17" t="s">
        <v>20</v>
      </c>
      <c r="I615" s="17" t="s">
        <v>21</v>
      </c>
      <c r="J615" s="17">
        <v>5</v>
      </c>
      <c r="K615" s="17" t="s">
        <v>22</v>
      </c>
      <c r="L615" s="17" t="s">
        <v>23</v>
      </c>
      <c r="M615" s="17" t="s">
        <v>98</v>
      </c>
      <c r="N615" s="17">
        <v>267</v>
      </c>
      <c r="O615" s="17">
        <v>267</v>
      </c>
      <c r="P615" s="26">
        <f>(data[[#This Row],[LoadedMiles]]/data[[#This Row],[TotalMiles]])*100</f>
        <v>100</v>
      </c>
      <c r="Q615" s="25">
        <f>data[[#This Row],[ShippingCost]]/data[[#This Row],[TotalMiles]]</f>
        <v>0.47191011235955055</v>
      </c>
      <c r="R615" s="17">
        <v>126</v>
      </c>
      <c r="S615" s="25">
        <f>data[[#This Row],[Revenue]]/data[[#This Row],[TotalMiles]]</f>
        <v>2.7453183520599249</v>
      </c>
      <c r="T615" s="26">
        <f>data[[#This Row],[Revenue]]-data[[#This Row],[ShippingCost]]</f>
        <v>607</v>
      </c>
      <c r="U615" s="17">
        <v>733</v>
      </c>
      <c r="V615" s="17">
        <v>62</v>
      </c>
      <c r="W615" s="17" t="s">
        <v>68</v>
      </c>
      <c r="X615" s="17">
        <v>3</v>
      </c>
      <c r="Y615" s="17">
        <f>data[[#This Row],[DeliveryDate]]-data[[#This Row],[ShipDate]]</f>
        <v>7</v>
      </c>
      <c r="Z615" s="17" t="str">
        <f>IF(data[[#This Row],[Actual Delivery Days]]&gt;AD616,"Yes","No")</f>
        <v>Yes</v>
      </c>
    </row>
    <row r="616" spans="1:26">
      <c r="A616" s="17">
        <v>11535</v>
      </c>
      <c r="B616" s="17">
        <v>2</v>
      </c>
      <c r="C616" s="17">
        <v>3</v>
      </c>
      <c r="D616" s="17" t="s">
        <v>192</v>
      </c>
      <c r="E616" s="17" t="s">
        <v>76</v>
      </c>
      <c r="F616" s="17" t="str">
        <f>TEXT(data[[#This Row],[ShipDate]],"yyyy - mmmm")</f>
        <v>2016 - March</v>
      </c>
      <c r="G616" s="17" t="str">
        <f>data[[#This Row],[OriginCity]] &amp; " - "  &amp; data[[#This Row],[DestinationCity]]</f>
        <v>Rockford - Green Bay</v>
      </c>
      <c r="H616" s="17" t="s">
        <v>40</v>
      </c>
      <c r="I616" s="17" t="s">
        <v>31</v>
      </c>
      <c r="J616" s="17">
        <v>5</v>
      </c>
      <c r="K616" s="17" t="s">
        <v>75</v>
      </c>
      <c r="L616" s="17" t="s">
        <v>29</v>
      </c>
      <c r="M616" s="17" t="s">
        <v>82</v>
      </c>
      <c r="N616" s="17">
        <v>411</v>
      </c>
      <c r="O616" s="17">
        <v>411</v>
      </c>
      <c r="P616" s="26">
        <f>(data[[#This Row],[LoadedMiles]]/data[[#This Row],[TotalMiles]])*100</f>
        <v>100</v>
      </c>
      <c r="Q616" s="25">
        <f>data[[#This Row],[ShippingCost]]/data[[#This Row],[TotalMiles]]</f>
        <v>20.017031630170315</v>
      </c>
      <c r="R616" s="17">
        <v>8227</v>
      </c>
      <c r="S616" s="25">
        <f>data[[#This Row],[Revenue]]/data[[#This Row],[TotalMiles]]</f>
        <v>21.773722627737225</v>
      </c>
      <c r="T616" s="26">
        <f>data[[#This Row],[Revenue]]-data[[#This Row],[ShippingCost]]</f>
        <v>722</v>
      </c>
      <c r="U616" s="17">
        <v>8949</v>
      </c>
      <c r="V616" s="17">
        <v>70</v>
      </c>
      <c r="W616" s="17" t="s">
        <v>68</v>
      </c>
      <c r="X616" s="17">
        <v>10</v>
      </c>
      <c r="Y616" s="17">
        <f>data[[#This Row],[DeliveryDate]]-data[[#This Row],[ShipDate]]</f>
        <v>13</v>
      </c>
      <c r="Z616" s="17" t="str">
        <f>IF(data[[#This Row],[Actual Delivery Days]]&gt;AD617,"Yes","No")</f>
        <v>Yes</v>
      </c>
    </row>
    <row r="617" spans="1:26">
      <c r="A617" s="17">
        <v>11554</v>
      </c>
      <c r="B617" s="17">
        <v>3</v>
      </c>
      <c r="C617" s="17">
        <v>5</v>
      </c>
      <c r="D617" s="17" t="s">
        <v>235</v>
      </c>
      <c r="E617" s="17" t="s">
        <v>67</v>
      </c>
      <c r="F617" s="17" t="str">
        <f>TEXT(data[[#This Row],[ShipDate]],"yyyy - mmmm")</f>
        <v>2016 - April</v>
      </c>
      <c r="G617" s="17" t="str">
        <f>data[[#This Row],[OriginCity]] &amp; " - "  &amp; data[[#This Row],[DestinationCity]]</f>
        <v>Monon - Lansing</v>
      </c>
      <c r="H617" s="17" t="s">
        <v>53</v>
      </c>
      <c r="I617" s="17" t="s">
        <v>44</v>
      </c>
      <c r="J617" s="17">
        <v>5</v>
      </c>
      <c r="K617" s="17" t="s">
        <v>66</v>
      </c>
      <c r="L617" s="17" t="s">
        <v>21</v>
      </c>
      <c r="M617" s="17" t="s">
        <v>82</v>
      </c>
      <c r="N617" s="17">
        <v>383</v>
      </c>
      <c r="O617" s="17">
        <v>383</v>
      </c>
      <c r="P617" s="26">
        <f>(data[[#This Row],[LoadedMiles]]/data[[#This Row],[TotalMiles]])*100</f>
        <v>100</v>
      </c>
      <c r="Q617" s="25">
        <f>data[[#This Row],[ShippingCost]]/data[[#This Row],[TotalMiles]]</f>
        <v>4.2610966057441253</v>
      </c>
      <c r="R617" s="17">
        <v>1632</v>
      </c>
      <c r="S617" s="25">
        <f>data[[#This Row],[Revenue]]/data[[#This Row],[TotalMiles]]</f>
        <v>6.0313315926892948</v>
      </c>
      <c r="T617" s="26">
        <f>data[[#This Row],[Revenue]]-data[[#This Row],[ShippingCost]]</f>
        <v>678</v>
      </c>
      <c r="U617" s="17">
        <v>2310</v>
      </c>
      <c r="V617" s="17">
        <v>64</v>
      </c>
      <c r="W617" s="17" t="s">
        <v>68</v>
      </c>
      <c r="X617" s="17">
        <v>7</v>
      </c>
      <c r="Y617" s="17">
        <f>data[[#This Row],[DeliveryDate]]-data[[#This Row],[ShipDate]]</f>
        <v>-28</v>
      </c>
      <c r="Z617" s="17" t="str">
        <f>IF(data[[#This Row],[Actual Delivery Days]]&gt;AD618,"Yes","No")</f>
        <v>No</v>
      </c>
    </row>
    <row r="618" spans="1:26">
      <c r="A618" s="17">
        <v>11576</v>
      </c>
      <c r="B618" s="17">
        <v>3</v>
      </c>
      <c r="C618" s="17">
        <v>4</v>
      </c>
      <c r="D618" s="17" t="s">
        <v>284</v>
      </c>
      <c r="E618" s="17" t="s">
        <v>387</v>
      </c>
      <c r="F618" s="17" t="str">
        <f>TEXT(data[[#This Row],[ShipDate]],"yyyy - mmmm")</f>
        <v>2016 - August</v>
      </c>
      <c r="G618" s="17" t="str">
        <f>data[[#This Row],[OriginCity]] &amp; " - "  &amp; data[[#This Row],[DestinationCity]]</f>
        <v>Madison - Kalamazoo</v>
      </c>
      <c r="H618" s="17" t="s">
        <v>62</v>
      </c>
      <c r="I618" s="17" t="s">
        <v>29</v>
      </c>
      <c r="J618" s="17">
        <v>5</v>
      </c>
      <c r="K618" s="17" t="s">
        <v>71</v>
      </c>
      <c r="L618" s="17" t="s">
        <v>21</v>
      </c>
      <c r="M618" s="17" t="s">
        <v>211</v>
      </c>
      <c r="N618" s="17">
        <v>260</v>
      </c>
      <c r="O618" s="17">
        <v>260</v>
      </c>
      <c r="P618" s="26">
        <f>(data[[#This Row],[LoadedMiles]]/data[[#This Row],[TotalMiles]])*100</f>
        <v>100</v>
      </c>
      <c r="Q618" s="25">
        <f>data[[#This Row],[ShippingCost]]/data[[#This Row],[TotalMiles]]</f>
        <v>24.111538461538462</v>
      </c>
      <c r="R618" s="17">
        <v>6269</v>
      </c>
      <c r="S618" s="25">
        <f>data[[#This Row],[Revenue]]/data[[#This Row],[TotalMiles]]</f>
        <v>16.207692307692309</v>
      </c>
      <c r="T618" s="26">
        <f>data[[#This Row],[Revenue]]-data[[#This Row],[ShippingCost]]</f>
        <v>-2055</v>
      </c>
      <c r="U618" s="17">
        <v>4214</v>
      </c>
      <c r="V618" s="17">
        <v>73</v>
      </c>
      <c r="W618" s="17" t="s">
        <v>68</v>
      </c>
      <c r="X618" s="17">
        <v>3</v>
      </c>
      <c r="Y618" s="17">
        <f>data[[#This Row],[DeliveryDate]]-data[[#This Row],[ShipDate]]</f>
        <v>2</v>
      </c>
      <c r="Z618" s="17" t="str">
        <f>IF(data[[#This Row],[Actual Delivery Days]]&gt;AD619,"Yes","No")</f>
        <v>Yes</v>
      </c>
    </row>
    <row r="619" spans="1:26">
      <c r="A619" s="17">
        <v>11592</v>
      </c>
      <c r="B619" s="17">
        <v>3</v>
      </c>
      <c r="C619" s="17">
        <v>1</v>
      </c>
      <c r="D619" s="17" t="s">
        <v>322</v>
      </c>
      <c r="E619" s="17" t="s">
        <v>138</v>
      </c>
      <c r="F619" s="17" t="str">
        <f>TEXT(data[[#This Row],[ShipDate]],"yyyy - mmmm")</f>
        <v>2016 - August</v>
      </c>
      <c r="G619" s="17" t="str">
        <f>data[[#This Row],[OriginCity]] &amp; " - "  &amp; data[[#This Row],[DestinationCity]]</f>
        <v>Detriot - Monon</v>
      </c>
      <c r="H619" s="17" t="s">
        <v>52</v>
      </c>
      <c r="I619" s="17" t="s">
        <v>21</v>
      </c>
      <c r="J619" s="17">
        <v>5</v>
      </c>
      <c r="K619" s="17" t="s">
        <v>53</v>
      </c>
      <c r="L619" s="17" t="s">
        <v>44</v>
      </c>
      <c r="M619" s="17" t="s">
        <v>119</v>
      </c>
      <c r="N619" s="17">
        <v>365</v>
      </c>
      <c r="O619" s="17">
        <v>365</v>
      </c>
      <c r="P619" s="26">
        <f>(data[[#This Row],[LoadedMiles]]/data[[#This Row],[TotalMiles]])*100</f>
        <v>100</v>
      </c>
      <c r="Q619" s="25">
        <f>data[[#This Row],[ShippingCost]]/data[[#This Row],[TotalMiles]]</f>
        <v>20.624657534246577</v>
      </c>
      <c r="R619" s="17">
        <v>7528</v>
      </c>
      <c r="S619" s="25">
        <f>data[[#This Row],[Revenue]]/data[[#This Row],[TotalMiles]]</f>
        <v>34.232876712328768</v>
      </c>
      <c r="T619" s="26">
        <f>data[[#This Row],[Revenue]]-data[[#This Row],[ShippingCost]]</f>
        <v>4967</v>
      </c>
      <c r="U619" s="17">
        <v>12495</v>
      </c>
      <c r="V619" s="17">
        <v>79</v>
      </c>
      <c r="W619" s="17" t="s">
        <v>68</v>
      </c>
      <c r="X619" s="17">
        <v>10</v>
      </c>
      <c r="Y619" s="17">
        <f>data[[#This Row],[DeliveryDate]]-data[[#This Row],[ShipDate]]</f>
        <v>3</v>
      </c>
      <c r="Z619" s="17" t="str">
        <f>IF(data[[#This Row],[Actual Delivery Days]]&gt;AD620,"Yes","No")</f>
        <v>Yes</v>
      </c>
    </row>
    <row r="620" spans="1:26">
      <c r="A620" s="17">
        <v>11593</v>
      </c>
      <c r="B620" s="17">
        <v>2</v>
      </c>
      <c r="C620" s="17">
        <v>2</v>
      </c>
      <c r="D620" s="17" t="s">
        <v>323</v>
      </c>
      <c r="E620" s="17" t="s">
        <v>109</v>
      </c>
      <c r="F620" s="17" t="str">
        <f>TEXT(data[[#This Row],[ShipDate]],"yyyy - mmmm")</f>
        <v>2016 - May</v>
      </c>
      <c r="G620" s="17" t="str">
        <f>data[[#This Row],[OriginCity]] &amp; " - "  &amp; data[[#This Row],[DestinationCity]]</f>
        <v>Gary - Milwaukee</v>
      </c>
      <c r="H620" s="17" t="s">
        <v>57</v>
      </c>
      <c r="I620" s="17" t="s">
        <v>44</v>
      </c>
      <c r="J620" s="17">
        <v>5</v>
      </c>
      <c r="K620" s="17" t="s">
        <v>28</v>
      </c>
      <c r="L620" s="17" t="s">
        <v>29</v>
      </c>
      <c r="M620" s="17" t="s">
        <v>616</v>
      </c>
      <c r="N620" s="17">
        <v>808</v>
      </c>
      <c r="O620" s="17">
        <v>217</v>
      </c>
      <c r="P620" s="26">
        <f>(data[[#This Row],[LoadedMiles]]/data[[#This Row],[TotalMiles]])*100</f>
        <v>26.856435643564357</v>
      </c>
      <c r="Q620" s="25">
        <f>data[[#This Row],[ShippingCost]]/data[[#This Row],[TotalMiles]]</f>
        <v>1.0148514851485149</v>
      </c>
      <c r="R620" s="17">
        <v>820</v>
      </c>
      <c r="S620" s="25">
        <f>data[[#This Row],[Revenue]]/data[[#This Row],[TotalMiles]]</f>
        <v>2.120049504950495</v>
      </c>
      <c r="T620" s="26">
        <f>data[[#This Row],[Revenue]]-data[[#This Row],[ShippingCost]]</f>
        <v>893</v>
      </c>
      <c r="U620" s="17">
        <v>1713</v>
      </c>
      <c r="V620" s="17">
        <v>69</v>
      </c>
      <c r="W620" s="17" t="s">
        <v>68</v>
      </c>
      <c r="X620" s="17">
        <v>1</v>
      </c>
      <c r="Y620" s="17">
        <f>data[[#This Row],[DeliveryDate]]-data[[#This Row],[ShipDate]]</f>
        <v>2</v>
      </c>
      <c r="Z620" s="17" t="str">
        <f>IF(data[[#This Row],[Actual Delivery Days]]&gt;AD621,"Yes","No")</f>
        <v>Yes</v>
      </c>
    </row>
    <row r="621" spans="1:26">
      <c r="A621" s="17">
        <v>11602</v>
      </c>
      <c r="B621" s="17">
        <v>3</v>
      </c>
      <c r="C621" s="17">
        <v>5</v>
      </c>
      <c r="D621" s="17" t="s">
        <v>338</v>
      </c>
      <c r="E621" s="17" t="s">
        <v>617</v>
      </c>
      <c r="F621" s="17" t="str">
        <f>TEXT(data[[#This Row],[ShipDate]],"yyyy - mmmm")</f>
        <v>2016 - June</v>
      </c>
      <c r="G621" s="17" t="str">
        <f>data[[#This Row],[OriginCity]] &amp; " - "  &amp; data[[#This Row],[DestinationCity]]</f>
        <v>Toledo - Detriot</v>
      </c>
      <c r="H621" s="17" t="s">
        <v>22</v>
      </c>
      <c r="I621" s="17" t="s">
        <v>23</v>
      </c>
      <c r="J621" s="17">
        <v>5</v>
      </c>
      <c r="K621" s="17" t="s">
        <v>52</v>
      </c>
      <c r="L621" s="17" t="s">
        <v>21</v>
      </c>
      <c r="M621" s="17" t="s">
        <v>279</v>
      </c>
      <c r="N621" s="17">
        <v>501</v>
      </c>
      <c r="O621" s="17">
        <v>501</v>
      </c>
      <c r="P621" s="26">
        <f>(data[[#This Row],[LoadedMiles]]/data[[#This Row],[TotalMiles]])*100</f>
        <v>100</v>
      </c>
      <c r="Q621" s="25">
        <f>data[[#This Row],[ShippingCost]]/data[[#This Row],[TotalMiles]]</f>
        <v>8.2275449101796401</v>
      </c>
      <c r="R621" s="17">
        <v>4122</v>
      </c>
      <c r="S621" s="25">
        <f>data[[#This Row],[Revenue]]/data[[#This Row],[TotalMiles]]</f>
        <v>10.145708582834331</v>
      </c>
      <c r="T621" s="26">
        <f>data[[#This Row],[Revenue]]-data[[#This Row],[ShippingCost]]</f>
        <v>961</v>
      </c>
      <c r="U621" s="17">
        <v>5083</v>
      </c>
      <c r="V621" s="17">
        <v>94</v>
      </c>
      <c r="W621" s="17" t="s">
        <v>68</v>
      </c>
      <c r="X621" s="17">
        <v>4</v>
      </c>
      <c r="Y621" s="17">
        <f>data[[#This Row],[DeliveryDate]]-data[[#This Row],[ShipDate]]</f>
        <v>7</v>
      </c>
      <c r="Z621" s="17" t="str">
        <f>IF(data[[#This Row],[Actual Delivery Days]]&gt;AD622,"Yes","No")</f>
        <v>Yes</v>
      </c>
    </row>
    <row r="622" spans="1:26">
      <c r="A622" s="17">
        <v>11604</v>
      </c>
      <c r="B622" s="17">
        <v>2</v>
      </c>
      <c r="C622" s="17">
        <v>3</v>
      </c>
      <c r="D622" s="17" t="s">
        <v>343</v>
      </c>
      <c r="E622" s="17" t="s">
        <v>196</v>
      </c>
      <c r="F622" s="17" t="str">
        <f>TEXT(data[[#This Row],[ShipDate]],"yyyy - mmmm")</f>
        <v>2016 - May</v>
      </c>
      <c r="G622" s="17" t="str">
        <f>data[[#This Row],[OriginCity]] &amp; " - "  &amp; data[[#This Row],[DestinationCity]]</f>
        <v>Elgin - Cincinnati</v>
      </c>
      <c r="H622" s="17" t="s">
        <v>94</v>
      </c>
      <c r="I622" s="17" t="s">
        <v>31</v>
      </c>
      <c r="J622" s="17">
        <v>5</v>
      </c>
      <c r="K622" s="17" t="s">
        <v>89</v>
      </c>
      <c r="L622" s="17" t="s">
        <v>23</v>
      </c>
      <c r="M622" s="17" t="s">
        <v>227</v>
      </c>
      <c r="N622" s="17">
        <v>680</v>
      </c>
      <c r="O622" s="17">
        <v>680</v>
      </c>
      <c r="P622" s="26">
        <f>(data[[#This Row],[LoadedMiles]]/data[[#This Row],[TotalMiles]])*100</f>
        <v>100</v>
      </c>
      <c r="Q622" s="25">
        <f>data[[#This Row],[ShippingCost]]/data[[#This Row],[TotalMiles]]</f>
        <v>5.8308823529411766</v>
      </c>
      <c r="R622" s="17">
        <v>3965</v>
      </c>
      <c r="S622" s="25">
        <f>data[[#This Row],[Revenue]]/data[[#This Row],[TotalMiles]]</f>
        <v>6.6470588235294121</v>
      </c>
      <c r="T622" s="26">
        <f>data[[#This Row],[Revenue]]-data[[#This Row],[ShippingCost]]</f>
        <v>555</v>
      </c>
      <c r="U622" s="17">
        <v>4520</v>
      </c>
      <c r="V622" s="17">
        <v>56</v>
      </c>
      <c r="W622" s="17" t="s">
        <v>68</v>
      </c>
      <c r="X622" s="17">
        <v>7</v>
      </c>
      <c r="Y622" s="17">
        <f>data[[#This Row],[DeliveryDate]]-data[[#This Row],[ShipDate]]</f>
        <v>6</v>
      </c>
      <c r="Z622" s="17" t="str">
        <f>IF(data[[#This Row],[Actual Delivery Days]]&gt;AD623,"Yes","No")</f>
        <v>Yes</v>
      </c>
    </row>
    <row r="623" spans="1:26">
      <c r="A623" s="17">
        <v>11610</v>
      </c>
      <c r="B623" s="17">
        <v>3</v>
      </c>
      <c r="C623" s="17">
        <v>2</v>
      </c>
      <c r="D623" s="17" t="s">
        <v>356</v>
      </c>
      <c r="E623" s="17" t="s">
        <v>231</v>
      </c>
      <c r="F623" s="17" t="str">
        <f>TEXT(data[[#This Row],[ShipDate]],"yyyy - mmmm")</f>
        <v>2016 - May</v>
      </c>
      <c r="G623" s="17" t="str">
        <f>data[[#This Row],[OriginCity]] &amp; " - "  &amp; data[[#This Row],[DestinationCity]]</f>
        <v>Chicago - Rockford</v>
      </c>
      <c r="H623" s="17" t="s">
        <v>39</v>
      </c>
      <c r="I623" s="17" t="s">
        <v>31</v>
      </c>
      <c r="J623" s="17">
        <v>5</v>
      </c>
      <c r="K623" s="17" t="s">
        <v>40</v>
      </c>
      <c r="L623" s="17" t="s">
        <v>31</v>
      </c>
      <c r="M623" s="17" t="s">
        <v>42</v>
      </c>
      <c r="N623" s="17">
        <v>923</v>
      </c>
      <c r="O623" s="17">
        <v>339</v>
      </c>
      <c r="P623" s="26">
        <f>(data[[#This Row],[LoadedMiles]]/data[[#This Row],[TotalMiles]])*100</f>
        <v>36.728060671722645</v>
      </c>
      <c r="Q623" s="25">
        <f>data[[#This Row],[ShippingCost]]/data[[#This Row],[TotalMiles]]</f>
        <v>8.5752979414951245</v>
      </c>
      <c r="R623" s="17">
        <v>7915</v>
      </c>
      <c r="S623" s="25">
        <f>data[[#This Row],[Revenue]]/data[[#This Row],[TotalMiles]]</f>
        <v>8.8981581798483216</v>
      </c>
      <c r="T623" s="26">
        <f>data[[#This Row],[Revenue]]-data[[#This Row],[ShippingCost]]</f>
        <v>298</v>
      </c>
      <c r="U623" s="17">
        <v>8213</v>
      </c>
      <c r="V623" s="17">
        <v>92</v>
      </c>
      <c r="W623" s="17" t="s">
        <v>68</v>
      </c>
      <c r="X623" s="17">
        <v>1</v>
      </c>
      <c r="Y623" s="17">
        <f>data[[#This Row],[DeliveryDate]]-data[[#This Row],[ShipDate]]</f>
        <v>4</v>
      </c>
      <c r="Z623" s="17" t="str">
        <f>IF(data[[#This Row],[Actual Delivery Days]]&gt;AD624,"Yes","No")</f>
        <v>Yes</v>
      </c>
    </row>
    <row r="624" spans="1:26">
      <c r="A624" s="17">
        <v>11622</v>
      </c>
      <c r="B624" s="17">
        <v>3</v>
      </c>
      <c r="C624" s="17">
        <v>3</v>
      </c>
      <c r="D624" s="17" t="s">
        <v>375</v>
      </c>
      <c r="E624" s="17" t="s">
        <v>118</v>
      </c>
      <c r="F624" s="17" t="str">
        <f>TEXT(data[[#This Row],[ShipDate]],"yyyy - mmmm")</f>
        <v>2016 - August</v>
      </c>
      <c r="G624" s="17" t="str">
        <f>data[[#This Row],[OriginCity]] &amp; " - "  &amp; data[[#This Row],[DestinationCity]]</f>
        <v>Dayton - Elgin</v>
      </c>
      <c r="H624" s="17" t="s">
        <v>93</v>
      </c>
      <c r="I624" s="17" t="s">
        <v>23</v>
      </c>
      <c r="J624" s="17">
        <v>5</v>
      </c>
      <c r="K624" s="17" t="s">
        <v>94</v>
      </c>
      <c r="L624" s="17" t="s">
        <v>31</v>
      </c>
      <c r="M624" s="17" t="s">
        <v>36</v>
      </c>
      <c r="N624" s="17">
        <v>252</v>
      </c>
      <c r="O624" s="17">
        <v>252</v>
      </c>
      <c r="P624" s="26">
        <f>(data[[#This Row],[LoadedMiles]]/data[[#This Row],[TotalMiles]])*100</f>
        <v>100</v>
      </c>
      <c r="Q624" s="25">
        <f>data[[#This Row],[ShippingCost]]/data[[#This Row],[TotalMiles]]</f>
        <v>9.6468253968253972</v>
      </c>
      <c r="R624" s="17">
        <v>2431</v>
      </c>
      <c r="S624" s="25">
        <f>data[[#This Row],[Revenue]]/data[[#This Row],[TotalMiles]]</f>
        <v>10.829365079365079</v>
      </c>
      <c r="T624" s="26">
        <f>data[[#This Row],[Revenue]]-data[[#This Row],[ShippingCost]]</f>
        <v>298</v>
      </c>
      <c r="U624" s="17">
        <v>2729</v>
      </c>
      <c r="V624" s="17">
        <v>94</v>
      </c>
      <c r="W624" s="17" t="s">
        <v>68</v>
      </c>
      <c r="X624" s="17">
        <v>9</v>
      </c>
      <c r="Y624" s="17">
        <f>data[[#This Row],[DeliveryDate]]-data[[#This Row],[ShipDate]]</f>
        <v>8</v>
      </c>
      <c r="Z624" s="17" t="str">
        <f>IF(data[[#This Row],[Actual Delivery Days]]&gt;AD625,"Yes","No")</f>
        <v>Yes</v>
      </c>
    </row>
    <row r="625" spans="1:26">
      <c r="A625" s="17">
        <v>11627</v>
      </c>
      <c r="B625" s="17">
        <v>2</v>
      </c>
      <c r="C625" s="17">
        <v>5</v>
      </c>
      <c r="D625" s="17" t="s">
        <v>384</v>
      </c>
      <c r="E625" s="17" t="s">
        <v>368</v>
      </c>
      <c r="F625" s="17" t="str">
        <f>TEXT(data[[#This Row],[ShipDate]],"yyyy - mmmm")</f>
        <v>2016 - May</v>
      </c>
      <c r="G625" s="17" t="str">
        <f>data[[#This Row],[OriginCity]] &amp; " - "  &amp; data[[#This Row],[DestinationCity]]</f>
        <v>Kalamazoo - Bangor</v>
      </c>
      <c r="H625" s="17" t="s">
        <v>71</v>
      </c>
      <c r="I625" s="17" t="s">
        <v>21</v>
      </c>
      <c r="J625" s="17">
        <v>5</v>
      </c>
      <c r="K625" s="17" t="s">
        <v>104</v>
      </c>
      <c r="L625" s="17" t="s">
        <v>21</v>
      </c>
      <c r="M625" s="17" t="s">
        <v>373</v>
      </c>
      <c r="N625" s="17">
        <v>1146</v>
      </c>
      <c r="O625" s="17">
        <v>673</v>
      </c>
      <c r="P625" s="26">
        <f>(data[[#This Row],[LoadedMiles]]/data[[#This Row],[TotalMiles]])*100</f>
        <v>58.726003490401403</v>
      </c>
      <c r="Q625" s="25">
        <f>data[[#This Row],[ShippingCost]]/data[[#This Row],[TotalMiles]]</f>
        <v>2.7129144851657943</v>
      </c>
      <c r="R625" s="17">
        <v>3109</v>
      </c>
      <c r="S625" s="25">
        <f>data[[#This Row],[Revenue]]/data[[#This Row],[TotalMiles]]</f>
        <v>2.8403141361256545</v>
      </c>
      <c r="T625" s="26">
        <f>data[[#This Row],[Revenue]]-data[[#This Row],[ShippingCost]]</f>
        <v>146</v>
      </c>
      <c r="U625" s="17">
        <v>3255</v>
      </c>
      <c r="V625" s="17">
        <v>58</v>
      </c>
      <c r="W625" s="17" t="s">
        <v>68</v>
      </c>
      <c r="X625" s="17">
        <v>10</v>
      </c>
      <c r="Y625" s="17">
        <f>data[[#This Row],[DeliveryDate]]-data[[#This Row],[ShipDate]]</f>
        <v>3</v>
      </c>
      <c r="Z625" s="17" t="str">
        <f>IF(data[[#This Row],[Actual Delivery Days]]&gt;AD626,"Yes","No")</f>
        <v>Yes</v>
      </c>
    </row>
    <row r="626" spans="1:26">
      <c r="A626" s="17">
        <v>11647</v>
      </c>
      <c r="B626" s="17">
        <v>3</v>
      </c>
      <c r="C626" s="17">
        <v>1</v>
      </c>
      <c r="D626" s="17" t="s">
        <v>417</v>
      </c>
      <c r="E626" s="17" t="s">
        <v>454</v>
      </c>
      <c r="F626" s="17" t="str">
        <f>TEXT(data[[#This Row],[ShipDate]],"yyyy - mmmm")</f>
        <v>2016 - March</v>
      </c>
      <c r="G626" s="17" t="str">
        <f>data[[#This Row],[OriginCity]] &amp; " - "  &amp; data[[#This Row],[DestinationCity]]</f>
        <v>Lansing - Dayton</v>
      </c>
      <c r="H626" s="17" t="s">
        <v>66</v>
      </c>
      <c r="I626" s="17" t="s">
        <v>21</v>
      </c>
      <c r="J626" s="17">
        <v>5</v>
      </c>
      <c r="K626" s="17" t="s">
        <v>93</v>
      </c>
      <c r="L626" s="17" t="s">
        <v>23</v>
      </c>
      <c r="M626" s="17" t="s">
        <v>199</v>
      </c>
      <c r="N626" s="17">
        <v>1143</v>
      </c>
      <c r="O626" s="17">
        <v>669</v>
      </c>
      <c r="P626" s="26">
        <f>(data[[#This Row],[LoadedMiles]]/data[[#This Row],[TotalMiles]])*100</f>
        <v>58.530183727034121</v>
      </c>
      <c r="Q626" s="25">
        <f>data[[#This Row],[ShippingCost]]/data[[#This Row],[TotalMiles]]</f>
        <v>6.6544181977252848</v>
      </c>
      <c r="R626" s="17">
        <v>7606</v>
      </c>
      <c r="S626" s="25">
        <f>data[[#This Row],[Revenue]]/data[[#This Row],[TotalMiles]]</f>
        <v>10.238845144356956</v>
      </c>
      <c r="T626" s="26">
        <f>data[[#This Row],[Revenue]]-data[[#This Row],[ShippingCost]]</f>
        <v>4097</v>
      </c>
      <c r="U626" s="17">
        <v>11703</v>
      </c>
      <c r="V626" s="17">
        <v>92</v>
      </c>
      <c r="W626" s="17" t="s">
        <v>68</v>
      </c>
      <c r="X626" s="17">
        <v>9</v>
      </c>
      <c r="Y626" s="17">
        <f>data[[#This Row],[DeliveryDate]]-data[[#This Row],[ShipDate]]</f>
        <v>3</v>
      </c>
      <c r="Z626" s="17" t="str">
        <f>IF(data[[#This Row],[Actual Delivery Days]]&gt;AD627,"Yes","No")</f>
        <v>Yes</v>
      </c>
    </row>
    <row r="627" spans="1:26">
      <c r="A627" s="17">
        <v>11707</v>
      </c>
      <c r="B627" s="17">
        <v>3</v>
      </c>
      <c r="C627" s="17">
        <v>4</v>
      </c>
      <c r="D627" s="17" t="s">
        <v>514</v>
      </c>
      <c r="E627" s="17" t="s">
        <v>623</v>
      </c>
      <c r="F627" s="17" t="str">
        <f>TEXT(data[[#This Row],[ShipDate]],"yyyy - mmmm")</f>
        <v>2016 - April</v>
      </c>
      <c r="G627" s="17" t="str">
        <f>data[[#This Row],[OriginCity]] &amp; " - "  &amp; data[[#This Row],[DestinationCity]]</f>
        <v>Lansing - Dayton</v>
      </c>
      <c r="H627" s="17" t="s">
        <v>66</v>
      </c>
      <c r="I627" s="17" t="s">
        <v>21</v>
      </c>
      <c r="J627" s="17">
        <v>5</v>
      </c>
      <c r="K627" s="17" t="s">
        <v>93</v>
      </c>
      <c r="L627" s="17" t="s">
        <v>23</v>
      </c>
      <c r="M627" s="17" t="s">
        <v>609</v>
      </c>
      <c r="N627" s="17">
        <v>717</v>
      </c>
      <c r="O627" s="17">
        <v>717</v>
      </c>
      <c r="P627" s="26">
        <f>(data[[#This Row],[LoadedMiles]]/data[[#This Row],[TotalMiles]])*100</f>
        <v>100</v>
      </c>
      <c r="Q627" s="25">
        <f>data[[#This Row],[ShippingCost]]/data[[#This Row],[TotalMiles]]</f>
        <v>4.3347280334728033</v>
      </c>
      <c r="R627" s="17">
        <v>3108</v>
      </c>
      <c r="S627" s="25">
        <f>data[[#This Row],[Revenue]]/data[[#This Row],[TotalMiles]]</f>
        <v>1.3626220362622037</v>
      </c>
      <c r="T627" s="26">
        <f>data[[#This Row],[Revenue]]-data[[#This Row],[ShippingCost]]</f>
        <v>-2131</v>
      </c>
      <c r="U627" s="17">
        <v>977</v>
      </c>
      <c r="V627" s="17">
        <v>71</v>
      </c>
      <c r="W627" s="17" t="s">
        <v>68</v>
      </c>
      <c r="X627" s="17">
        <v>2</v>
      </c>
      <c r="Y627" s="17">
        <f>data[[#This Row],[DeliveryDate]]-data[[#This Row],[ShipDate]]</f>
        <v>5</v>
      </c>
      <c r="Z627" s="17" t="str">
        <f>IF(data[[#This Row],[Actual Delivery Days]]&gt;AD628,"Yes","No")</f>
        <v>Yes</v>
      </c>
    </row>
    <row r="628" spans="1:26">
      <c r="A628" s="17">
        <v>11710</v>
      </c>
      <c r="B628" s="17">
        <v>3</v>
      </c>
      <c r="C628" s="17">
        <v>2</v>
      </c>
      <c r="D628" s="17" t="s">
        <v>517</v>
      </c>
      <c r="E628" s="17" t="s">
        <v>259</v>
      </c>
      <c r="F628" s="17" t="str">
        <f>TEXT(data[[#This Row],[ShipDate]],"yyyy - mmmm")</f>
        <v>2016 - February</v>
      </c>
      <c r="G628" s="17" t="str">
        <f>data[[#This Row],[OriginCity]] &amp; " - "  &amp; data[[#This Row],[DestinationCity]]</f>
        <v>Skokie - Chicago</v>
      </c>
      <c r="H628" s="17" t="s">
        <v>35</v>
      </c>
      <c r="I628" s="17" t="s">
        <v>31</v>
      </c>
      <c r="J628" s="17">
        <v>5</v>
      </c>
      <c r="K628" s="17" t="s">
        <v>39</v>
      </c>
      <c r="L628" s="17" t="s">
        <v>31</v>
      </c>
      <c r="M628" s="17" t="s">
        <v>82</v>
      </c>
      <c r="N628" s="17">
        <v>905</v>
      </c>
      <c r="O628" s="17">
        <v>571</v>
      </c>
      <c r="P628" s="26">
        <f>(data[[#This Row],[LoadedMiles]]/data[[#This Row],[TotalMiles]])*100</f>
        <v>63.093922651933696</v>
      </c>
      <c r="Q628" s="25">
        <f>data[[#This Row],[ShippingCost]]/data[[#This Row],[TotalMiles]]</f>
        <v>2.6674033149171272</v>
      </c>
      <c r="R628" s="17">
        <v>2414</v>
      </c>
      <c r="S628" s="25">
        <f>data[[#This Row],[Revenue]]/data[[#This Row],[TotalMiles]]</f>
        <v>2.9425414364640883</v>
      </c>
      <c r="T628" s="26">
        <f>data[[#This Row],[Revenue]]-data[[#This Row],[ShippingCost]]</f>
        <v>249</v>
      </c>
      <c r="U628" s="17">
        <v>2663</v>
      </c>
      <c r="V628" s="17">
        <v>99</v>
      </c>
      <c r="W628" s="17" t="s">
        <v>68</v>
      </c>
      <c r="X628" s="17">
        <v>2</v>
      </c>
      <c r="Y628" s="17">
        <f>data[[#This Row],[DeliveryDate]]-data[[#This Row],[ShipDate]]</f>
        <v>47</v>
      </c>
      <c r="Z628" s="17" t="str">
        <f>IF(data[[#This Row],[Actual Delivery Days]]&gt;AD629,"Yes","No")</f>
        <v>Yes</v>
      </c>
    </row>
    <row r="629" spans="1:26">
      <c r="A629" s="17">
        <v>11745</v>
      </c>
      <c r="B629" s="17">
        <v>3</v>
      </c>
      <c r="C629" s="17">
        <v>2</v>
      </c>
      <c r="D629" s="17" t="s">
        <v>564</v>
      </c>
      <c r="E629" s="17" t="s">
        <v>214</v>
      </c>
      <c r="F629" s="17" t="str">
        <f>TEXT(data[[#This Row],[ShipDate]],"yyyy - mmmm")</f>
        <v>2016 - August</v>
      </c>
      <c r="G629" s="17" t="str">
        <f>data[[#This Row],[OriginCity]] &amp; " - "  &amp; data[[#This Row],[DestinationCity]]</f>
        <v>Green Bay - Joliet</v>
      </c>
      <c r="H629" s="17" t="s">
        <v>75</v>
      </c>
      <c r="I629" s="17" t="s">
        <v>29</v>
      </c>
      <c r="J629" s="17">
        <v>5</v>
      </c>
      <c r="K629" s="17" t="s">
        <v>61</v>
      </c>
      <c r="L629" s="17" t="s">
        <v>31</v>
      </c>
      <c r="M629" s="17" t="s">
        <v>138</v>
      </c>
      <c r="N629" s="17">
        <v>357</v>
      </c>
      <c r="O629" s="17">
        <v>357</v>
      </c>
      <c r="P629" s="26">
        <f>(data[[#This Row],[LoadedMiles]]/data[[#This Row],[TotalMiles]])*100</f>
        <v>100</v>
      </c>
      <c r="Q629" s="25">
        <f>data[[#This Row],[ShippingCost]]/data[[#This Row],[TotalMiles]]</f>
        <v>4.2661064425770308</v>
      </c>
      <c r="R629" s="17">
        <v>1523</v>
      </c>
      <c r="S629" s="25">
        <f>data[[#This Row],[Revenue]]/data[[#This Row],[TotalMiles]]</f>
        <v>5.4173669467787118</v>
      </c>
      <c r="T629" s="26">
        <f>data[[#This Row],[Revenue]]-data[[#This Row],[ShippingCost]]</f>
        <v>411</v>
      </c>
      <c r="U629" s="17">
        <v>1934</v>
      </c>
      <c r="V629" s="17">
        <v>56</v>
      </c>
      <c r="W629" s="17" t="s">
        <v>68</v>
      </c>
      <c r="X629" s="17">
        <v>4</v>
      </c>
      <c r="Y629" s="17">
        <f>data[[#This Row],[DeliveryDate]]-data[[#This Row],[ShipDate]]</f>
        <v>5</v>
      </c>
      <c r="Z629" s="17" t="str">
        <f>IF(data[[#This Row],[Actual Delivery Days]]&gt;AD630,"Yes","No")</f>
        <v>Yes</v>
      </c>
    </row>
    <row r="630" spans="1:26">
      <c r="A630" s="17">
        <v>11753</v>
      </c>
      <c r="B630" s="17">
        <v>2</v>
      </c>
      <c r="C630" s="17">
        <v>5</v>
      </c>
      <c r="D630" s="17" t="s">
        <v>573</v>
      </c>
      <c r="E630" s="17" t="s">
        <v>155</v>
      </c>
      <c r="F630" s="17" t="str">
        <f>TEXT(data[[#This Row],[ShipDate]],"yyyy - mmmm")</f>
        <v>2016 - July</v>
      </c>
      <c r="G630" s="17" t="str">
        <f>data[[#This Row],[OriginCity]] &amp; " - "  &amp; data[[#This Row],[DestinationCity]]</f>
        <v>Bangor - Davenport</v>
      </c>
      <c r="H630" s="17" t="s">
        <v>104</v>
      </c>
      <c r="I630" s="17" t="s">
        <v>21</v>
      </c>
      <c r="J630" s="17">
        <v>5</v>
      </c>
      <c r="K630" s="17" t="s">
        <v>105</v>
      </c>
      <c r="L630" s="17" t="s">
        <v>106</v>
      </c>
      <c r="M630" s="17" t="s">
        <v>426</v>
      </c>
      <c r="N630" s="17">
        <v>594</v>
      </c>
      <c r="O630" s="17">
        <v>594</v>
      </c>
      <c r="P630" s="26">
        <f>(data[[#This Row],[LoadedMiles]]/data[[#This Row],[TotalMiles]])*100</f>
        <v>100</v>
      </c>
      <c r="Q630" s="25">
        <f>data[[#This Row],[ShippingCost]]/data[[#This Row],[TotalMiles]]</f>
        <v>14.025252525252526</v>
      </c>
      <c r="R630" s="17">
        <v>8331</v>
      </c>
      <c r="S630" s="25">
        <f>data[[#This Row],[Revenue]]/data[[#This Row],[TotalMiles]]</f>
        <v>14.513468013468014</v>
      </c>
      <c r="T630" s="26">
        <f>data[[#This Row],[Revenue]]-data[[#This Row],[ShippingCost]]</f>
        <v>290</v>
      </c>
      <c r="U630" s="17">
        <v>8621</v>
      </c>
      <c r="V630" s="17">
        <v>74</v>
      </c>
      <c r="W630" s="17" t="s">
        <v>68</v>
      </c>
      <c r="X630" s="17">
        <v>2</v>
      </c>
      <c r="Y630" s="17">
        <f>data[[#This Row],[DeliveryDate]]-data[[#This Row],[ShipDate]]</f>
        <v>3</v>
      </c>
      <c r="Z630" s="17" t="str">
        <f>IF(data[[#This Row],[Actual Delivery Days]]&gt;AD631,"Yes","No")</f>
        <v>Yes</v>
      </c>
    </row>
    <row r="631" spans="1:26">
      <c r="A631" s="17">
        <v>11765</v>
      </c>
      <c r="B631" s="17">
        <v>2</v>
      </c>
      <c r="C631" s="17">
        <v>6</v>
      </c>
      <c r="D631" s="17" t="s">
        <v>588</v>
      </c>
      <c r="E631" s="17" t="s">
        <v>74</v>
      </c>
      <c r="F631" s="17" t="str">
        <f>TEXT(data[[#This Row],[ShipDate]],"yyyy - mmmm")</f>
        <v>2016 - March</v>
      </c>
      <c r="G631" s="17" t="str">
        <f>data[[#This Row],[OriginCity]] &amp; " - "  &amp; data[[#This Row],[DestinationCity]]</f>
        <v>Gary - Milwaukee</v>
      </c>
      <c r="H631" s="17" t="s">
        <v>57</v>
      </c>
      <c r="I631" s="17" t="s">
        <v>44</v>
      </c>
      <c r="J631" s="17">
        <v>5</v>
      </c>
      <c r="K631" s="17" t="s">
        <v>28</v>
      </c>
      <c r="L631" s="17" t="s">
        <v>29</v>
      </c>
      <c r="M631" s="17" t="s">
        <v>353</v>
      </c>
      <c r="N631" s="17">
        <v>689</v>
      </c>
      <c r="O631" s="17">
        <v>689</v>
      </c>
      <c r="P631" s="26">
        <f>(data[[#This Row],[LoadedMiles]]/data[[#This Row],[TotalMiles]])*100</f>
        <v>100</v>
      </c>
      <c r="Q631" s="25">
        <f>data[[#This Row],[ShippingCost]]/data[[#This Row],[TotalMiles]]</f>
        <v>0.18287373004354138</v>
      </c>
      <c r="R631" s="17">
        <v>126</v>
      </c>
      <c r="S631" s="25">
        <f>data[[#This Row],[Revenue]]/data[[#This Row],[TotalMiles]]</f>
        <v>0.42670537010159654</v>
      </c>
      <c r="T631" s="26">
        <f>data[[#This Row],[Revenue]]-data[[#This Row],[ShippingCost]]</f>
        <v>168</v>
      </c>
      <c r="U631" s="17">
        <v>294</v>
      </c>
      <c r="V631" s="17">
        <v>82</v>
      </c>
      <c r="W631" s="17" t="s">
        <v>68</v>
      </c>
      <c r="X631" s="17">
        <v>7</v>
      </c>
      <c r="Y631" s="17">
        <f>data[[#This Row],[DeliveryDate]]-data[[#This Row],[ShipDate]]</f>
        <v>5</v>
      </c>
      <c r="Z631" s="17" t="str">
        <f>IF(data[[#This Row],[Actual Delivery Days]]&gt;AD632,"Yes","No")</f>
        <v>Yes</v>
      </c>
    </row>
    <row r="632" spans="1:26">
      <c r="A632" s="17">
        <v>11790</v>
      </c>
      <c r="B632" s="17">
        <v>2</v>
      </c>
      <c r="C632" s="17">
        <v>1</v>
      </c>
      <c r="D632" s="17" t="s">
        <v>69</v>
      </c>
      <c r="E632" s="17" t="s">
        <v>186</v>
      </c>
      <c r="F632" s="17" t="str">
        <f>TEXT(data[[#This Row],[ShipDate]],"yyyy - mmmm")</f>
        <v>2016 - April</v>
      </c>
      <c r="G632" s="17" t="str">
        <f>data[[#This Row],[OriginCity]] &amp; " - "  &amp; data[[#This Row],[DestinationCity]]</f>
        <v>Madison - Kalamazoo</v>
      </c>
      <c r="H632" s="17" t="s">
        <v>62</v>
      </c>
      <c r="I632" s="17" t="s">
        <v>29</v>
      </c>
      <c r="J632" s="17">
        <v>5</v>
      </c>
      <c r="K632" s="17" t="s">
        <v>71</v>
      </c>
      <c r="L632" s="17" t="s">
        <v>21</v>
      </c>
      <c r="M632" s="17" t="s">
        <v>270</v>
      </c>
      <c r="N632" s="17">
        <v>638</v>
      </c>
      <c r="O632" s="17">
        <v>638</v>
      </c>
      <c r="P632" s="26">
        <f>(data[[#This Row],[LoadedMiles]]/data[[#This Row],[TotalMiles]])*100</f>
        <v>100</v>
      </c>
      <c r="Q632" s="25">
        <f>data[[#This Row],[ShippingCost]]/data[[#This Row],[TotalMiles]]</f>
        <v>3.9122257053291536</v>
      </c>
      <c r="R632" s="17">
        <v>2496</v>
      </c>
      <c r="S632" s="25">
        <f>data[[#This Row],[Revenue]]/data[[#This Row],[TotalMiles]]</f>
        <v>11.164576802507836</v>
      </c>
      <c r="T632" s="26">
        <f>data[[#This Row],[Revenue]]-data[[#This Row],[ShippingCost]]</f>
        <v>4627</v>
      </c>
      <c r="U632" s="17">
        <v>7123</v>
      </c>
      <c r="V632" s="17">
        <v>50</v>
      </c>
      <c r="W632" s="17" t="s">
        <v>68</v>
      </c>
      <c r="X632" s="17">
        <v>1</v>
      </c>
      <c r="Y632" s="17">
        <f>data[[#This Row],[DeliveryDate]]-data[[#This Row],[ShipDate]]</f>
        <v>3</v>
      </c>
      <c r="Z632" s="17" t="str">
        <f>IF(data[[#This Row],[Actual Delivery Days]]&gt;AD633,"Yes","No")</f>
        <v>Yes</v>
      </c>
    </row>
    <row r="633" spans="1:26">
      <c r="A633" s="17">
        <v>11801</v>
      </c>
      <c r="B633" s="17">
        <v>2</v>
      </c>
      <c r="C633" s="17">
        <v>4</v>
      </c>
      <c r="D633" s="17" t="s">
        <v>110</v>
      </c>
      <c r="E633" s="17" t="s">
        <v>150</v>
      </c>
      <c r="F633" s="17" t="str">
        <f>TEXT(data[[#This Row],[ShipDate]],"yyyy - mmmm")</f>
        <v>2016 - July</v>
      </c>
      <c r="G633" s="17" t="str">
        <f>data[[#This Row],[OriginCity]] &amp; " - "  &amp; data[[#This Row],[DestinationCity]]</f>
        <v>Skokie - Chicago</v>
      </c>
      <c r="H633" s="17" t="s">
        <v>35</v>
      </c>
      <c r="I633" s="17" t="s">
        <v>31</v>
      </c>
      <c r="J633" s="17">
        <v>5</v>
      </c>
      <c r="K633" s="17" t="s">
        <v>39</v>
      </c>
      <c r="L633" s="17" t="s">
        <v>31</v>
      </c>
      <c r="M633" s="17" t="s">
        <v>535</v>
      </c>
      <c r="N633" s="17">
        <v>429</v>
      </c>
      <c r="O633" s="17">
        <v>216</v>
      </c>
      <c r="P633" s="26">
        <f>(data[[#This Row],[LoadedMiles]]/data[[#This Row],[TotalMiles]])*100</f>
        <v>50.349650349650354</v>
      </c>
      <c r="Q633" s="25">
        <f>data[[#This Row],[ShippingCost]]/data[[#This Row],[TotalMiles]]</f>
        <v>15.643356643356643</v>
      </c>
      <c r="R633" s="17">
        <v>6711</v>
      </c>
      <c r="S633" s="25">
        <f>data[[#This Row],[Revenue]]/data[[#This Row],[TotalMiles]]</f>
        <v>13.037296037296038</v>
      </c>
      <c r="T633" s="26">
        <f>data[[#This Row],[Revenue]]-data[[#This Row],[ShippingCost]]</f>
        <v>-1118</v>
      </c>
      <c r="U633" s="17">
        <v>5593</v>
      </c>
      <c r="V633" s="17">
        <v>58</v>
      </c>
      <c r="W633" s="17" t="s">
        <v>68</v>
      </c>
      <c r="X633" s="17">
        <v>2</v>
      </c>
      <c r="Y633" s="17">
        <f>data[[#This Row],[DeliveryDate]]-data[[#This Row],[ShipDate]]</f>
        <v>5</v>
      </c>
      <c r="Z633" s="17" t="str">
        <f>IF(data[[#This Row],[Actual Delivery Days]]&gt;AD634,"Yes","No")</f>
        <v>Yes</v>
      </c>
    </row>
    <row r="634" spans="1:26">
      <c r="A634" s="17">
        <v>11803</v>
      </c>
      <c r="B634" s="17">
        <v>2</v>
      </c>
      <c r="C634" s="17">
        <v>3</v>
      </c>
      <c r="D634" s="17" t="s">
        <v>117</v>
      </c>
      <c r="E634" s="17" t="s">
        <v>282</v>
      </c>
      <c r="F634" s="17" t="str">
        <f>TEXT(data[[#This Row],[ShipDate]],"yyyy - mmmm")</f>
        <v>2016 - June</v>
      </c>
      <c r="G634" s="17" t="str">
        <f>data[[#This Row],[OriginCity]] &amp; " - "  &amp; data[[#This Row],[DestinationCity]]</f>
        <v>Grand Rapids - Toledo</v>
      </c>
      <c r="H634" s="17" t="s">
        <v>20</v>
      </c>
      <c r="I634" s="17" t="s">
        <v>21</v>
      </c>
      <c r="J634" s="17">
        <v>5</v>
      </c>
      <c r="K634" s="17" t="s">
        <v>22</v>
      </c>
      <c r="L634" s="17" t="s">
        <v>23</v>
      </c>
      <c r="M634" s="17" t="s">
        <v>135</v>
      </c>
      <c r="N634" s="17">
        <v>594</v>
      </c>
      <c r="O634" s="17">
        <v>594</v>
      </c>
      <c r="P634" s="26">
        <f>(data[[#This Row],[LoadedMiles]]/data[[#This Row],[TotalMiles]])*100</f>
        <v>100</v>
      </c>
      <c r="Q634" s="25">
        <f>data[[#This Row],[ShippingCost]]/data[[#This Row],[TotalMiles]]</f>
        <v>11.619528619528619</v>
      </c>
      <c r="R634" s="17">
        <v>6902</v>
      </c>
      <c r="S634" s="25">
        <f>data[[#This Row],[Revenue]]/data[[#This Row],[TotalMiles]]</f>
        <v>13.107744107744107</v>
      </c>
      <c r="T634" s="26">
        <f>data[[#This Row],[Revenue]]-data[[#This Row],[ShippingCost]]</f>
        <v>884</v>
      </c>
      <c r="U634" s="17">
        <v>7786</v>
      </c>
      <c r="V634" s="17">
        <v>56</v>
      </c>
      <c r="W634" s="17" t="s">
        <v>68</v>
      </c>
      <c r="X634" s="17">
        <v>2</v>
      </c>
      <c r="Y634" s="17">
        <f>data[[#This Row],[DeliveryDate]]-data[[#This Row],[ShipDate]]</f>
        <v>5</v>
      </c>
      <c r="Z634" s="17" t="str">
        <f>IF(data[[#This Row],[Actual Delivery Days]]&gt;AD635,"Yes","No")</f>
        <v>Yes</v>
      </c>
    </row>
    <row r="635" spans="1:26">
      <c r="A635" s="17">
        <v>10003</v>
      </c>
      <c r="B635" s="17">
        <v>1</v>
      </c>
      <c r="C635" s="17">
        <v>4</v>
      </c>
      <c r="D635" s="17" t="s">
        <v>37</v>
      </c>
      <c r="E635" s="17" t="s">
        <v>38</v>
      </c>
      <c r="F635" s="17" t="str">
        <f>TEXT(data[[#This Row],[ShipDate]],"yyyy - mmmm")</f>
        <v>2016 - August</v>
      </c>
      <c r="G635" s="17" t="str">
        <f>data[[#This Row],[OriginCity]] &amp; " - "  &amp; data[[#This Row],[DestinationCity]]</f>
        <v>Chicago - Rockford</v>
      </c>
      <c r="H635" s="17" t="s">
        <v>39</v>
      </c>
      <c r="I635" s="17" t="s">
        <v>31</v>
      </c>
      <c r="J635" s="17">
        <v>4</v>
      </c>
      <c r="K635" s="17" t="s">
        <v>40</v>
      </c>
      <c r="L635" s="17" t="s">
        <v>31</v>
      </c>
      <c r="M635" s="17" t="s">
        <v>34</v>
      </c>
      <c r="N635" s="17">
        <v>536</v>
      </c>
      <c r="O635" s="17">
        <v>536</v>
      </c>
      <c r="P635" s="26">
        <f>(data[[#This Row],[LoadedMiles]]/data[[#This Row],[TotalMiles]])*100</f>
        <v>100</v>
      </c>
      <c r="Q635" s="25">
        <f>data[[#This Row],[ShippingCost]]/data[[#This Row],[TotalMiles]]</f>
        <v>13.574626865671641</v>
      </c>
      <c r="R635" s="17">
        <v>7276</v>
      </c>
      <c r="S635" s="25">
        <f>data[[#This Row],[Revenue]]/data[[#This Row],[TotalMiles]]</f>
        <v>10.779850746268657</v>
      </c>
      <c r="T635" s="26">
        <f>data[[#This Row],[Revenue]]-data[[#This Row],[ShippingCost]]</f>
        <v>-1498</v>
      </c>
      <c r="U635" s="17">
        <v>5778</v>
      </c>
      <c r="V635" s="17">
        <v>61</v>
      </c>
      <c r="W635" s="17" t="s">
        <v>25</v>
      </c>
      <c r="X635" s="17">
        <v>10</v>
      </c>
      <c r="Y635" s="17">
        <f>data[[#This Row],[DeliveryDate]]-data[[#This Row],[ShipDate]]</f>
        <v>4</v>
      </c>
      <c r="Z635" s="17" t="str">
        <f>IF(data[[#This Row],[Actual Delivery Days]]&gt;AD636,"Yes","No")</f>
        <v>Yes</v>
      </c>
    </row>
    <row r="636" spans="1:26">
      <c r="A636" s="17">
        <v>10006</v>
      </c>
      <c r="B636" s="17">
        <v>1</v>
      </c>
      <c r="C636" s="17">
        <v>4</v>
      </c>
      <c r="D636" s="17" t="s">
        <v>50</v>
      </c>
      <c r="E636" s="17" t="s">
        <v>51</v>
      </c>
      <c r="F636" s="17" t="str">
        <f>TEXT(data[[#This Row],[ShipDate]],"yyyy - mmmm")</f>
        <v>2016 - April</v>
      </c>
      <c r="G636" s="17" t="str">
        <f>data[[#This Row],[OriginCity]] &amp; " - "  &amp; data[[#This Row],[DestinationCity]]</f>
        <v>Detriot - Monon</v>
      </c>
      <c r="H636" s="17" t="s">
        <v>52</v>
      </c>
      <c r="I636" s="17" t="s">
        <v>21</v>
      </c>
      <c r="J636" s="17">
        <v>4</v>
      </c>
      <c r="K636" s="17" t="s">
        <v>53</v>
      </c>
      <c r="L636" s="17" t="s">
        <v>44</v>
      </c>
      <c r="M636" s="17" t="s">
        <v>54</v>
      </c>
      <c r="N636" s="17">
        <v>332</v>
      </c>
      <c r="O636" s="17">
        <v>332</v>
      </c>
      <c r="P636" s="26">
        <f>(data[[#This Row],[LoadedMiles]]/data[[#This Row],[TotalMiles]])*100</f>
        <v>100</v>
      </c>
      <c r="Q636" s="25">
        <f>data[[#This Row],[ShippingCost]]/data[[#This Row],[TotalMiles]]</f>
        <v>14.117469879518072</v>
      </c>
      <c r="R636" s="17">
        <v>4687</v>
      </c>
      <c r="S636" s="25">
        <f>data[[#This Row],[Revenue]]/data[[#This Row],[TotalMiles]]</f>
        <v>9.2891566265060241</v>
      </c>
      <c r="T636" s="26">
        <f>data[[#This Row],[Revenue]]-data[[#This Row],[ShippingCost]]</f>
        <v>-1603</v>
      </c>
      <c r="U636" s="17">
        <v>3084</v>
      </c>
      <c r="V636" s="17">
        <v>68</v>
      </c>
      <c r="W636" s="17" t="s">
        <v>25</v>
      </c>
      <c r="X636" s="17">
        <v>4</v>
      </c>
      <c r="Y636" s="17">
        <f>data[[#This Row],[DeliveryDate]]-data[[#This Row],[ShipDate]]</f>
        <v>4</v>
      </c>
      <c r="Z636" s="17" t="str">
        <f>IF(data[[#This Row],[Actual Delivery Days]]&gt;AD637,"Yes","No")</f>
        <v>Yes</v>
      </c>
    </row>
    <row r="637" spans="1:26">
      <c r="A637" s="17">
        <v>10007</v>
      </c>
      <c r="B637" s="17">
        <v>2</v>
      </c>
      <c r="C637" s="17">
        <v>4</v>
      </c>
      <c r="D637" s="17" t="s">
        <v>55</v>
      </c>
      <c r="E637" s="17" t="s">
        <v>56</v>
      </c>
      <c r="F637" s="17" t="str">
        <f>TEXT(data[[#This Row],[ShipDate]],"yyyy - mmmm")</f>
        <v>2016 - May</v>
      </c>
      <c r="G637" s="17" t="str">
        <f>data[[#This Row],[OriginCity]] &amp; " - "  &amp; data[[#This Row],[DestinationCity]]</f>
        <v>Gary - Milwaukee</v>
      </c>
      <c r="H637" s="17" t="s">
        <v>57</v>
      </c>
      <c r="I637" s="17" t="s">
        <v>44</v>
      </c>
      <c r="J637" s="17">
        <v>4</v>
      </c>
      <c r="K637" s="17" t="s">
        <v>28</v>
      </c>
      <c r="L637" s="17" t="s">
        <v>29</v>
      </c>
      <c r="M637" s="17" t="s">
        <v>58</v>
      </c>
      <c r="N637" s="17">
        <v>1041</v>
      </c>
      <c r="O637" s="17">
        <v>328</v>
      </c>
      <c r="P637" s="26">
        <f>(data[[#This Row],[LoadedMiles]]/data[[#This Row],[TotalMiles]])*100</f>
        <v>31.508165225744477</v>
      </c>
      <c r="Q637" s="25">
        <f>data[[#This Row],[ShippingCost]]/data[[#This Row],[TotalMiles]]</f>
        <v>7.3035542747358306</v>
      </c>
      <c r="R637" s="17">
        <v>7603</v>
      </c>
      <c r="S637" s="25">
        <f>data[[#This Row],[Revenue]]/data[[#This Row],[TotalMiles]]</f>
        <v>5.2987512007684918</v>
      </c>
      <c r="T637" s="26">
        <f>data[[#This Row],[Revenue]]-data[[#This Row],[ShippingCost]]</f>
        <v>-2087</v>
      </c>
      <c r="U637" s="17">
        <v>5516</v>
      </c>
      <c r="V637" s="17">
        <v>97</v>
      </c>
      <c r="W637" s="17" t="s">
        <v>25</v>
      </c>
      <c r="X637" s="17">
        <v>4</v>
      </c>
      <c r="Y637" s="17">
        <f>data[[#This Row],[DeliveryDate]]-data[[#This Row],[ShipDate]]</f>
        <v>4</v>
      </c>
      <c r="Z637" s="17" t="str">
        <f>IF(data[[#This Row],[Actual Delivery Days]]&gt;AD638,"Yes","No")</f>
        <v>Yes</v>
      </c>
    </row>
    <row r="638" spans="1:26">
      <c r="A638" s="17">
        <v>10015</v>
      </c>
      <c r="B638" s="17">
        <v>2</v>
      </c>
      <c r="C638" s="17">
        <v>7</v>
      </c>
      <c r="D638" s="17" t="s">
        <v>91</v>
      </c>
      <c r="E638" s="17" t="s">
        <v>92</v>
      </c>
      <c r="F638" s="17" t="str">
        <f>TEXT(data[[#This Row],[ShipDate]],"yyyy - mmmm")</f>
        <v>2016 - February</v>
      </c>
      <c r="G638" s="17" t="str">
        <f>data[[#This Row],[OriginCity]] &amp; " - "  &amp; data[[#This Row],[DestinationCity]]</f>
        <v>Dayton - Elgin</v>
      </c>
      <c r="H638" s="17" t="s">
        <v>93</v>
      </c>
      <c r="I638" s="17" t="s">
        <v>23</v>
      </c>
      <c r="J638" s="17">
        <v>4</v>
      </c>
      <c r="K638" s="17" t="s">
        <v>94</v>
      </c>
      <c r="L638" s="17" t="s">
        <v>31</v>
      </c>
      <c r="M638" s="17" t="s">
        <v>95</v>
      </c>
      <c r="N638" s="17">
        <v>732</v>
      </c>
      <c r="O638" s="17">
        <v>620</v>
      </c>
      <c r="P638" s="26">
        <f>(data[[#This Row],[LoadedMiles]]/data[[#This Row],[TotalMiles]])*100</f>
        <v>84.699453551912569</v>
      </c>
      <c r="Q638" s="25">
        <f>data[[#This Row],[ShippingCost]]/data[[#This Row],[TotalMiles]]</f>
        <v>5.2950819672131146</v>
      </c>
      <c r="R638" s="17">
        <v>3876</v>
      </c>
      <c r="S638" s="25">
        <f>data[[#This Row],[Revenue]]/data[[#This Row],[TotalMiles]]</f>
        <v>6.1079234972677598</v>
      </c>
      <c r="T638" s="26">
        <f>data[[#This Row],[Revenue]]-data[[#This Row],[ShippingCost]]</f>
        <v>595</v>
      </c>
      <c r="U638" s="17">
        <v>4471</v>
      </c>
      <c r="V638" s="17">
        <v>65</v>
      </c>
      <c r="W638" s="17" t="s">
        <v>25</v>
      </c>
      <c r="X638" s="17">
        <v>1</v>
      </c>
      <c r="Y638" s="17">
        <f>data[[#This Row],[DeliveryDate]]-data[[#This Row],[ShipDate]]</f>
        <v>4</v>
      </c>
      <c r="Z638" s="17" t="str">
        <f>IF(data[[#This Row],[Actual Delivery Days]]&gt;AD639,"Yes","No")</f>
        <v>Yes</v>
      </c>
    </row>
    <row r="639" spans="1:26">
      <c r="A639" s="17">
        <v>10025</v>
      </c>
      <c r="B639" s="17">
        <v>1</v>
      </c>
      <c r="C639" s="17">
        <v>8</v>
      </c>
      <c r="D639" s="17" t="s">
        <v>128</v>
      </c>
      <c r="E639" s="17" t="s">
        <v>129</v>
      </c>
      <c r="F639" s="17" t="str">
        <f>TEXT(data[[#This Row],[ShipDate]],"yyyy - mmmm")</f>
        <v>2016 - March</v>
      </c>
      <c r="G639" s="17" t="str">
        <f>data[[#This Row],[OriginCity]] &amp; " - "  &amp; data[[#This Row],[DestinationCity]]</f>
        <v>Indianapolis - Northbrook</v>
      </c>
      <c r="H639" s="17" t="s">
        <v>43</v>
      </c>
      <c r="I639" s="17" t="s">
        <v>44</v>
      </c>
      <c r="J639" s="17">
        <v>4</v>
      </c>
      <c r="K639" s="17" t="s">
        <v>45</v>
      </c>
      <c r="L639" s="17" t="s">
        <v>31</v>
      </c>
      <c r="M639" s="17" t="s">
        <v>130</v>
      </c>
      <c r="N639" s="17">
        <v>1094</v>
      </c>
      <c r="O639" s="17">
        <v>258</v>
      </c>
      <c r="P639" s="26">
        <f>(data[[#This Row],[LoadedMiles]]/data[[#This Row],[TotalMiles]])*100</f>
        <v>23.583180987202926</v>
      </c>
      <c r="Q639" s="25">
        <f>data[[#This Row],[ShippingCost]]/data[[#This Row],[TotalMiles]]</f>
        <v>7.8117001828153567</v>
      </c>
      <c r="R639" s="17">
        <v>8546</v>
      </c>
      <c r="S639" s="25">
        <f>data[[#This Row],[Revenue]]/data[[#This Row],[TotalMiles]]</f>
        <v>8.0658135283363794</v>
      </c>
      <c r="T639" s="26">
        <f>data[[#This Row],[Revenue]]-data[[#This Row],[ShippingCost]]</f>
        <v>278</v>
      </c>
      <c r="U639" s="17">
        <v>8824</v>
      </c>
      <c r="V639" s="17">
        <v>86</v>
      </c>
      <c r="W639" s="17" t="s">
        <v>25</v>
      </c>
      <c r="X639" s="17">
        <v>5</v>
      </c>
      <c r="Y639" s="17">
        <f>data[[#This Row],[DeliveryDate]]-data[[#This Row],[ShipDate]]</f>
        <v>3</v>
      </c>
      <c r="Z639" s="17" t="str">
        <f>IF(data[[#This Row],[Actual Delivery Days]]&gt;AD640,"Yes","No")</f>
        <v>Yes</v>
      </c>
    </row>
    <row r="640" spans="1:26">
      <c r="A640" s="17">
        <v>10036</v>
      </c>
      <c r="B640" s="17">
        <v>2</v>
      </c>
      <c r="C640" s="17">
        <v>8</v>
      </c>
      <c r="D640" s="17" t="s">
        <v>165</v>
      </c>
      <c r="E640" s="17" t="s">
        <v>166</v>
      </c>
      <c r="F640" s="17" t="str">
        <f>TEXT(data[[#This Row],[ShipDate]],"yyyy - mmmm")</f>
        <v>2016 - January</v>
      </c>
      <c r="G640" s="17" t="str">
        <f>data[[#This Row],[OriginCity]] &amp; " - "  &amp; data[[#This Row],[DestinationCity]]</f>
        <v>Toledo - Detriot</v>
      </c>
      <c r="H640" s="17" t="s">
        <v>22</v>
      </c>
      <c r="I640" s="17" t="s">
        <v>23</v>
      </c>
      <c r="J640" s="17">
        <v>4</v>
      </c>
      <c r="K640" s="17" t="s">
        <v>52</v>
      </c>
      <c r="L640" s="17" t="s">
        <v>21</v>
      </c>
      <c r="M640" s="17" t="s">
        <v>153</v>
      </c>
      <c r="N640" s="17">
        <v>455</v>
      </c>
      <c r="O640" s="17">
        <v>455</v>
      </c>
      <c r="P640" s="26">
        <f>(data[[#This Row],[LoadedMiles]]/data[[#This Row],[TotalMiles]])*100</f>
        <v>100</v>
      </c>
      <c r="Q640" s="25">
        <f>data[[#This Row],[ShippingCost]]/data[[#This Row],[TotalMiles]]</f>
        <v>2.0615384615384613</v>
      </c>
      <c r="R640" s="17">
        <v>938</v>
      </c>
      <c r="S640" s="25">
        <f>data[[#This Row],[Revenue]]/data[[#This Row],[TotalMiles]]</f>
        <v>3.8395604395604397</v>
      </c>
      <c r="T640" s="26">
        <f>data[[#This Row],[Revenue]]-data[[#This Row],[ShippingCost]]</f>
        <v>809</v>
      </c>
      <c r="U640" s="17">
        <v>1747</v>
      </c>
      <c r="V640" s="17">
        <v>89</v>
      </c>
      <c r="W640" s="17" t="s">
        <v>25</v>
      </c>
      <c r="X640" s="17">
        <v>1</v>
      </c>
      <c r="Y640" s="17">
        <f>data[[#This Row],[DeliveryDate]]-data[[#This Row],[ShipDate]]</f>
        <v>4</v>
      </c>
      <c r="Z640" s="17" t="str">
        <f>IF(data[[#This Row],[Actual Delivery Days]]&gt;AD641,"Yes","No")</f>
        <v>Yes</v>
      </c>
    </row>
    <row r="641" spans="1:26">
      <c r="A641" s="17">
        <v>10048</v>
      </c>
      <c r="B641" s="17">
        <v>2</v>
      </c>
      <c r="C641" s="17">
        <v>5</v>
      </c>
      <c r="D641" s="17" t="s">
        <v>195</v>
      </c>
      <c r="E641" s="17" t="s">
        <v>196</v>
      </c>
      <c r="F641" s="17" t="str">
        <f>TEXT(data[[#This Row],[ShipDate]],"yyyy - mmmm")</f>
        <v>2016 - May</v>
      </c>
      <c r="G641" s="17" t="str">
        <f>data[[#This Row],[OriginCity]] &amp; " - "  &amp; data[[#This Row],[DestinationCity]]</f>
        <v>Gary - Milwaukee</v>
      </c>
      <c r="H641" s="17" t="s">
        <v>57</v>
      </c>
      <c r="I641" s="17" t="s">
        <v>44</v>
      </c>
      <c r="J641" s="17">
        <v>4</v>
      </c>
      <c r="K641" s="17" t="s">
        <v>28</v>
      </c>
      <c r="L641" s="17" t="s">
        <v>29</v>
      </c>
      <c r="M641" s="17" t="s">
        <v>197</v>
      </c>
      <c r="N641" s="17">
        <v>609</v>
      </c>
      <c r="O641" s="17">
        <v>609</v>
      </c>
      <c r="P641" s="26">
        <f>(data[[#This Row],[LoadedMiles]]/data[[#This Row],[TotalMiles]])*100</f>
        <v>100</v>
      </c>
      <c r="Q641" s="25">
        <f>data[[#This Row],[ShippingCost]]/data[[#This Row],[TotalMiles]]</f>
        <v>8.6863711001642034</v>
      </c>
      <c r="R641" s="17">
        <v>5290</v>
      </c>
      <c r="S641" s="25">
        <f>data[[#This Row],[Revenue]]/data[[#This Row],[TotalMiles]]</f>
        <v>10.308702791461412</v>
      </c>
      <c r="T641" s="26">
        <f>data[[#This Row],[Revenue]]-data[[#This Row],[ShippingCost]]</f>
        <v>988</v>
      </c>
      <c r="U641" s="17">
        <v>6278</v>
      </c>
      <c r="V641" s="17">
        <v>61</v>
      </c>
      <c r="W641" s="17" t="s">
        <v>25</v>
      </c>
      <c r="X641" s="17">
        <v>9</v>
      </c>
      <c r="Y641" s="17">
        <f>data[[#This Row],[DeliveryDate]]-data[[#This Row],[ShipDate]]</f>
        <v>4</v>
      </c>
      <c r="Z641" s="17" t="str">
        <f>IF(data[[#This Row],[Actual Delivery Days]]&gt;AD642,"Yes","No")</f>
        <v>Yes</v>
      </c>
    </row>
    <row r="642" spans="1:26">
      <c r="A642" s="17">
        <v>10054</v>
      </c>
      <c r="B642" s="17">
        <v>2</v>
      </c>
      <c r="C642" s="17">
        <v>8</v>
      </c>
      <c r="D642" s="17" t="s">
        <v>215</v>
      </c>
      <c r="E642" s="17" t="s">
        <v>216</v>
      </c>
      <c r="F642" s="17" t="str">
        <f>TEXT(data[[#This Row],[ShipDate]],"yyyy - mmmm")</f>
        <v>2016 - August</v>
      </c>
      <c r="G642" s="17" t="str">
        <f>data[[#This Row],[OriginCity]] &amp; " - "  &amp; data[[#This Row],[DestinationCity]]</f>
        <v>Cincinnati - Gary</v>
      </c>
      <c r="H642" s="17" t="s">
        <v>89</v>
      </c>
      <c r="I642" s="17" t="s">
        <v>23</v>
      </c>
      <c r="J642" s="17">
        <v>4</v>
      </c>
      <c r="K642" s="17" t="s">
        <v>57</v>
      </c>
      <c r="L642" s="17" t="s">
        <v>44</v>
      </c>
      <c r="M642" s="17" t="s">
        <v>139</v>
      </c>
      <c r="N642" s="17">
        <v>986</v>
      </c>
      <c r="O642" s="17">
        <v>264</v>
      </c>
      <c r="P642" s="26">
        <f>(data[[#This Row],[LoadedMiles]]/data[[#This Row],[TotalMiles]])*100</f>
        <v>26.774847870182555</v>
      </c>
      <c r="Q642" s="25">
        <f>data[[#This Row],[ShippingCost]]/data[[#This Row],[TotalMiles]]</f>
        <v>6.6470588235294121</v>
      </c>
      <c r="R642" s="17">
        <v>6554</v>
      </c>
      <c r="S642" s="25">
        <f>data[[#This Row],[Revenue]]/data[[#This Row],[TotalMiles]]</f>
        <v>7.4290060851926976</v>
      </c>
      <c r="T642" s="26">
        <f>data[[#This Row],[Revenue]]-data[[#This Row],[ShippingCost]]</f>
        <v>771</v>
      </c>
      <c r="U642" s="17">
        <v>7325</v>
      </c>
      <c r="V642" s="17">
        <v>90</v>
      </c>
      <c r="W642" s="17" t="s">
        <v>25</v>
      </c>
      <c r="X642" s="17">
        <v>7</v>
      </c>
      <c r="Y642" s="17">
        <f>data[[#This Row],[DeliveryDate]]-data[[#This Row],[ShipDate]]</f>
        <v>4</v>
      </c>
      <c r="Z642" s="17" t="str">
        <f>IF(data[[#This Row],[Actual Delivery Days]]&gt;AD643,"Yes","No")</f>
        <v>Yes</v>
      </c>
    </row>
    <row r="643" spans="1:26">
      <c r="A643" s="17">
        <v>10056</v>
      </c>
      <c r="B643" s="17">
        <v>2</v>
      </c>
      <c r="C643" s="17">
        <v>6</v>
      </c>
      <c r="D643" s="17" t="s">
        <v>219</v>
      </c>
      <c r="E643" s="17" t="s">
        <v>60</v>
      </c>
      <c r="F643" s="17" t="str">
        <f>TEXT(data[[#This Row],[ShipDate]],"yyyy - mmmm")</f>
        <v>2016 - July</v>
      </c>
      <c r="G643" s="17" t="str">
        <f>data[[#This Row],[OriginCity]] &amp; " - "  &amp; data[[#This Row],[DestinationCity]]</f>
        <v>Toledo - Detriot</v>
      </c>
      <c r="H643" s="17" t="s">
        <v>22</v>
      </c>
      <c r="I643" s="17" t="s">
        <v>23</v>
      </c>
      <c r="J643" s="17">
        <v>4</v>
      </c>
      <c r="K643" s="17" t="s">
        <v>52</v>
      </c>
      <c r="L643" s="17" t="s">
        <v>21</v>
      </c>
      <c r="M643" s="17" t="s">
        <v>149</v>
      </c>
      <c r="N643" s="17">
        <v>336</v>
      </c>
      <c r="O643" s="17">
        <v>336</v>
      </c>
      <c r="P643" s="26">
        <f>(data[[#This Row],[LoadedMiles]]/data[[#This Row],[TotalMiles]])*100</f>
        <v>100</v>
      </c>
      <c r="Q643" s="25">
        <f>data[[#This Row],[ShippingCost]]/data[[#This Row],[TotalMiles]]</f>
        <v>1.6636904761904763</v>
      </c>
      <c r="R643" s="17">
        <v>559</v>
      </c>
      <c r="S643" s="25">
        <f>data[[#This Row],[Revenue]]/data[[#This Row],[TotalMiles]]</f>
        <v>3.4017857142857144</v>
      </c>
      <c r="T643" s="26">
        <f>data[[#This Row],[Revenue]]-data[[#This Row],[ShippingCost]]</f>
        <v>584</v>
      </c>
      <c r="U643" s="17">
        <v>1143</v>
      </c>
      <c r="V643" s="17">
        <v>64</v>
      </c>
      <c r="W643" s="17" t="s">
        <v>25</v>
      </c>
      <c r="X643" s="17">
        <v>9</v>
      </c>
      <c r="Y643" s="17">
        <f>data[[#This Row],[DeliveryDate]]-data[[#This Row],[ShipDate]]</f>
        <v>4</v>
      </c>
      <c r="Z643" s="17" t="str">
        <f>IF(data[[#This Row],[Actual Delivery Days]]&gt;AD644,"Yes","No")</f>
        <v>Yes</v>
      </c>
    </row>
    <row r="644" spans="1:26">
      <c r="A644" s="17">
        <v>10057</v>
      </c>
      <c r="B644" s="17">
        <v>2</v>
      </c>
      <c r="C644" s="17">
        <v>7</v>
      </c>
      <c r="D644" s="17" t="s">
        <v>220</v>
      </c>
      <c r="E644" s="17" t="s">
        <v>221</v>
      </c>
      <c r="F644" s="17" t="str">
        <f>TEXT(data[[#This Row],[ShipDate]],"yyyy - mmmm")</f>
        <v>2016 - April</v>
      </c>
      <c r="G644" s="17" t="str">
        <f>data[[#This Row],[OriginCity]] &amp; " - "  &amp; data[[#This Row],[DestinationCity]]</f>
        <v>Lansing - Dayton</v>
      </c>
      <c r="H644" s="17" t="s">
        <v>66</v>
      </c>
      <c r="I644" s="17" t="s">
        <v>21</v>
      </c>
      <c r="J644" s="17">
        <v>4</v>
      </c>
      <c r="K644" s="17" t="s">
        <v>93</v>
      </c>
      <c r="L644" s="17" t="s">
        <v>23</v>
      </c>
      <c r="M644" s="17" t="s">
        <v>222</v>
      </c>
      <c r="N644" s="17">
        <v>1002</v>
      </c>
      <c r="O644" s="17">
        <v>735</v>
      </c>
      <c r="P644" s="26">
        <f>(data[[#This Row],[LoadedMiles]]/data[[#This Row],[TotalMiles]])*100</f>
        <v>73.353293413173645</v>
      </c>
      <c r="Q644" s="25">
        <f>data[[#This Row],[ShippingCost]]/data[[#This Row],[TotalMiles]]</f>
        <v>6.0948103792415171</v>
      </c>
      <c r="R644" s="17">
        <v>6107</v>
      </c>
      <c r="S644" s="25">
        <f>data[[#This Row],[Revenue]]/data[[#This Row],[TotalMiles]]</f>
        <v>6.4341317365269459</v>
      </c>
      <c r="T644" s="26">
        <f>data[[#This Row],[Revenue]]-data[[#This Row],[ShippingCost]]</f>
        <v>340</v>
      </c>
      <c r="U644" s="17">
        <v>6447</v>
      </c>
      <c r="V644" s="17">
        <v>62</v>
      </c>
      <c r="W644" s="17" t="s">
        <v>25</v>
      </c>
      <c r="X644" s="17">
        <v>10</v>
      </c>
      <c r="Y644" s="17">
        <f>data[[#This Row],[DeliveryDate]]-data[[#This Row],[ShipDate]]</f>
        <v>4</v>
      </c>
      <c r="Z644" s="17" t="str">
        <f>IF(data[[#This Row],[Actual Delivery Days]]&gt;AD645,"Yes","No")</f>
        <v>Yes</v>
      </c>
    </row>
    <row r="645" spans="1:26">
      <c r="A645" s="17">
        <v>10058</v>
      </c>
      <c r="B645" s="17">
        <v>1</v>
      </c>
      <c r="C645" s="17">
        <v>6</v>
      </c>
      <c r="D645" s="17" t="s">
        <v>223</v>
      </c>
      <c r="E645" s="17" t="s">
        <v>197</v>
      </c>
      <c r="F645" s="17" t="str">
        <f>TEXT(data[[#This Row],[ShipDate]],"yyyy - mmmm")</f>
        <v>2016 - May</v>
      </c>
      <c r="G645" s="17" t="str">
        <f>data[[#This Row],[OriginCity]] &amp; " - "  &amp; data[[#This Row],[DestinationCity]]</f>
        <v>Bangor - Davenport</v>
      </c>
      <c r="H645" s="17" t="s">
        <v>104</v>
      </c>
      <c r="I645" s="17" t="s">
        <v>21</v>
      </c>
      <c r="J645" s="17">
        <v>4</v>
      </c>
      <c r="K645" s="17" t="s">
        <v>105</v>
      </c>
      <c r="L645" s="17" t="s">
        <v>106</v>
      </c>
      <c r="M645" s="17" t="s">
        <v>224</v>
      </c>
      <c r="N645" s="17">
        <v>705</v>
      </c>
      <c r="O645" s="17">
        <v>522</v>
      </c>
      <c r="P645" s="26">
        <f>(data[[#This Row],[LoadedMiles]]/data[[#This Row],[TotalMiles]])*100</f>
        <v>74.042553191489361</v>
      </c>
      <c r="Q645" s="25">
        <f>data[[#This Row],[ShippingCost]]/data[[#This Row],[TotalMiles]]</f>
        <v>4.9021276595744681</v>
      </c>
      <c r="R645" s="17">
        <v>3456</v>
      </c>
      <c r="S645" s="25">
        <f>data[[#This Row],[Revenue]]/data[[#This Row],[TotalMiles]]</f>
        <v>5.3106382978723401</v>
      </c>
      <c r="T645" s="26">
        <f>data[[#This Row],[Revenue]]-data[[#This Row],[ShippingCost]]</f>
        <v>288</v>
      </c>
      <c r="U645" s="17">
        <v>3744</v>
      </c>
      <c r="V645" s="17">
        <v>51</v>
      </c>
      <c r="W645" s="17" t="s">
        <v>25</v>
      </c>
      <c r="X645" s="17">
        <v>4</v>
      </c>
      <c r="Y645" s="17">
        <f>data[[#This Row],[DeliveryDate]]-data[[#This Row],[ShipDate]]</f>
        <v>4</v>
      </c>
      <c r="Z645" s="17" t="str">
        <f>IF(data[[#This Row],[Actual Delivery Days]]&gt;AD646,"Yes","No")</f>
        <v>Yes</v>
      </c>
    </row>
    <row r="646" spans="1:26">
      <c r="A646" s="17">
        <v>10064</v>
      </c>
      <c r="B646" s="17">
        <v>2</v>
      </c>
      <c r="C646" s="17">
        <v>6</v>
      </c>
      <c r="D646" s="17" t="s">
        <v>239</v>
      </c>
      <c r="E646" s="17" t="s">
        <v>240</v>
      </c>
      <c r="F646" s="17" t="str">
        <f>TEXT(data[[#This Row],[ShipDate]],"yyyy - mmmm")</f>
        <v>2016 - August</v>
      </c>
      <c r="G646" s="17" t="str">
        <f>data[[#This Row],[OriginCity]] &amp; " - "  &amp; data[[#This Row],[DestinationCity]]</f>
        <v>Chicago - Rockford</v>
      </c>
      <c r="H646" s="17" t="s">
        <v>39</v>
      </c>
      <c r="I646" s="17" t="s">
        <v>31</v>
      </c>
      <c r="J646" s="17">
        <v>4</v>
      </c>
      <c r="K646" s="17" t="s">
        <v>40</v>
      </c>
      <c r="L646" s="17" t="s">
        <v>31</v>
      </c>
      <c r="M646" s="17" t="s">
        <v>241</v>
      </c>
      <c r="N646" s="17">
        <v>419</v>
      </c>
      <c r="O646" s="17">
        <v>419</v>
      </c>
      <c r="P646" s="26">
        <f>(data[[#This Row],[LoadedMiles]]/data[[#This Row],[TotalMiles]])*100</f>
        <v>100</v>
      </c>
      <c r="Q646" s="25">
        <f>data[[#This Row],[ShippingCost]]/data[[#This Row],[TotalMiles]]</f>
        <v>0.80429594272076377</v>
      </c>
      <c r="R646" s="17">
        <v>337</v>
      </c>
      <c r="S646" s="25">
        <f>data[[#This Row],[Revenue]]/data[[#This Row],[TotalMiles]]</f>
        <v>2.5131264916467781</v>
      </c>
      <c r="T646" s="26">
        <f>data[[#This Row],[Revenue]]-data[[#This Row],[ShippingCost]]</f>
        <v>716</v>
      </c>
      <c r="U646" s="17">
        <v>1053</v>
      </c>
      <c r="V646" s="17">
        <v>86</v>
      </c>
      <c r="W646" s="17" t="s">
        <v>25</v>
      </c>
      <c r="X646" s="17">
        <v>10</v>
      </c>
      <c r="Y646" s="17">
        <f>data[[#This Row],[DeliveryDate]]-data[[#This Row],[ShipDate]]</f>
        <v>4</v>
      </c>
      <c r="Z646" s="17" t="str">
        <f>IF(data[[#This Row],[Actual Delivery Days]]&gt;AD647,"Yes","No")</f>
        <v>Yes</v>
      </c>
    </row>
    <row r="647" spans="1:26">
      <c r="A647" s="17">
        <v>10068</v>
      </c>
      <c r="B647" s="17">
        <v>1</v>
      </c>
      <c r="C647" s="17">
        <v>5</v>
      </c>
      <c r="D647" s="17" t="s">
        <v>250</v>
      </c>
      <c r="E647" s="17" t="s">
        <v>129</v>
      </c>
      <c r="F647" s="17" t="str">
        <f>TEXT(data[[#This Row],[ShipDate]],"yyyy - mmmm")</f>
        <v>2016 - March</v>
      </c>
      <c r="G647" s="17" t="str">
        <f>data[[#This Row],[OriginCity]] &amp; " - "  &amp; data[[#This Row],[DestinationCity]]</f>
        <v>Joliet - Madison</v>
      </c>
      <c r="H647" s="17" t="s">
        <v>61</v>
      </c>
      <c r="I647" s="17" t="s">
        <v>31</v>
      </c>
      <c r="J647" s="17">
        <v>4</v>
      </c>
      <c r="K647" s="17" t="s">
        <v>62</v>
      </c>
      <c r="L647" s="17" t="s">
        <v>29</v>
      </c>
      <c r="M647" s="17" t="s">
        <v>82</v>
      </c>
      <c r="N647" s="17">
        <v>222</v>
      </c>
      <c r="O647" s="17">
        <v>222</v>
      </c>
      <c r="P647" s="26">
        <f>(data[[#This Row],[LoadedMiles]]/data[[#This Row],[TotalMiles]])*100</f>
        <v>100</v>
      </c>
      <c r="Q647" s="25">
        <f>data[[#This Row],[ShippingCost]]/data[[#This Row],[TotalMiles]]</f>
        <v>33.626126126126124</v>
      </c>
      <c r="R647" s="17">
        <v>7465</v>
      </c>
      <c r="S647" s="25">
        <f>data[[#This Row],[Revenue]]/data[[#This Row],[TotalMiles]]</f>
        <v>34.77927927927928</v>
      </c>
      <c r="T647" s="26">
        <f>data[[#This Row],[Revenue]]-data[[#This Row],[ShippingCost]]</f>
        <v>256</v>
      </c>
      <c r="U647" s="17">
        <v>7721</v>
      </c>
      <c r="V647" s="17">
        <v>99</v>
      </c>
      <c r="W647" s="17" t="s">
        <v>25</v>
      </c>
      <c r="X647" s="17">
        <v>6</v>
      </c>
      <c r="Y647" s="17">
        <f>data[[#This Row],[DeliveryDate]]-data[[#This Row],[ShipDate]]</f>
        <v>2</v>
      </c>
      <c r="Z647" s="17" t="str">
        <f>IF(data[[#This Row],[Actual Delivery Days]]&gt;AD648,"Yes","No")</f>
        <v>Yes</v>
      </c>
    </row>
    <row r="648" spans="1:26">
      <c r="A648" s="17">
        <v>10071</v>
      </c>
      <c r="B648" s="17">
        <v>2</v>
      </c>
      <c r="C648" s="17">
        <v>8</v>
      </c>
      <c r="D648" s="17" t="s">
        <v>262</v>
      </c>
      <c r="E648" s="17" t="s">
        <v>263</v>
      </c>
      <c r="F648" s="17" t="str">
        <f>TEXT(data[[#This Row],[ShipDate]],"yyyy - mmmm")</f>
        <v>2016 - January</v>
      </c>
      <c r="G648" s="17" t="str">
        <f>data[[#This Row],[OriginCity]] &amp; " - "  &amp; data[[#This Row],[DestinationCity]]</f>
        <v>Appleton - Grand Rapids</v>
      </c>
      <c r="H648" s="17" t="s">
        <v>85</v>
      </c>
      <c r="I648" s="17" t="s">
        <v>29</v>
      </c>
      <c r="J648" s="17">
        <v>4</v>
      </c>
      <c r="K648" s="17" t="s">
        <v>20</v>
      </c>
      <c r="L648" s="17" t="s">
        <v>21</v>
      </c>
      <c r="M648" s="17" t="s">
        <v>264</v>
      </c>
      <c r="N648" s="17">
        <v>701</v>
      </c>
      <c r="O648" s="17">
        <v>668</v>
      </c>
      <c r="P648" s="26">
        <f>(data[[#This Row],[LoadedMiles]]/data[[#This Row],[TotalMiles]])*100</f>
        <v>95.292439372325248</v>
      </c>
      <c r="Q648" s="25">
        <f>data[[#This Row],[ShippingCost]]/data[[#This Row],[TotalMiles]]</f>
        <v>2.9985734664764623</v>
      </c>
      <c r="R648" s="17">
        <v>2102</v>
      </c>
      <c r="S648" s="25">
        <f>data[[#This Row],[Revenue]]/data[[#This Row],[TotalMiles]]</f>
        <v>4.0599144079885878</v>
      </c>
      <c r="T648" s="26">
        <f>data[[#This Row],[Revenue]]-data[[#This Row],[ShippingCost]]</f>
        <v>744</v>
      </c>
      <c r="U648" s="17">
        <v>2846</v>
      </c>
      <c r="V648" s="17">
        <v>67</v>
      </c>
      <c r="W648" s="17" t="s">
        <v>25</v>
      </c>
      <c r="X648" s="17">
        <v>1</v>
      </c>
      <c r="Y648" s="17">
        <f>data[[#This Row],[DeliveryDate]]-data[[#This Row],[ShipDate]]</f>
        <v>4</v>
      </c>
      <c r="Z648" s="17" t="str">
        <f>IF(data[[#This Row],[Actual Delivery Days]]&gt;AD649,"Yes","No")</f>
        <v>Yes</v>
      </c>
    </row>
    <row r="649" spans="1:26">
      <c r="A649" s="17">
        <v>10078</v>
      </c>
      <c r="B649" s="17">
        <v>1</v>
      </c>
      <c r="C649" s="17">
        <v>5</v>
      </c>
      <c r="D649" s="17" t="s">
        <v>277</v>
      </c>
      <c r="E649" s="17" t="s">
        <v>278</v>
      </c>
      <c r="F649" s="17" t="str">
        <f>TEXT(data[[#This Row],[ShipDate]],"yyyy - mmmm")</f>
        <v>2016 - June</v>
      </c>
      <c r="G649" s="17" t="str">
        <f>data[[#This Row],[OriginCity]] &amp; " - "  &amp; data[[#This Row],[DestinationCity]]</f>
        <v>Davenport - Appleton</v>
      </c>
      <c r="H649" s="17" t="s">
        <v>105</v>
      </c>
      <c r="I649" s="17" t="s">
        <v>106</v>
      </c>
      <c r="J649" s="17">
        <v>4</v>
      </c>
      <c r="K649" s="17" t="s">
        <v>85</v>
      </c>
      <c r="L649" s="17" t="s">
        <v>29</v>
      </c>
      <c r="M649" s="17" t="s">
        <v>279</v>
      </c>
      <c r="N649" s="17">
        <v>858</v>
      </c>
      <c r="O649" s="17">
        <v>677</v>
      </c>
      <c r="P649" s="26">
        <f>(data[[#This Row],[LoadedMiles]]/data[[#This Row],[TotalMiles]])*100</f>
        <v>78.904428904428897</v>
      </c>
      <c r="Q649" s="25">
        <f>data[[#This Row],[ShippingCost]]/data[[#This Row],[TotalMiles]]</f>
        <v>8.2808857808857805</v>
      </c>
      <c r="R649" s="17">
        <v>7105</v>
      </c>
      <c r="S649" s="25">
        <f>data[[#This Row],[Revenue]]/data[[#This Row],[TotalMiles]]</f>
        <v>8.7156177156177161</v>
      </c>
      <c r="T649" s="26">
        <f>data[[#This Row],[Revenue]]-data[[#This Row],[ShippingCost]]</f>
        <v>373</v>
      </c>
      <c r="U649" s="17">
        <v>7478</v>
      </c>
      <c r="V649" s="17">
        <v>70</v>
      </c>
      <c r="W649" s="17" t="s">
        <v>25</v>
      </c>
      <c r="X649" s="17">
        <v>6</v>
      </c>
      <c r="Y649" s="17">
        <f>data[[#This Row],[DeliveryDate]]-data[[#This Row],[ShipDate]]</f>
        <v>4</v>
      </c>
      <c r="Z649" s="17" t="str">
        <f>IF(data[[#This Row],[Actual Delivery Days]]&gt;AD650,"Yes","No")</f>
        <v>Yes</v>
      </c>
    </row>
    <row r="650" spans="1:26">
      <c r="A650" s="17">
        <v>10083</v>
      </c>
      <c r="B650" s="17">
        <v>1</v>
      </c>
      <c r="C650" s="17">
        <v>4</v>
      </c>
      <c r="D650" s="17" t="s">
        <v>288</v>
      </c>
      <c r="E650" s="17" t="s">
        <v>212</v>
      </c>
      <c r="F650" s="17" t="str">
        <f>TEXT(data[[#This Row],[ShipDate]],"yyyy - mmmm")</f>
        <v>2016 - August</v>
      </c>
      <c r="G650" s="17" t="str">
        <f>data[[#This Row],[OriginCity]] &amp; " - "  &amp; data[[#This Row],[DestinationCity]]</f>
        <v>Indianapolis - Northbrook</v>
      </c>
      <c r="H650" s="17" t="s">
        <v>43</v>
      </c>
      <c r="I650" s="17" t="s">
        <v>44</v>
      </c>
      <c r="J650" s="17">
        <v>4</v>
      </c>
      <c r="K650" s="17" t="s">
        <v>45</v>
      </c>
      <c r="L650" s="17" t="s">
        <v>31</v>
      </c>
      <c r="M650" s="17" t="s">
        <v>214</v>
      </c>
      <c r="N650" s="17">
        <v>740</v>
      </c>
      <c r="O650" s="17">
        <v>684</v>
      </c>
      <c r="P650" s="26">
        <f>(data[[#This Row],[LoadedMiles]]/data[[#This Row],[TotalMiles]])*100</f>
        <v>92.432432432432435</v>
      </c>
      <c r="Q650" s="25">
        <f>data[[#This Row],[ShippingCost]]/data[[#This Row],[TotalMiles]]</f>
        <v>9.6297297297297302</v>
      </c>
      <c r="R650" s="17">
        <v>7126</v>
      </c>
      <c r="S650" s="25">
        <f>data[[#This Row],[Revenue]]/data[[#This Row],[TotalMiles]]</f>
        <v>6.6716216216216218</v>
      </c>
      <c r="T650" s="26">
        <f>data[[#This Row],[Revenue]]-data[[#This Row],[ShippingCost]]</f>
        <v>-2189</v>
      </c>
      <c r="U650" s="17">
        <v>4937</v>
      </c>
      <c r="V650" s="17">
        <v>57</v>
      </c>
      <c r="W650" s="17" t="s">
        <v>25</v>
      </c>
      <c r="X650" s="17">
        <v>9</v>
      </c>
      <c r="Y650" s="17">
        <f>data[[#This Row],[DeliveryDate]]-data[[#This Row],[ShipDate]]</f>
        <v>2</v>
      </c>
      <c r="Z650" s="17" t="str">
        <f>IF(data[[#This Row],[Actual Delivery Days]]&gt;AD651,"Yes","No")</f>
        <v>Yes</v>
      </c>
    </row>
    <row r="651" spans="1:26">
      <c r="A651" s="17">
        <v>10091</v>
      </c>
      <c r="B651" s="17">
        <v>2</v>
      </c>
      <c r="C651" s="17">
        <v>7</v>
      </c>
      <c r="D651" s="17" t="s">
        <v>305</v>
      </c>
      <c r="E651" s="17" t="s">
        <v>207</v>
      </c>
      <c r="F651" s="17" t="str">
        <f>TEXT(data[[#This Row],[ShipDate]],"yyyy - mmmm")</f>
        <v>2016 - March</v>
      </c>
      <c r="G651" s="17" t="str">
        <f>data[[#This Row],[OriginCity]] &amp; " - "  &amp; data[[#This Row],[DestinationCity]]</f>
        <v>Naperville - Indianapolis</v>
      </c>
      <c r="H651" s="17" t="s">
        <v>48</v>
      </c>
      <c r="I651" s="17" t="s">
        <v>31</v>
      </c>
      <c r="J651" s="17">
        <v>4</v>
      </c>
      <c r="K651" s="17" t="s">
        <v>43</v>
      </c>
      <c r="L651" s="17" t="s">
        <v>44</v>
      </c>
      <c r="M651" s="17" t="s">
        <v>133</v>
      </c>
      <c r="N651" s="17">
        <v>669</v>
      </c>
      <c r="O651" s="17">
        <v>332</v>
      </c>
      <c r="P651" s="26">
        <f>(data[[#This Row],[LoadedMiles]]/data[[#This Row],[TotalMiles]])*100</f>
        <v>49.626307922272048</v>
      </c>
      <c r="Q651" s="25">
        <f>data[[#This Row],[ShippingCost]]/data[[#This Row],[TotalMiles]]</f>
        <v>3.3408071748878925</v>
      </c>
      <c r="R651" s="17">
        <v>2235</v>
      </c>
      <c r="S651" s="25">
        <f>data[[#This Row],[Revenue]]/data[[#This Row],[TotalMiles]]</f>
        <v>3.9686098654708521</v>
      </c>
      <c r="T651" s="26">
        <f>data[[#This Row],[Revenue]]-data[[#This Row],[ShippingCost]]</f>
        <v>420</v>
      </c>
      <c r="U651" s="17">
        <v>2655</v>
      </c>
      <c r="V651" s="17">
        <v>85</v>
      </c>
      <c r="W651" s="17" t="s">
        <v>25</v>
      </c>
      <c r="X651" s="17">
        <v>5</v>
      </c>
      <c r="Y651" s="17">
        <f>data[[#This Row],[DeliveryDate]]-data[[#This Row],[ShipDate]]</f>
        <v>3</v>
      </c>
      <c r="Z651" s="17" t="str">
        <f>IF(data[[#This Row],[Actual Delivery Days]]&gt;AD652,"Yes","No")</f>
        <v>Yes</v>
      </c>
    </row>
    <row r="652" spans="1:26">
      <c r="A652" s="17">
        <v>10100</v>
      </c>
      <c r="B652" s="17">
        <v>1</v>
      </c>
      <c r="C652" s="17">
        <v>5</v>
      </c>
      <c r="D652" s="17" t="s">
        <v>321</v>
      </c>
      <c r="E652" s="17" t="s">
        <v>257</v>
      </c>
      <c r="F652" s="17" t="str">
        <f>TEXT(data[[#This Row],[ShipDate]],"yyyy - mmmm")</f>
        <v>2016 - January</v>
      </c>
      <c r="G652" s="17" t="str">
        <f>data[[#This Row],[OriginCity]] &amp; " - "  &amp; data[[#This Row],[DestinationCity]]</f>
        <v>Skokie - Chicago</v>
      </c>
      <c r="H652" s="17" t="s">
        <v>35</v>
      </c>
      <c r="I652" s="17" t="s">
        <v>31</v>
      </c>
      <c r="J652" s="17">
        <v>4</v>
      </c>
      <c r="K652" s="17" t="s">
        <v>39</v>
      </c>
      <c r="L652" s="17" t="s">
        <v>31</v>
      </c>
      <c r="M652" s="17" t="s">
        <v>245</v>
      </c>
      <c r="N652" s="17">
        <v>362</v>
      </c>
      <c r="O652" s="17">
        <v>362</v>
      </c>
      <c r="P652" s="26">
        <f>(data[[#This Row],[LoadedMiles]]/data[[#This Row],[TotalMiles]])*100</f>
        <v>100</v>
      </c>
      <c r="Q652" s="25">
        <f>data[[#This Row],[ShippingCost]]/data[[#This Row],[TotalMiles]]</f>
        <v>10.193370165745856</v>
      </c>
      <c r="R652" s="17">
        <v>3690</v>
      </c>
      <c r="S652" s="25">
        <f>data[[#This Row],[Revenue]]/data[[#This Row],[TotalMiles]]</f>
        <v>12.729281767955801</v>
      </c>
      <c r="T652" s="26">
        <f>data[[#This Row],[Revenue]]-data[[#This Row],[ShippingCost]]</f>
        <v>918</v>
      </c>
      <c r="U652" s="17">
        <v>4608</v>
      </c>
      <c r="V652" s="17">
        <v>99</v>
      </c>
      <c r="W652" s="17" t="s">
        <v>25</v>
      </c>
      <c r="X652" s="17">
        <v>2</v>
      </c>
      <c r="Y652" s="17">
        <f>data[[#This Row],[DeliveryDate]]-data[[#This Row],[ShipDate]]</f>
        <v>4</v>
      </c>
      <c r="Z652" s="17" t="str">
        <f>IF(data[[#This Row],[Actual Delivery Days]]&gt;AD653,"Yes","No")</f>
        <v>Yes</v>
      </c>
    </row>
    <row r="653" spans="1:26">
      <c r="A653" s="17">
        <v>10103</v>
      </c>
      <c r="B653" s="17">
        <v>2</v>
      </c>
      <c r="C653" s="17">
        <v>7</v>
      </c>
      <c r="D653" s="17" t="s">
        <v>325</v>
      </c>
      <c r="E653" s="17" t="s">
        <v>100</v>
      </c>
      <c r="F653" s="17" t="str">
        <f>TEXT(data[[#This Row],[ShipDate]],"yyyy - mmmm")</f>
        <v>2016 - April</v>
      </c>
      <c r="G653" s="17" t="str">
        <f>data[[#This Row],[OriginCity]] &amp; " - "  &amp; data[[#This Row],[DestinationCity]]</f>
        <v>Grand Rapids - Toledo</v>
      </c>
      <c r="H653" s="17" t="s">
        <v>20</v>
      </c>
      <c r="I653" s="17" t="s">
        <v>21</v>
      </c>
      <c r="J653" s="17">
        <v>4</v>
      </c>
      <c r="K653" s="17" t="s">
        <v>22</v>
      </c>
      <c r="L653" s="17" t="s">
        <v>23</v>
      </c>
      <c r="M653" s="17" t="s">
        <v>170</v>
      </c>
      <c r="N653" s="17">
        <v>981</v>
      </c>
      <c r="O653" s="17">
        <v>619</v>
      </c>
      <c r="P653" s="26">
        <f>(data[[#This Row],[LoadedMiles]]/data[[#This Row],[TotalMiles]])*100</f>
        <v>63.098878695208974</v>
      </c>
      <c r="Q653" s="25">
        <f>data[[#This Row],[ShippingCost]]/data[[#This Row],[TotalMiles]]</f>
        <v>3.5066258919469928</v>
      </c>
      <c r="R653" s="17">
        <v>3440</v>
      </c>
      <c r="S653" s="25">
        <f>data[[#This Row],[Revenue]]/data[[#This Row],[TotalMiles]]</f>
        <v>4.2089704383282367</v>
      </c>
      <c r="T653" s="26">
        <f>data[[#This Row],[Revenue]]-data[[#This Row],[ShippingCost]]</f>
        <v>689</v>
      </c>
      <c r="U653" s="17">
        <v>4129</v>
      </c>
      <c r="V653" s="17">
        <v>89</v>
      </c>
      <c r="W653" s="17" t="s">
        <v>25</v>
      </c>
      <c r="X653" s="17">
        <v>8</v>
      </c>
      <c r="Y653" s="17">
        <f>data[[#This Row],[DeliveryDate]]-data[[#This Row],[ShipDate]]</f>
        <v>1</v>
      </c>
      <c r="Z653" s="17" t="str">
        <f>IF(data[[#This Row],[Actual Delivery Days]]&gt;AD654,"Yes","No")</f>
        <v>Yes</v>
      </c>
    </row>
    <row r="654" spans="1:26">
      <c r="A654" s="17">
        <v>10107</v>
      </c>
      <c r="B654" s="17">
        <v>2</v>
      </c>
      <c r="C654" s="17">
        <v>5</v>
      </c>
      <c r="D654" s="17" t="s">
        <v>330</v>
      </c>
      <c r="E654" s="17" t="s">
        <v>136</v>
      </c>
      <c r="F654" s="17" t="str">
        <f>TEXT(data[[#This Row],[ShipDate]],"yyyy - mmmm")</f>
        <v>2016 - June</v>
      </c>
      <c r="G654" s="17" t="str">
        <f>data[[#This Row],[OriginCity]] &amp; " - "  &amp; data[[#This Row],[DestinationCity]]</f>
        <v>Indianapolis - Northbrook</v>
      </c>
      <c r="H654" s="17" t="s">
        <v>43</v>
      </c>
      <c r="I654" s="17" t="s">
        <v>44</v>
      </c>
      <c r="J654" s="17">
        <v>4</v>
      </c>
      <c r="K654" s="17" t="s">
        <v>45</v>
      </c>
      <c r="L654" s="17" t="s">
        <v>31</v>
      </c>
      <c r="M654" s="17" t="s">
        <v>278</v>
      </c>
      <c r="N654" s="17">
        <v>830</v>
      </c>
      <c r="O654" s="17">
        <v>265</v>
      </c>
      <c r="P654" s="26">
        <f>(data[[#This Row],[LoadedMiles]]/data[[#This Row],[TotalMiles]])*100</f>
        <v>31.92771084337349</v>
      </c>
      <c r="Q654" s="25">
        <f>data[[#This Row],[ShippingCost]]/data[[#This Row],[TotalMiles]]</f>
        <v>1.8506024096385543</v>
      </c>
      <c r="R654" s="17">
        <v>1536</v>
      </c>
      <c r="S654" s="25">
        <f>data[[#This Row],[Revenue]]/data[[#This Row],[TotalMiles]]</f>
        <v>2.2819277108433735</v>
      </c>
      <c r="T654" s="26">
        <f>data[[#This Row],[Revenue]]-data[[#This Row],[ShippingCost]]</f>
        <v>358</v>
      </c>
      <c r="U654" s="17">
        <v>1894</v>
      </c>
      <c r="V654" s="17">
        <v>82</v>
      </c>
      <c r="W654" s="17" t="s">
        <v>25</v>
      </c>
      <c r="X654" s="17">
        <v>6</v>
      </c>
      <c r="Y654" s="17">
        <f>data[[#This Row],[DeliveryDate]]-data[[#This Row],[ShipDate]]</f>
        <v>4</v>
      </c>
      <c r="Z654" s="17" t="str">
        <f>IF(data[[#This Row],[Actual Delivery Days]]&gt;AD655,"Yes","No")</f>
        <v>Yes</v>
      </c>
    </row>
    <row r="655" spans="1:26">
      <c r="A655" s="17">
        <v>10121</v>
      </c>
      <c r="B655" s="17">
        <v>1</v>
      </c>
      <c r="C655" s="17">
        <v>6</v>
      </c>
      <c r="D655" s="17" t="s">
        <v>359</v>
      </c>
      <c r="E655" s="17" t="s">
        <v>70</v>
      </c>
      <c r="F655" s="17" t="str">
        <f>TEXT(data[[#This Row],[ShipDate]],"yyyy - mmmm")</f>
        <v>2016 - January</v>
      </c>
      <c r="G655" s="17" t="str">
        <f>data[[#This Row],[OriginCity]] &amp; " - "  &amp; data[[#This Row],[DestinationCity]]</f>
        <v>Skokie - Chicago</v>
      </c>
      <c r="H655" s="17" t="s">
        <v>35</v>
      </c>
      <c r="I655" s="17" t="s">
        <v>31</v>
      </c>
      <c r="J655" s="17">
        <v>4</v>
      </c>
      <c r="K655" s="17" t="s">
        <v>39</v>
      </c>
      <c r="L655" s="17" t="s">
        <v>31</v>
      </c>
      <c r="M655" s="17" t="s">
        <v>257</v>
      </c>
      <c r="N655" s="17">
        <v>1085</v>
      </c>
      <c r="O655" s="17">
        <v>716</v>
      </c>
      <c r="P655" s="26">
        <f>(data[[#This Row],[LoadedMiles]]/data[[#This Row],[TotalMiles]])*100</f>
        <v>65.990783410138249</v>
      </c>
      <c r="Q655" s="25">
        <f>data[[#This Row],[ShippingCost]]/data[[#This Row],[TotalMiles]]</f>
        <v>6.6211981566820279</v>
      </c>
      <c r="R655" s="17">
        <v>7184</v>
      </c>
      <c r="S655" s="25">
        <f>data[[#This Row],[Revenue]]/data[[#This Row],[TotalMiles]]</f>
        <v>7.2820276497695851</v>
      </c>
      <c r="T655" s="26">
        <f>data[[#This Row],[Revenue]]-data[[#This Row],[ShippingCost]]</f>
        <v>717</v>
      </c>
      <c r="U655" s="17">
        <v>7901</v>
      </c>
      <c r="V655" s="17">
        <v>73</v>
      </c>
      <c r="W655" s="17" t="s">
        <v>25</v>
      </c>
      <c r="X655" s="17">
        <v>10</v>
      </c>
      <c r="Y655" s="17">
        <f>data[[#This Row],[DeliveryDate]]-data[[#This Row],[ShipDate]]</f>
        <v>4</v>
      </c>
      <c r="Z655" s="17" t="str">
        <f>IF(data[[#This Row],[Actual Delivery Days]]&gt;AD656,"Yes","No")</f>
        <v>Yes</v>
      </c>
    </row>
    <row r="656" spans="1:26">
      <c r="A656" s="17">
        <v>10124</v>
      </c>
      <c r="B656" s="17">
        <v>2</v>
      </c>
      <c r="C656" s="17">
        <v>6</v>
      </c>
      <c r="D656" s="17" t="s">
        <v>361</v>
      </c>
      <c r="E656" s="17" t="s">
        <v>362</v>
      </c>
      <c r="F656" s="17" t="str">
        <f>TEXT(data[[#This Row],[ShipDate]],"yyyy - mmmm")</f>
        <v>2016 - February</v>
      </c>
      <c r="G656" s="17" t="str">
        <f>data[[#This Row],[OriginCity]] &amp; " - "  &amp; data[[#This Row],[DestinationCity]]</f>
        <v>Grand Rapids - Toledo</v>
      </c>
      <c r="H656" s="17" t="s">
        <v>20</v>
      </c>
      <c r="I656" s="17" t="s">
        <v>21</v>
      </c>
      <c r="J656" s="17">
        <v>4</v>
      </c>
      <c r="K656" s="17" t="s">
        <v>22</v>
      </c>
      <c r="L656" s="17" t="s">
        <v>23</v>
      </c>
      <c r="M656" s="17" t="s">
        <v>363</v>
      </c>
      <c r="N656" s="17">
        <v>773</v>
      </c>
      <c r="O656" s="17">
        <v>496</v>
      </c>
      <c r="P656" s="26">
        <f>(data[[#This Row],[LoadedMiles]]/data[[#This Row],[TotalMiles]])*100</f>
        <v>64.165588615782667</v>
      </c>
      <c r="Q656" s="25">
        <f>data[[#This Row],[ShippingCost]]/data[[#This Row],[TotalMiles]]</f>
        <v>10.381630012936611</v>
      </c>
      <c r="R656" s="17">
        <v>8025</v>
      </c>
      <c r="S656" s="25">
        <f>data[[#This Row],[Revenue]]/data[[#This Row],[TotalMiles]]</f>
        <v>11.322121604139715</v>
      </c>
      <c r="T656" s="26">
        <f>data[[#This Row],[Revenue]]-data[[#This Row],[ShippingCost]]</f>
        <v>727</v>
      </c>
      <c r="U656" s="17">
        <v>8752</v>
      </c>
      <c r="V656" s="17">
        <v>59</v>
      </c>
      <c r="W656" s="17" t="s">
        <v>25</v>
      </c>
      <c r="X656" s="17">
        <v>4</v>
      </c>
      <c r="Y656" s="17">
        <f>data[[#This Row],[DeliveryDate]]-data[[#This Row],[ShipDate]]</f>
        <v>4</v>
      </c>
      <c r="Z656" s="17" t="str">
        <f>IF(data[[#This Row],[Actual Delivery Days]]&gt;AD657,"Yes","No")</f>
        <v>Yes</v>
      </c>
    </row>
    <row r="657" spans="1:26">
      <c r="A657" s="17">
        <v>10125</v>
      </c>
      <c r="B657" s="17">
        <v>2</v>
      </c>
      <c r="C657" s="17">
        <v>6</v>
      </c>
      <c r="D657" s="17" t="s">
        <v>364</v>
      </c>
      <c r="E657" s="17" t="s">
        <v>365</v>
      </c>
      <c r="F657" s="17" t="str">
        <f>TEXT(data[[#This Row],[ShipDate]],"yyyy - mmmm")</f>
        <v>2016 - June</v>
      </c>
      <c r="G657" s="17" t="str">
        <f>data[[#This Row],[OriginCity]] &amp; " - "  &amp; data[[#This Row],[DestinationCity]]</f>
        <v>Milwaukee - Springfield</v>
      </c>
      <c r="H657" s="17" t="s">
        <v>28</v>
      </c>
      <c r="I657" s="17" t="s">
        <v>29</v>
      </c>
      <c r="J657" s="17">
        <v>4</v>
      </c>
      <c r="K657" s="17" t="s">
        <v>30</v>
      </c>
      <c r="L657" s="17" t="s">
        <v>31</v>
      </c>
      <c r="M657" s="17" t="s">
        <v>146</v>
      </c>
      <c r="N657" s="17">
        <v>622</v>
      </c>
      <c r="O657" s="17">
        <v>425</v>
      </c>
      <c r="P657" s="26">
        <f>(data[[#This Row],[LoadedMiles]]/data[[#This Row],[TotalMiles]])*100</f>
        <v>68.327974276527328</v>
      </c>
      <c r="Q657" s="25">
        <f>data[[#This Row],[ShippingCost]]/data[[#This Row],[TotalMiles]]</f>
        <v>12.483922829581994</v>
      </c>
      <c r="R657" s="17">
        <v>7765</v>
      </c>
      <c r="S657" s="25">
        <f>data[[#This Row],[Revenue]]/data[[#This Row],[TotalMiles]]</f>
        <v>12.971061093247588</v>
      </c>
      <c r="T657" s="26">
        <f>data[[#This Row],[Revenue]]-data[[#This Row],[ShippingCost]]</f>
        <v>303</v>
      </c>
      <c r="U657" s="17">
        <v>8068</v>
      </c>
      <c r="V657" s="17">
        <v>70</v>
      </c>
      <c r="W657" s="17" t="s">
        <v>25</v>
      </c>
      <c r="X657" s="17">
        <v>6</v>
      </c>
      <c r="Y657" s="17">
        <f>data[[#This Row],[DeliveryDate]]-data[[#This Row],[ShipDate]]</f>
        <v>4</v>
      </c>
      <c r="Z657" s="17" t="str">
        <f>IF(data[[#This Row],[Actual Delivery Days]]&gt;AD658,"Yes","No")</f>
        <v>Yes</v>
      </c>
    </row>
    <row r="658" spans="1:26">
      <c r="A658" s="17">
        <v>10126</v>
      </c>
      <c r="B658" s="17">
        <v>2</v>
      </c>
      <c r="C658" s="17">
        <v>7</v>
      </c>
      <c r="D658" s="17" t="s">
        <v>366</v>
      </c>
      <c r="E658" s="17" t="s">
        <v>367</v>
      </c>
      <c r="F658" s="17" t="str">
        <f>TEXT(data[[#This Row],[ShipDate]],"yyyy - mmmm")</f>
        <v>2016 - May</v>
      </c>
      <c r="G658" s="17" t="str">
        <f>data[[#This Row],[OriginCity]] &amp; " - "  &amp; data[[#This Row],[DestinationCity]]</f>
        <v>Springfield - Skokie</v>
      </c>
      <c r="H658" s="17" t="s">
        <v>30</v>
      </c>
      <c r="I658" s="17" t="s">
        <v>31</v>
      </c>
      <c r="J658" s="17">
        <v>4</v>
      </c>
      <c r="K658" s="17" t="s">
        <v>35</v>
      </c>
      <c r="L658" s="17" t="s">
        <v>31</v>
      </c>
      <c r="M658" s="17" t="s">
        <v>368</v>
      </c>
      <c r="N658" s="17">
        <v>701</v>
      </c>
      <c r="O658" s="17">
        <v>290</v>
      </c>
      <c r="P658" s="26">
        <f>(data[[#This Row],[LoadedMiles]]/data[[#This Row],[TotalMiles]])*100</f>
        <v>41.36947218259629</v>
      </c>
      <c r="Q658" s="25">
        <f>data[[#This Row],[ShippingCost]]/data[[#This Row],[TotalMiles]]</f>
        <v>2.810271041369472</v>
      </c>
      <c r="R658" s="17">
        <v>1970</v>
      </c>
      <c r="S658" s="25">
        <f>data[[#This Row],[Revenue]]/data[[#This Row],[TotalMiles]]</f>
        <v>3.196861626248217</v>
      </c>
      <c r="T658" s="26">
        <f>data[[#This Row],[Revenue]]-data[[#This Row],[ShippingCost]]</f>
        <v>271</v>
      </c>
      <c r="U658" s="17">
        <v>2241</v>
      </c>
      <c r="V658" s="17">
        <v>57</v>
      </c>
      <c r="W658" s="17" t="s">
        <v>25</v>
      </c>
      <c r="X658" s="17">
        <v>1</v>
      </c>
      <c r="Y658" s="17">
        <f>data[[#This Row],[DeliveryDate]]-data[[#This Row],[ShipDate]]</f>
        <v>4</v>
      </c>
      <c r="Z658" s="17" t="str">
        <f>IF(data[[#This Row],[Actual Delivery Days]]&gt;AD659,"Yes","No")</f>
        <v>Yes</v>
      </c>
    </row>
    <row r="659" spans="1:26">
      <c r="A659" s="17">
        <v>10128</v>
      </c>
      <c r="B659" s="17">
        <v>2</v>
      </c>
      <c r="C659" s="17">
        <v>5</v>
      </c>
      <c r="D659" s="17" t="s">
        <v>370</v>
      </c>
      <c r="E659" s="17" t="s">
        <v>272</v>
      </c>
      <c r="F659" s="17" t="str">
        <f>TEXT(data[[#This Row],[ShipDate]],"yyyy - mmmm")</f>
        <v>2016 - March</v>
      </c>
      <c r="G659" s="17" t="str">
        <f>data[[#This Row],[OriginCity]] &amp; " - "  &amp; data[[#This Row],[DestinationCity]]</f>
        <v>Indianapolis - Northbrook</v>
      </c>
      <c r="H659" s="17" t="s">
        <v>43</v>
      </c>
      <c r="I659" s="17" t="s">
        <v>44</v>
      </c>
      <c r="J659" s="17">
        <v>4</v>
      </c>
      <c r="K659" s="17" t="s">
        <v>45</v>
      </c>
      <c r="L659" s="17" t="s">
        <v>31</v>
      </c>
      <c r="M659" s="17" t="s">
        <v>199</v>
      </c>
      <c r="N659" s="17">
        <v>1069</v>
      </c>
      <c r="O659" s="17">
        <v>362</v>
      </c>
      <c r="P659" s="26">
        <f>(data[[#This Row],[LoadedMiles]]/data[[#This Row],[TotalMiles]])*100</f>
        <v>33.863423760523851</v>
      </c>
      <c r="Q659" s="25">
        <f>data[[#This Row],[ShippingCost]]/data[[#This Row],[TotalMiles]]</f>
        <v>2.7885874649204863</v>
      </c>
      <c r="R659" s="17">
        <v>2981</v>
      </c>
      <c r="S659" s="25">
        <f>data[[#This Row],[Revenue]]/data[[#This Row],[TotalMiles]]</f>
        <v>3.2956033676333023</v>
      </c>
      <c r="T659" s="26">
        <f>data[[#This Row],[Revenue]]-data[[#This Row],[ShippingCost]]</f>
        <v>542</v>
      </c>
      <c r="U659" s="17">
        <v>3523</v>
      </c>
      <c r="V659" s="17">
        <v>83</v>
      </c>
      <c r="W659" s="17" t="s">
        <v>25</v>
      </c>
      <c r="X659" s="17">
        <v>6</v>
      </c>
      <c r="Y659" s="17">
        <f>data[[#This Row],[DeliveryDate]]-data[[#This Row],[ShipDate]]</f>
        <v>2</v>
      </c>
      <c r="Z659" s="17" t="str">
        <f>IF(data[[#This Row],[Actual Delivery Days]]&gt;AD660,"Yes","No")</f>
        <v>Yes</v>
      </c>
    </row>
    <row r="660" spans="1:26">
      <c r="A660" s="17">
        <v>10135</v>
      </c>
      <c r="B660" s="17">
        <v>1</v>
      </c>
      <c r="C660" s="17">
        <v>5</v>
      </c>
      <c r="D660" s="17" t="s">
        <v>383</v>
      </c>
      <c r="E660" s="17" t="s">
        <v>111</v>
      </c>
      <c r="F660" s="17" t="str">
        <f>TEXT(data[[#This Row],[ShipDate]],"yyyy - mmmm")</f>
        <v>2016 - January</v>
      </c>
      <c r="G660" s="17" t="str">
        <f>data[[#This Row],[OriginCity]] &amp; " - "  &amp; data[[#This Row],[DestinationCity]]</f>
        <v>Rockford - Green Bay</v>
      </c>
      <c r="H660" s="17" t="s">
        <v>40</v>
      </c>
      <c r="I660" s="17" t="s">
        <v>31</v>
      </c>
      <c r="J660" s="17">
        <v>4</v>
      </c>
      <c r="K660" s="17" t="s">
        <v>75</v>
      </c>
      <c r="L660" s="17" t="s">
        <v>29</v>
      </c>
      <c r="M660" s="17" t="s">
        <v>127</v>
      </c>
      <c r="N660" s="17">
        <v>492</v>
      </c>
      <c r="O660" s="17">
        <v>492</v>
      </c>
      <c r="P660" s="26">
        <f>(data[[#This Row],[LoadedMiles]]/data[[#This Row],[TotalMiles]])*100</f>
        <v>100</v>
      </c>
      <c r="Q660" s="25">
        <f>data[[#This Row],[ShippingCost]]/data[[#This Row],[TotalMiles]]</f>
        <v>4.4512195121951219</v>
      </c>
      <c r="R660" s="17">
        <v>2190</v>
      </c>
      <c r="S660" s="25">
        <f>data[[#This Row],[Revenue]]/data[[#This Row],[TotalMiles]]</f>
        <v>6.2439024390243905</v>
      </c>
      <c r="T660" s="26">
        <f>data[[#This Row],[Revenue]]-data[[#This Row],[ShippingCost]]</f>
        <v>882</v>
      </c>
      <c r="U660" s="17">
        <v>3072</v>
      </c>
      <c r="V660" s="17">
        <v>81</v>
      </c>
      <c r="W660" s="17" t="s">
        <v>25</v>
      </c>
      <c r="X660" s="17">
        <v>10</v>
      </c>
      <c r="Y660" s="17">
        <f>data[[#This Row],[DeliveryDate]]-data[[#This Row],[ShipDate]]</f>
        <v>4</v>
      </c>
      <c r="Z660" s="17" t="str">
        <f>IF(data[[#This Row],[Actual Delivery Days]]&gt;AD661,"Yes","No")</f>
        <v>Yes</v>
      </c>
    </row>
    <row r="661" spans="1:26">
      <c r="A661" s="17">
        <v>10159</v>
      </c>
      <c r="B661" s="17">
        <v>2</v>
      </c>
      <c r="C661" s="17">
        <v>8</v>
      </c>
      <c r="D661" s="17" t="s">
        <v>425</v>
      </c>
      <c r="E661" s="17" t="s">
        <v>426</v>
      </c>
      <c r="F661" s="17" t="str">
        <f>TEXT(data[[#This Row],[ShipDate]],"yyyy - mmmm")</f>
        <v>2016 - July</v>
      </c>
      <c r="G661" s="17" t="str">
        <f>data[[#This Row],[OriginCity]] &amp; " - "  &amp; data[[#This Row],[DestinationCity]]</f>
        <v>Cincinnati - Gary</v>
      </c>
      <c r="H661" s="17" t="s">
        <v>89</v>
      </c>
      <c r="I661" s="17" t="s">
        <v>23</v>
      </c>
      <c r="J661" s="17">
        <v>4</v>
      </c>
      <c r="K661" s="17" t="s">
        <v>57</v>
      </c>
      <c r="L661" s="17" t="s">
        <v>44</v>
      </c>
      <c r="M661" s="17" t="s">
        <v>60</v>
      </c>
      <c r="N661" s="17">
        <v>1055</v>
      </c>
      <c r="O661" s="17">
        <v>717</v>
      </c>
      <c r="P661" s="26">
        <f>(data[[#This Row],[LoadedMiles]]/data[[#This Row],[TotalMiles]])*100</f>
        <v>67.962085308056871</v>
      </c>
      <c r="Q661" s="25">
        <f>data[[#This Row],[ShippingCost]]/data[[#This Row],[TotalMiles]]</f>
        <v>1.1715639810426541</v>
      </c>
      <c r="R661" s="17">
        <v>1236</v>
      </c>
      <c r="S661" s="25">
        <f>data[[#This Row],[Revenue]]/data[[#This Row],[TotalMiles]]</f>
        <v>1.9099526066350712</v>
      </c>
      <c r="T661" s="26">
        <f>data[[#This Row],[Revenue]]-data[[#This Row],[ShippingCost]]</f>
        <v>779</v>
      </c>
      <c r="U661" s="17">
        <v>2015</v>
      </c>
      <c r="V661" s="17">
        <v>84</v>
      </c>
      <c r="W661" s="17" t="s">
        <v>25</v>
      </c>
      <c r="X661" s="17">
        <v>1</v>
      </c>
      <c r="Y661" s="17">
        <f>data[[#This Row],[DeliveryDate]]-data[[#This Row],[ShipDate]]</f>
        <v>4</v>
      </c>
      <c r="Z661" s="17" t="str">
        <f>IF(data[[#This Row],[Actual Delivery Days]]&gt;AD662,"Yes","No")</f>
        <v>Yes</v>
      </c>
    </row>
    <row r="662" spans="1:26">
      <c r="A662" s="17">
        <v>10163</v>
      </c>
      <c r="B662" s="17">
        <v>1</v>
      </c>
      <c r="C662" s="17">
        <v>6</v>
      </c>
      <c r="D662" s="17" t="s">
        <v>432</v>
      </c>
      <c r="E662" s="17" t="s">
        <v>272</v>
      </c>
      <c r="F662" s="17" t="str">
        <f>TEXT(data[[#This Row],[ShipDate]],"yyyy - mmmm")</f>
        <v>2016 - March</v>
      </c>
      <c r="G662" s="17" t="str">
        <f>data[[#This Row],[OriginCity]] &amp; " - "  &amp; data[[#This Row],[DestinationCity]]</f>
        <v>Elgin - Cincinnati</v>
      </c>
      <c r="H662" s="17" t="s">
        <v>94</v>
      </c>
      <c r="I662" s="17" t="s">
        <v>31</v>
      </c>
      <c r="J662" s="17">
        <v>4</v>
      </c>
      <c r="K662" s="17" t="s">
        <v>89</v>
      </c>
      <c r="L662" s="17" t="s">
        <v>23</v>
      </c>
      <c r="M662" s="17" t="s">
        <v>355</v>
      </c>
      <c r="N662" s="17">
        <v>313</v>
      </c>
      <c r="O662" s="17">
        <v>313</v>
      </c>
      <c r="P662" s="26">
        <f>(data[[#This Row],[LoadedMiles]]/data[[#This Row],[TotalMiles]])*100</f>
        <v>100</v>
      </c>
      <c r="Q662" s="25">
        <f>data[[#This Row],[ShippingCost]]/data[[#This Row],[TotalMiles]]</f>
        <v>11.434504792332268</v>
      </c>
      <c r="R662" s="17">
        <v>3579</v>
      </c>
      <c r="S662" s="25">
        <f>data[[#This Row],[Revenue]]/data[[#This Row],[TotalMiles]]</f>
        <v>13.357827476038338</v>
      </c>
      <c r="T662" s="26">
        <f>data[[#This Row],[Revenue]]-data[[#This Row],[ShippingCost]]</f>
        <v>602</v>
      </c>
      <c r="U662" s="17">
        <v>4181</v>
      </c>
      <c r="V662" s="17">
        <v>60</v>
      </c>
      <c r="W662" s="17" t="s">
        <v>25</v>
      </c>
      <c r="X662" s="17">
        <v>7</v>
      </c>
      <c r="Y662" s="17">
        <f>data[[#This Row],[DeliveryDate]]-data[[#This Row],[ShipDate]]</f>
        <v>1</v>
      </c>
      <c r="Z662" s="17" t="str">
        <f>IF(data[[#This Row],[Actual Delivery Days]]&gt;AD663,"Yes","No")</f>
        <v>Yes</v>
      </c>
    </row>
    <row r="663" spans="1:26">
      <c r="A663" s="17">
        <v>10174</v>
      </c>
      <c r="B663" s="17">
        <v>1</v>
      </c>
      <c r="C663" s="17">
        <v>5</v>
      </c>
      <c r="D663" s="17" t="s">
        <v>451</v>
      </c>
      <c r="E663" s="17" t="s">
        <v>447</v>
      </c>
      <c r="F663" s="17" t="str">
        <f>TEXT(data[[#This Row],[ShipDate]],"yyyy - mmmm")</f>
        <v>2016 - January</v>
      </c>
      <c r="G663" s="17" t="str">
        <f>data[[#This Row],[OriginCity]] &amp; " - "  &amp; data[[#This Row],[DestinationCity]]</f>
        <v>Monon - Lansing</v>
      </c>
      <c r="H663" s="17" t="s">
        <v>53</v>
      </c>
      <c r="I663" s="17" t="s">
        <v>44</v>
      </c>
      <c r="J663" s="17">
        <v>4</v>
      </c>
      <c r="K663" s="17" t="s">
        <v>66</v>
      </c>
      <c r="L663" s="17" t="s">
        <v>21</v>
      </c>
      <c r="M663" s="17" t="s">
        <v>236</v>
      </c>
      <c r="N663" s="17">
        <v>392</v>
      </c>
      <c r="O663" s="17">
        <v>392</v>
      </c>
      <c r="P663" s="26">
        <f>(data[[#This Row],[LoadedMiles]]/data[[#This Row],[TotalMiles]])*100</f>
        <v>100</v>
      </c>
      <c r="Q663" s="25">
        <f>data[[#This Row],[ShippingCost]]/data[[#This Row],[TotalMiles]]</f>
        <v>17.918367346938776</v>
      </c>
      <c r="R663" s="17">
        <v>7024</v>
      </c>
      <c r="S663" s="25">
        <f>data[[#This Row],[Revenue]]/data[[#This Row],[TotalMiles]]</f>
        <v>18.303571428571427</v>
      </c>
      <c r="T663" s="26">
        <f>data[[#This Row],[Revenue]]-data[[#This Row],[ShippingCost]]</f>
        <v>151</v>
      </c>
      <c r="U663" s="17">
        <v>7175</v>
      </c>
      <c r="V663" s="17">
        <v>78</v>
      </c>
      <c r="W663" s="17" t="s">
        <v>25</v>
      </c>
      <c r="X663" s="17">
        <v>3</v>
      </c>
      <c r="Y663" s="17">
        <f>data[[#This Row],[DeliveryDate]]-data[[#This Row],[ShipDate]]</f>
        <v>4</v>
      </c>
      <c r="Z663" s="17" t="str">
        <f>IF(data[[#This Row],[Actual Delivery Days]]&gt;AD664,"Yes","No")</f>
        <v>Yes</v>
      </c>
    </row>
    <row r="664" spans="1:26">
      <c r="A664" s="17">
        <v>10175</v>
      </c>
      <c r="B664" s="17">
        <v>2</v>
      </c>
      <c r="C664" s="17">
        <v>5</v>
      </c>
      <c r="D664" s="17" t="s">
        <v>455</v>
      </c>
      <c r="E664" s="17" t="s">
        <v>245</v>
      </c>
      <c r="F664" s="17" t="str">
        <f>TEXT(data[[#This Row],[ShipDate]],"yyyy - mmmm")</f>
        <v>2016 - January</v>
      </c>
      <c r="G664" s="17" t="str">
        <f>data[[#This Row],[OriginCity]] &amp; " - "  &amp; data[[#This Row],[DestinationCity]]</f>
        <v>Green Bay - Joliet</v>
      </c>
      <c r="H664" s="17" t="s">
        <v>75</v>
      </c>
      <c r="I664" s="17" t="s">
        <v>29</v>
      </c>
      <c r="J664" s="17">
        <v>4</v>
      </c>
      <c r="K664" s="17" t="s">
        <v>61</v>
      </c>
      <c r="L664" s="17" t="s">
        <v>31</v>
      </c>
      <c r="M664" s="17" t="s">
        <v>246</v>
      </c>
      <c r="N664" s="17">
        <v>813</v>
      </c>
      <c r="O664" s="17">
        <v>241</v>
      </c>
      <c r="P664" s="26">
        <f>(data[[#This Row],[LoadedMiles]]/data[[#This Row],[TotalMiles]])*100</f>
        <v>29.643296432964327</v>
      </c>
      <c r="Q664" s="25">
        <f>data[[#This Row],[ShippingCost]]/data[[#This Row],[TotalMiles]]</f>
        <v>5.1094710947109467</v>
      </c>
      <c r="R664" s="17">
        <v>4154</v>
      </c>
      <c r="S664" s="25">
        <f>data[[#This Row],[Revenue]]/data[[#This Row],[TotalMiles]]</f>
        <v>6.0602706027060274</v>
      </c>
      <c r="T664" s="26">
        <f>data[[#This Row],[Revenue]]-data[[#This Row],[ShippingCost]]</f>
        <v>773</v>
      </c>
      <c r="U664" s="17">
        <v>4927</v>
      </c>
      <c r="V664" s="17">
        <v>80</v>
      </c>
      <c r="W664" s="17" t="s">
        <v>25</v>
      </c>
      <c r="X664" s="17">
        <v>5</v>
      </c>
      <c r="Y664" s="17">
        <f>data[[#This Row],[DeliveryDate]]-data[[#This Row],[ShipDate]]</f>
        <v>4</v>
      </c>
      <c r="Z664" s="17" t="str">
        <f>IF(data[[#This Row],[Actual Delivery Days]]&gt;AD665,"Yes","No")</f>
        <v>Yes</v>
      </c>
    </row>
    <row r="665" spans="1:26">
      <c r="A665" s="17">
        <v>10177</v>
      </c>
      <c r="B665" s="17">
        <v>2</v>
      </c>
      <c r="C665" s="17">
        <v>4</v>
      </c>
      <c r="D665" s="17" t="s">
        <v>458</v>
      </c>
      <c r="E665" s="17" t="s">
        <v>190</v>
      </c>
      <c r="F665" s="17" t="str">
        <f>TEXT(data[[#This Row],[ShipDate]],"yyyy - mmmm")</f>
        <v>2016 - July</v>
      </c>
      <c r="G665" s="17" t="str">
        <f>data[[#This Row],[OriginCity]] &amp; " - "  &amp; data[[#This Row],[DestinationCity]]</f>
        <v>Appleton - Grand Rapids</v>
      </c>
      <c r="H665" s="17" t="s">
        <v>85</v>
      </c>
      <c r="I665" s="17" t="s">
        <v>29</v>
      </c>
      <c r="J665" s="17">
        <v>4</v>
      </c>
      <c r="K665" s="17" t="s">
        <v>20</v>
      </c>
      <c r="L665" s="17" t="s">
        <v>21</v>
      </c>
      <c r="M665" s="17" t="s">
        <v>19</v>
      </c>
      <c r="N665" s="17">
        <v>937</v>
      </c>
      <c r="O665" s="17">
        <v>227</v>
      </c>
      <c r="P665" s="26">
        <f>(data[[#This Row],[LoadedMiles]]/data[[#This Row],[TotalMiles]])*100</f>
        <v>24.226254002134475</v>
      </c>
      <c r="Q665" s="25">
        <f>data[[#This Row],[ShippingCost]]/data[[#This Row],[TotalMiles]]</f>
        <v>5.9018143009605124</v>
      </c>
      <c r="R665" s="17">
        <v>5530</v>
      </c>
      <c r="S665" s="25">
        <f>data[[#This Row],[Revenue]]/data[[#This Row],[TotalMiles]]</f>
        <v>3.6766275346851653</v>
      </c>
      <c r="T665" s="26">
        <f>data[[#This Row],[Revenue]]-data[[#This Row],[ShippingCost]]</f>
        <v>-2085</v>
      </c>
      <c r="U665" s="17">
        <v>3445</v>
      </c>
      <c r="V665" s="17">
        <v>66</v>
      </c>
      <c r="W665" s="17" t="s">
        <v>25</v>
      </c>
      <c r="X665" s="17">
        <v>5</v>
      </c>
      <c r="Y665" s="17">
        <f>data[[#This Row],[DeliveryDate]]-data[[#This Row],[ShipDate]]</f>
        <v>4</v>
      </c>
      <c r="Z665" s="17" t="str">
        <f>IF(data[[#This Row],[Actual Delivery Days]]&gt;AD666,"Yes","No")</f>
        <v>Yes</v>
      </c>
    </row>
    <row r="666" spans="1:26">
      <c r="A666" s="17">
        <v>10179</v>
      </c>
      <c r="B666" s="17">
        <v>2</v>
      </c>
      <c r="C666" s="17">
        <v>8</v>
      </c>
      <c r="D666" s="17" t="s">
        <v>461</v>
      </c>
      <c r="E666" s="17" t="s">
        <v>206</v>
      </c>
      <c r="F666" s="17" t="str">
        <f>TEXT(data[[#This Row],[ShipDate]],"yyyy - mmmm")</f>
        <v>2016 - February</v>
      </c>
      <c r="G666" s="17" t="str">
        <f>data[[#This Row],[OriginCity]] &amp; " - "  &amp; data[[#This Row],[DestinationCity]]</f>
        <v>Dayton - Elgin</v>
      </c>
      <c r="H666" s="17" t="s">
        <v>93</v>
      </c>
      <c r="I666" s="17" t="s">
        <v>23</v>
      </c>
      <c r="J666" s="17">
        <v>4</v>
      </c>
      <c r="K666" s="17" t="s">
        <v>94</v>
      </c>
      <c r="L666" s="17" t="s">
        <v>31</v>
      </c>
      <c r="M666" s="17" t="s">
        <v>462</v>
      </c>
      <c r="N666" s="17">
        <v>550</v>
      </c>
      <c r="O666" s="17">
        <v>421</v>
      </c>
      <c r="P666" s="26">
        <f>(data[[#This Row],[LoadedMiles]]/data[[#This Row],[TotalMiles]])*100</f>
        <v>76.545454545454547</v>
      </c>
      <c r="Q666" s="25">
        <f>data[[#This Row],[ShippingCost]]/data[[#This Row],[TotalMiles]]</f>
        <v>12.123636363636363</v>
      </c>
      <c r="R666" s="17">
        <v>6668</v>
      </c>
      <c r="S666" s="25">
        <f>data[[#This Row],[Revenue]]/data[[#This Row],[TotalMiles]]</f>
        <v>13.463636363636363</v>
      </c>
      <c r="T666" s="26">
        <f>data[[#This Row],[Revenue]]-data[[#This Row],[ShippingCost]]</f>
        <v>737</v>
      </c>
      <c r="U666" s="17">
        <v>7405</v>
      </c>
      <c r="V666" s="17">
        <v>87</v>
      </c>
      <c r="W666" s="17" t="s">
        <v>25</v>
      </c>
      <c r="X666" s="17">
        <v>7</v>
      </c>
      <c r="Y666" s="17">
        <f>data[[#This Row],[DeliveryDate]]-data[[#This Row],[ShipDate]]</f>
        <v>1</v>
      </c>
      <c r="Z666" s="17" t="str">
        <f>IF(data[[#This Row],[Actual Delivery Days]]&gt;AD667,"Yes","No")</f>
        <v>Yes</v>
      </c>
    </row>
    <row r="667" spans="1:26">
      <c r="A667" s="17">
        <v>10191</v>
      </c>
      <c r="B667" s="17">
        <v>2</v>
      </c>
      <c r="C667" s="17">
        <v>6</v>
      </c>
      <c r="D667" s="17" t="s">
        <v>479</v>
      </c>
      <c r="E667" s="17" t="s">
        <v>47</v>
      </c>
      <c r="F667" s="17" t="str">
        <f>TEXT(data[[#This Row],[ShipDate]],"yyyy - mmmm")</f>
        <v>2016 - April</v>
      </c>
      <c r="G667" s="17" t="str">
        <f>data[[#This Row],[OriginCity]] &amp; " - "  &amp; data[[#This Row],[DestinationCity]]</f>
        <v>Northbrook - Naperville</v>
      </c>
      <c r="H667" s="17" t="s">
        <v>45</v>
      </c>
      <c r="I667" s="17" t="s">
        <v>31</v>
      </c>
      <c r="J667" s="17">
        <v>4</v>
      </c>
      <c r="K667" s="17" t="s">
        <v>48</v>
      </c>
      <c r="L667" s="17" t="s">
        <v>31</v>
      </c>
      <c r="M667" s="17" t="s">
        <v>480</v>
      </c>
      <c r="N667" s="17">
        <v>441</v>
      </c>
      <c r="O667" s="17">
        <v>441</v>
      </c>
      <c r="P667" s="26">
        <f>(data[[#This Row],[LoadedMiles]]/data[[#This Row],[TotalMiles]])*100</f>
        <v>100</v>
      </c>
      <c r="Q667" s="25">
        <f>data[[#This Row],[ShippingCost]]/data[[#This Row],[TotalMiles]]</f>
        <v>0.14512471655328799</v>
      </c>
      <c r="R667" s="17">
        <v>64</v>
      </c>
      <c r="S667" s="25">
        <f>data[[#This Row],[Revenue]]/data[[#This Row],[TotalMiles]]</f>
        <v>1.2380952380952381</v>
      </c>
      <c r="T667" s="26">
        <f>data[[#This Row],[Revenue]]-data[[#This Row],[ShippingCost]]</f>
        <v>482</v>
      </c>
      <c r="U667" s="17">
        <v>546</v>
      </c>
      <c r="V667" s="17">
        <v>98</v>
      </c>
      <c r="W667" s="17" t="s">
        <v>25</v>
      </c>
      <c r="X667" s="17">
        <v>1</v>
      </c>
      <c r="Y667" s="17">
        <f>data[[#This Row],[DeliveryDate]]-data[[#This Row],[ShipDate]]</f>
        <v>4</v>
      </c>
      <c r="Z667" s="17" t="str">
        <f>IF(data[[#This Row],[Actual Delivery Days]]&gt;AD668,"Yes","No")</f>
        <v>Yes</v>
      </c>
    </row>
    <row r="668" spans="1:26">
      <c r="A668" s="17">
        <v>10194</v>
      </c>
      <c r="B668" s="17">
        <v>1</v>
      </c>
      <c r="C668" s="17">
        <v>7</v>
      </c>
      <c r="D668" s="17" t="s">
        <v>485</v>
      </c>
      <c r="E668" s="17" t="s">
        <v>218</v>
      </c>
      <c r="F668" s="17" t="str">
        <f>TEXT(data[[#This Row],[ShipDate]],"yyyy - mmmm")</f>
        <v>2016 - May</v>
      </c>
      <c r="G668" s="17" t="str">
        <f>data[[#This Row],[OriginCity]] &amp; " - "  &amp; data[[#This Row],[DestinationCity]]</f>
        <v>Madison - Kalamazoo</v>
      </c>
      <c r="H668" s="17" t="s">
        <v>62</v>
      </c>
      <c r="I668" s="17" t="s">
        <v>29</v>
      </c>
      <c r="J668" s="17">
        <v>4</v>
      </c>
      <c r="K668" s="17" t="s">
        <v>71</v>
      </c>
      <c r="L668" s="17" t="s">
        <v>21</v>
      </c>
      <c r="M668" s="17" t="s">
        <v>248</v>
      </c>
      <c r="N668" s="17">
        <v>1116</v>
      </c>
      <c r="O668" s="17">
        <v>299</v>
      </c>
      <c r="P668" s="26">
        <f>(data[[#This Row],[LoadedMiles]]/data[[#This Row],[TotalMiles]])*100</f>
        <v>26.792114695340501</v>
      </c>
      <c r="Q668" s="25">
        <f>data[[#This Row],[ShippingCost]]/data[[#This Row],[TotalMiles]]</f>
        <v>7.0474910394265233</v>
      </c>
      <c r="R668" s="17">
        <v>7865</v>
      </c>
      <c r="S668" s="25">
        <f>data[[#This Row],[Revenue]]/data[[#This Row],[TotalMiles]]</f>
        <v>7.2679211469534053</v>
      </c>
      <c r="T668" s="26">
        <f>data[[#This Row],[Revenue]]-data[[#This Row],[ShippingCost]]</f>
        <v>246</v>
      </c>
      <c r="U668" s="17">
        <v>8111</v>
      </c>
      <c r="V668" s="17">
        <v>96</v>
      </c>
      <c r="W668" s="17" t="s">
        <v>25</v>
      </c>
      <c r="X668" s="17">
        <v>9</v>
      </c>
      <c r="Y668" s="17">
        <f>data[[#This Row],[DeliveryDate]]-data[[#This Row],[ShipDate]]</f>
        <v>4</v>
      </c>
      <c r="Z668" s="17" t="str">
        <f>IF(data[[#This Row],[Actual Delivery Days]]&gt;AD669,"Yes","No")</f>
        <v>Yes</v>
      </c>
    </row>
    <row r="669" spans="1:26">
      <c r="A669" s="17">
        <v>10195</v>
      </c>
      <c r="B669" s="17">
        <v>1</v>
      </c>
      <c r="C669" s="17">
        <v>7</v>
      </c>
      <c r="D669" s="17" t="s">
        <v>486</v>
      </c>
      <c r="E669" s="17" t="s">
        <v>283</v>
      </c>
      <c r="F669" s="17" t="str">
        <f>TEXT(data[[#This Row],[ShipDate]],"yyyy - mmmm")</f>
        <v>2016 - June</v>
      </c>
      <c r="G669" s="17" t="str">
        <f>data[[#This Row],[OriginCity]] &amp; " - "  &amp; data[[#This Row],[DestinationCity]]</f>
        <v>Green Bay - Joliet</v>
      </c>
      <c r="H669" s="17" t="s">
        <v>75</v>
      </c>
      <c r="I669" s="17" t="s">
        <v>29</v>
      </c>
      <c r="J669" s="17">
        <v>4</v>
      </c>
      <c r="K669" s="17" t="s">
        <v>61</v>
      </c>
      <c r="L669" s="17" t="s">
        <v>31</v>
      </c>
      <c r="M669" s="17" t="s">
        <v>135</v>
      </c>
      <c r="N669" s="17">
        <v>343</v>
      </c>
      <c r="O669" s="17">
        <v>343</v>
      </c>
      <c r="P669" s="26">
        <f>(data[[#This Row],[LoadedMiles]]/data[[#This Row],[TotalMiles]])*100</f>
        <v>100</v>
      </c>
      <c r="Q669" s="25">
        <f>data[[#This Row],[ShippingCost]]/data[[#This Row],[TotalMiles]]</f>
        <v>17.787172011661809</v>
      </c>
      <c r="R669" s="17">
        <v>6101</v>
      </c>
      <c r="S669" s="25">
        <f>data[[#This Row],[Revenue]]/data[[#This Row],[TotalMiles]]</f>
        <v>18.52186588921283</v>
      </c>
      <c r="T669" s="26">
        <f>data[[#This Row],[Revenue]]-data[[#This Row],[ShippingCost]]</f>
        <v>252</v>
      </c>
      <c r="U669" s="17">
        <v>6353</v>
      </c>
      <c r="V669" s="17">
        <v>88</v>
      </c>
      <c r="W669" s="17" t="s">
        <v>25</v>
      </c>
      <c r="X669" s="17">
        <v>5</v>
      </c>
      <c r="Y669" s="17">
        <f>data[[#This Row],[DeliveryDate]]-data[[#This Row],[ShipDate]]</f>
        <v>4</v>
      </c>
      <c r="Z669" s="17" t="str">
        <f>IF(data[[#This Row],[Actual Delivery Days]]&gt;AD670,"Yes","No")</f>
        <v>Yes</v>
      </c>
    </row>
    <row r="670" spans="1:26">
      <c r="A670" s="17">
        <v>10206</v>
      </c>
      <c r="B670" s="17">
        <v>1</v>
      </c>
      <c r="C670" s="17">
        <v>8</v>
      </c>
      <c r="D670" s="17" t="s">
        <v>502</v>
      </c>
      <c r="E670" s="17" t="s">
        <v>224</v>
      </c>
      <c r="F670" s="17" t="str">
        <f>TEXT(data[[#This Row],[ShipDate]],"yyyy - mmmm")</f>
        <v>2016 - May</v>
      </c>
      <c r="G670" s="17" t="str">
        <f>data[[#This Row],[OriginCity]] &amp; " - "  &amp; data[[#This Row],[DestinationCity]]</f>
        <v>Grand Rapids - Toledo</v>
      </c>
      <c r="H670" s="17" t="s">
        <v>20</v>
      </c>
      <c r="I670" s="17" t="s">
        <v>21</v>
      </c>
      <c r="J670" s="17">
        <v>4</v>
      </c>
      <c r="K670" s="17" t="s">
        <v>22</v>
      </c>
      <c r="L670" s="17" t="s">
        <v>23</v>
      </c>
      <c r="M670" s="17" t="s">
        <v>248</v>
      </c>
      <c r="N670" s="17">
        <v>834</v>
      </c>
      <c r="O670" s="17">
        <v>580</v>
      </c>
      <c r="P670" s="26">
        <f>(data[[#This Row],[LoadedMiles]]/data[[#This Row],[TotalMiles]])*100</f>
        <v>69.544364508393286</v>
      </c>
      <c r="Q670" s="25">
        <f>data[[#This Row],[ShippingCost]]/data[[#This Row],[TotalMiles]]</f>
        <v>1.1438848920863309</v>
      </c>
      <c r="R670" s="17">
        <v>954</v>
      </c>
      <c r="S670" s="25">
        <f>data[[#This Row],[Revenue]]/data[[#This Row],[TotalMiles]]</f>
        <v>1.9580335731414868</v>
      </c>
      <c r="T670" s="26">
        <f>data[[#This Row],[Revenue]]-data[[#This Row],[ShippingCost]]</f>
        <v>679</v>
      </c>
      <c r="U670" s="17">
        <v>1633</v>
      </c>
      <c r="V670" s="17">
        <v>68</v>
      </c>
      <c r="W670" s="17" t="s">
        <v>25</v>
      </c>
      <c r="X670" s="17">
        <v>6</v>
      </c>
      <c r="Y670" s="17">
        <f>data[[#This Row],[DeliveryDate]]-data[[#This Row],[ShipDate]]</f>
        <v>3</v>
      </c>
      <c r="Z670" s="17" t="str">
        <f>IF(data[[#This Row],[Actual Delivery Days]]&gt;AD671,"Yes","No")</f>
        <v>Yes</v>
      </c>
    </row>
    <row r="671" spans="1:26">
      <c r="A671" s="17">
        <v>10214</v>
      </c>
      <c r="B671" s="17">
        <v>2</v>
      </c>
      <c r="C671" s="17">
        <v>4</v>
      </c>
      <c r="D671" s="17" t="s">
        <v>511</v>
      </c>
      <c r="E671" s="17" t="s">
        <v>168</v>
      </c>
      <c r="F671" s="17" t="str">
        <f>TEXT(data[[#This Row],[ShipDate]],"yyyy - mmmm")</f>
        <v>2016 - February</v>
      </c>
      <c r="G671" s="17" t="str">
        <f>data[[#This Row],[OriginCity]] &amp; " - "  &amp; data[[#This Row],[DestinationCity]]</f>
        <v>Joliet - Madison</v>
      </c>
      <c r="H671" s="17" t="s">
        <v>61</v>
      </c>
      <c r="I671" s="17" t="s">
        <v>31</v>
      </c>
      <c r="J671" s="17">
        <v>4</v>
      </c>
      <c r="K671" s="17" t="s">
        <v>62</v>
      </c>
      <c r="L671" s="17" t="s">
        <v>29</v>
      </c>
      <c r="M671" s="17" t="s">
        <v>132</v>
      </c>
      <c r="N671" s="17">
        <v>704</v>
      </c>
      <c r="O671" s="17">
        <v>376</v>
      </c>
      <c r="P671" s="26">
        <f>(data[[#This Row],[LoadedMiles]]/data[[#This Row],[TotalMiles]])*100</f>
        <v>53.409090909090907</v>
      </c>
      <c r="Q671" s="25">
        <f>data[[#This Row],[ShippingCost]]/data[[#This Row],[TotalMiles]]</f>
        <v>9.4247159090909083</v>
      </c>
      <c r="R671" s="17">
        <v>6635</v>
      </c>
      <c r="S671" s="25">
        <f>data[[#This Row],[Revenue]]/data[[#This Row],[TotalMiles]]</f>
        <v>6.78125</v>
      </c>
      <c r="T671" s="26">
        <f>data[[#This Row],[Revenue]]-data[[#This Row],[ShippingCost]]</f>
        <v>-1861</v>
      </c>
      <c r="U671" s="17">
        <v>4774</v>
      </c>
      <c r="V671" s="17">
        <v>68</v>
      </c>
      <c r="W671" s="17" t="s">
        <v>25</v>
      </c>
      <c r="X671" s="17">
        <v>10</v>
      </c>
      <c r="Y671" s="17">
        <f>data[[#This Row],[DeliveryDate]]-data[[#This Row],[ShipDate]]</f>
        <v>2</v>
      </c>
      <c r="Z671" s="17" t="str">
        <f>IF(data[[#This Row],[Actual Delivery Days]]&gt;AD672,"Yes","No")</f>
        <v>Yes</v>
      </c>
    </row>
    <row r="672" spans="1:26">
      <c r="A672" s="17">
        <v>10221</v>
      </c>
      <c r="B672" s="17">
        <v>1</v>
      </c>
      <c r="C672" s="17">
        <v>7</v>
      </c>
      <c r="D672" s="17" t="s">
        <v>520</v>
      </c>
      <c r="E672" s="17" t="s">
        <v>521</v>
      </c>
      <c r="F672" s="17" t="str">
        <f>TEXT(data[[#This Row],[ShipDate]],"yyyy - mmmm")</f>
        <v>2016 - February</v>
      </c>
      <c r="G672" s="17" t="str">
        <f>data[[#This Row],[OriginCity]] &amp; " - "  &amp; data[[#This Row],[DestinationCity]]</f>
        <v>Dayton - Elgin</v>
      </c>
      <c r="H672" s="17" t="s">
        <v>93</v>
      </c>
      <c r="I672" s="17" t="s">
        <v>23</v>
      </c>
      <c r="J672" s="17">
        <v>4</v>
      </c>
      <c r="K672" s="17" t="s">
        <v>94</v>
      </c>
      <c r="L672" s="17" t="s">
        <v>31</v>
      </c>
      <c r="M672" s="17" t="s">
        <v>522</v>
      </c>
      <c r="N672" s="17">
        <v>1005</v>
      </c>
      <c r="O672" s="17">
        <v>461</v>
      </c>
      <c r="P672" s="26">
        <f>(data[[#This Row],[LoadedMiles]]/data[[#This Row],[TotalMiles]])*100</f>
        <v>45.870646766169152</v>
      </c>
      <c r="Q672" s="25">
        <f>data[[#This Row],[ShippingCost]]/data[[#This Row],[TotalMiles]]</f>
        <v>0.15621890547263681</v>
      </c>
      <c r="R672" s="17">
        <v>157</v>
      </c>
      <c r="S672" s="25">
        <f>data[[#This Row],[Revenue]]/data[[#This Row],[TotalMiles]]</f>
        <v>0.52437810945273633</v>
      </c>
      <c r="T672" s="26">
        <f>data[[#This Row],[Revenue]]-data[[#This Row],[ShippingCost]]</f>
        <v>370</v>
      </c>
      <c r="U672" s="17">
        <v>527</v>
      </c>
      <c r="V672" s="17">
        <v>87</v>
      </c>
      <c r="W672" s="17" t="s">
        <v>25</v>
      </c>
      <c r="X672" s="17">
        <v>6</v>
      </c>
      <c r="Y672" s="17">
        <f>data[[#This Row],[DeliveryDate]]-data[[#This Row],[ShipDate]]</f>
        <v>4</v>
      </c>
      <c r="Z672" s="17" t="str">
        <f>IF(data[[#This Row],[Actual Delivery Days]]&gt;AD673,"Yes","No")</f>
        <v>Yes</v>
      </c>
    </row>
    <row r="673" spans="1:26">
      <c r="A673" s="17">
        <v>10222</v>
      </c>
      <c r="B673" s="17">
        <v>1</v>
      </c>
      <c r="C673" s="17">
        <v>4</v>
      </c>
      <c r="D673" s="17" t="s">
        <v>523</v>
      </c>
      <c r="E673" s="17" t="s">
        <v>272</v>
      </c>
      <c r="F673" s="17" t="str">
        <f>TEXT(data[[#This Row],[ShipDate]],"yyyy - mmmm")</f>
        <v>2016 - March</v>
      </c>
      <c r="G673" s="17" t="str">
        <f>data[[#This Row],[OriginCity]] &amp; " - "  &amp; data[[#This Row],[DestinationCity]]</f>
        <v>Toledo - Detriot</v>
      </c>
      <c r="H673" s="17" t="s">
        <v>22</v>
      </c>
      <c r="I673" s="17" t="s">
        <v>23</v>
      </c>
      <c r="J673" s="17">
        <v>4</v>
      </c>
      <c r="K673" s="17" t="s">
        <v>52</v>
      </c>
      <c r="L673" s="17" t="s">
        <v>21</v>
      </c>
      <c r="M673" s="17" t="s">
        <v>381</v>
      </c>
      <c r="N673" s="17">
        <v>383</v>
      </c>
      <c r="O673" s="17">
        <v>310</v>
      </c>
      <c r="P673" s="26">
        <f>(data[[#This Row],[LoadedMiles]]/data[[#This Row],[TotalMiles]])*100</f>
        <v>80.93994778067885</v>
      </c>
      <c r="Q673" s="25">
        <f>data[[#This Row],[ShippingCost]]/data[[#This Row],[TotalMiles]]</f>
        <v>9.5744125326370764</v>
      </c>
      <c r="R673" s="17">
        <v>3667</v>
      </c>
      <c r="S673" s="25">
        <f>data[[#This Row],[Revenue]]/data[[#This Row],[TotalMiles]]</f>
        <v>3.1566579634464751</v>
      </c>
      <c r="T673" s="26">
        <f>data[[#This Row],[Revenue]]-data[[#This Row],[ShippingCost]]</f>
        <v>-2458</v>
      </c>
      <c r="U673" s="17">
        <v>1209</v>
      </c>
      <c r="V673" s="17">
        <v>51</v>
      </c>
      <c r="W673" s="17" t="s">
        <v>25</v>
      </c>
      <c r="X673" s="17">
        <v>5</v>
      </c>
      <c r="Y673" s="17">
        <f>data[[#This Row],[DeliveryDate]]-data[[#This Row],[ShipDate]]</f>
        <v>4</v>
      </c>
      <c r="Z673" s="17" t="str">
        <f>IF(data[[#This Row],[Actual Delivery Days]]&gt;AD674,"Yes","No")</f>
        <v>Yes</v>
      </c>
    </row>
    <row r="674" spans="1:26">
      <c r="A674" s="17">
        <v>10226</v>
      </c>
      <c r="B674" s="17">
        <v>2</v>
      </c>
      <c r="C674" s="17">
        <v>5</v>
      </c>
      <c r="D674" s="17" t="s">
        <v>529</v>
      </c>
      <c r="E674" s="17" t="s">
        <v>530</v>
      </c>
      <c r="F674" s="17" t="str">
        <f>TEXT(data[[#This Row],[ShipDate]],"yyyy - mmmm")</f>
        <v>2016 - January</v>
      </c>
      <c r="G674" s="17" t="str">
        <f>data[[#This Row],[OriginCity]] &amp; " - "  &amp; data[[#This Row],[DestinationCity]]</f>
        <v>Davenport - Appleton</v>
      </c>
      <c r="H674" s="17" t="s">
        <v>105</v>
      </c>
      <c r="I674" s="17" t="s">
        <v>106</v>
      </c>
      <c r="J674" s="17">
        <v>4</v>
      </c>
      <c r="K674" s="17" t="s">
        <v>85</v>
      </c>
      <c r="L674" s="17" t="s">
        <v>29</v>
      </c>
      <c r="M674" s="17" t="s">
        <v>531</v>
      </c>
      <c r="N674" s="17">
        <v>742</v>
      </c>
      <c r="O674" s="17">
        <v>215</v>
      </c>
      <c r="P674" s="26">
        <f>(data[[#This Row],[LoadedMiles]]/data[[#This Row],[TotalMiles]])*100</f>
        <v>28.975741239892184</v>
      </c>
      <c r="Q674" s="25">
        <f>data[[#This Row],[ShippingCost]]/data[[#This Row],[TotalMiles]]</f>
        <v>6.6819407008086253</v>
      </c>
      <c r="R674" s="17">
        <v>4958</v>
      </c>
      <c r="S674" s="25">
        <f>data[[#This Row],[Revenue]]/data[[#This Row],[TotalMiles]]</f>
        <v>6.8557951482479789</v>
      </c>
      <c r="T674" s="26">
        <f>data[[#This Row],[Revenue]]-data[[#This Row],[ShippingCost]]</f>
        <v>129</v>
      </c>
      <c r="U674" s="17">
        <v>5087</v>
      </c>
      <c r="V674" s="17">
        <v>58</v>
      </c>
      <c r="W674" s="17" t="s">
        <v>25</v>
      </c>
      <c r="X674" s="17">
        <v>6</v>
      </c>
      <c r="Y674" s="17">
        <f>data[[#This Row],[DeliveryDate]]-data[[#This Row],[ShipDate]]</f>
        <v>4</v>
      </c>
      <c r="Z674" s="17" t="str">
        <f>IF(data[[#This Row],[Actual Delivery Days]]&gt;AD675,"Yes","No")</f>
        <v>Yes</v>
      </c>
    </row>
    <row r="675" spans="1:26">
      <c r="A675" s="17">
        <v>10229</v>
      </c>
      <c r="B675" s="17">
        <v>2</v>
      </c>
      <c r="C675" s="17">
        <v>4</v>
      </c>
      <c r="D675" s="17" t="s">
        <v>536</v>
      </c>
      <c r="E675" s="17" t="s">
        <v>537</v>
      </c>
      <c r="F675" s="17" t="str">
        <f>TEXT(data[[#This Row],[ShipDate]],"yyyy - mmmm")</f>
        <v>2016 - June</v>
      </c>
      <c r="G675" s="17" t="str">
        <f>data[[#This Row],[OriginCity]] &amp; " - "  &amp; data[[#This Row],[DestinationCity]]</f>
        <v>Chicago - Rockford</v>
      </c>
      <c r="H675" s="17" t="s">
        <v>39</v>
      </c>
      <c r="I675" s="17" t="s">
        <v>31</v>
      </c>
      <c r="J675" s="17">
        <v>4</v>
      </c>
      <c r="K675" s="17" t="s">
        <v>40</v>
      </c>
      <c r="L675" s="17" t="s">
        <v>31</v>
      </c>
      <c r="M675" s="17" t="s">
        <v>439</v>
      </c>
      <c r="N675" s="17">
        <v>778</v>
      </c>
      <c r="O675" s="17">
        <v>342</v>
      </c>
      <c r="P675" s="26">
        <f>(data[[#This Row],[LoadedMiles]]/data[[#This Row],[TotalMiles]])*100</f>
        <v>43.958868894601544</v>
      </c>
      <c r="Q675" s="25">
        <f>data[[#This Row],[ShippingCost]]/data[[#This Row],[TotalMiles]]</f>
        <v>6.8316195372750643</v>
      </c>
      <c r="R675" s="17">
        <v>5315</v>
      </c>
      <c r="S675" s="25">
        <f>data[[#This Row],[Revenue]]/data[[#This Row],[TotalMiles]]</f>
        <v>3.7853470437017993</v>
      </c>
      <c r="T675" s="26">
        <f>data[[#This Row],[Revenue]]-data[[#This Row],[ShippingCost]]</f>
        <v>-2370</v>
      </c>
      <c r="U675" s="17">
        <v>2945</v>
      </c>
      <c r="V675" s="17">
        <v>86</v>
      </c>
      <c r="W675" s="17" t="s">
        <v>25</v>
      </c>
      <c r="X675" s="17">
        <v>8</v>
      </c>
      <c r="Y675" s="17">
        <f>data[[#This Row],[DeliveryDate]]-data[[#This Row],[ShipDate]]</f>
        <v>4</v>
      </c>
      <c r="Z675" s="17" t="str">
        <f>IF(data[[#This Row],[Actual Delivery Days]]&gt;AD676,"Yes","No")</f>
        <v>Yes</v>
      </c>
    </row>
    <row r="676" spans="1:26">
      <c r="A676" s="17">
        <v>10230</v>
      </c>
      <c r="B676" s="17">
        <v>1</v>
      </c>
      <c r="C676" s="17">
        <v>5</v>
      </c>
      <c r="D676" s="17" t="s">
        <v>538</v>
      </c>
      <c r="E676" s="17" t="s">
        <v>63</v>
      </c>
      <c r="F676" s="17" t="str">
        <f>TEXT(data[[#This Row],[ShipDate]],"yyyy - mmmm")</f>
        <v>2016 - July</v>
      </c>
      <c r="G676" s="17" t="str">
        <f>data[[#This Row],[OriginCity]] &amp; " - "  &amp; data[[#This Row],[DestinationCity]]</f>
        <v>Indianapolis - Northbrook</v>
      </c>
      <c r="H676" s="17" t="s">
        <v>43</v>
      </c>
      <c r="I676" s="17" t="s">
        <v>44</v>
      </c>
      <c r="J676" s="17">
        <v>4</v>
      </c>
      <c r="K676" s="17" t="s">
        <v>45</v>
      </c>
      <c r="L676" s="17" t="s">
        <v>31</v>
      </c>
      <c r="M676" s="17" t="s">
        <v>149</v>
      </c>
      <c r="N676" s="17">
        <v>758</v>
      </c>
      <c r="O676" s="17">
        <v>681</v>
      </c>
      <c r="P676" s="26">
        <f>(data[[#This Row],[LoadedMiles]]/data[[#This Row],[TotalMiles]])*100</f>
        <v>89.841688654353561</v>
      </c>
      <c r="Q676" s="25">
        <f>data[[#This Row],[ShippingCost]]/data[[#This Row],[TotalMiles]]</f>
        <v>3.9511873350923481</v>
      </c>
      <c r="R676" s="17">
        <v>2995</v>
      </c>
      <c r="S676" s="25">
        <f>data[[#This Row],[Revenue]]/data[[#This Row],[TotalMiles]]</f>
        <v>5.2374670184696566</v>
      </c>
      <c r="T676" s="26">
        <f>data[[#This Row],[Revenue]]-data[[#This Row],[ShippingCost]]</f>
        <v>975</v>
      </c>
      <c r="U676" s="17">
        <v>3970</v>
      </c>
      <c r="V676" s="17">
        <v>62</v>
      </c>
      <c r="W676" s="17" t="s">
        <v>25</v>
      </c>
      <c r="X676" s="17">
        <v>3</v>
      </c>
      <c r="Y676" s="17">
        <f>data[[#This Row],[DeliveryDate]]-data[[#This Row],[ShipDate]]</f>
        <v>2</v>
      </c>
      <c r="Z676" s="17" t="str">
        <f>IF(data[[#This Row],[Actual Delivery Days]]&gt;AD677,"Yes","No")</f>
        <v>Yes</v>
      </c>
    </row>
    <row r="677" spans="1:26">
      <c r="A677" s="17">
        <v>10237</v>
      </c>
      <c r="B677" s="17">
        <v>2</v>
      </c>
      <c r="C677" s="17">
        <v>7</v>
      </c>
      <c r="D677" s="17" t="s">
        <v>547</v>
      </c>
      <c r="E677" s="17" t="s">
        <v>164</v>
      </c>
      <c r="F677" s="17" t="str">
        <f>TEXT(data[[#This Row],[ShipDate]],"yyyy - mmmm")</f>
        <v>2016 - February</v>
      </c>
      <c r="G677" s="17" t="str">
        <f>data[[#This Row],[OriginCity]] &amp; " - "  &amp; data[[#This Row],[DestinationCity]]</f>
        <v>Green Bay - Joliet</v>
      </c>
      <c r="H677" s="17" t="s">
        <v>75</v>
      </c>
      <c r="I677" s="17" t="s">
        <v>29</v>
      </c>
      <c r="J677" s="17">
        <v>4</v>
      </c>
      <c r="K677" s="17" t="s">
        <v>61</v>
      </c>
      <c r="L677" s="17" t="s">
        <v>31</v>
      </c>
      <c r="M677" s="17" t="s">
        <v>268</v>
      </c>
      <c r="N677" s="17">
        <v>313</v>
      </c>
      <c r="O677" s="17">
        <v>313</v>
      </c>
      <c r="P677" s="26">
        <f>(data[[#This Row],[LoadedMiles]]/data[[#This Row],[TotalMiles]])*100</f>
        <v>100</v>
      </c>
      <c r="Q677" s="25">
        <f>data[[#This Row],[ShippingCost]]/data[[#This Row],[TotalMiles]]</f>
        <v>12.94888178913738</v>
      </c>
      <c r="R677" s="17">
        <v>4053</v>
      </c>
      <c r="S677" s="25">
        <f>data[[#This Row],[Revenue]]/data[[#This Row],[TotalMiles]]</f>
        <v>14.424920127795527</v>
      </c>
      <c r="T677" s="26">
        <f>data[[#This Row],[Revenue]]-data[[#This Row],[ShippingCost]]</f>
        <v>462</v>
      </c>
      <c r="U677" s="17">
        <v>4515</v>
      </c>
      <c r="V677" s="17">
        <v>99</v>
      </c>
      <c r="W677" s="17" t="s">
        <v>25</v>
      </c>
      <c r="X677" s="17">
        <v>5</v>
      </c>
      <c r="Y677" s="17">
        <f>data[[#This Row],[DeliveryDate]]-data[[#This Row],[ShipDate]]</f>
        <v>4</v>
      </c>
      <c r="Z677" s="17" t="str">
        <f>IF(data[[#This Row],[Actual Delivery Days]]&gt;AD678,"Yes","No")</f>
        <v>Yes</v>
      </c>
    </row>
    <row r="678" spans="1:26">
      <c r="A678" s="17">
        <v>10245</v>
      </c>
      <c r="B678" s="17">
        <v>2</v>
      </c>
      <c r="C678" s="17">
        <v>5</v>
      </c>
      <c r="D678" s="17" t="s">
        <v>557</v>
      </c>
      <c r="E678" s="17" t="s">
        <v>344</v>
      </c>
      <c r="F678" s="17" t="str">
        <f>TEXT(data[[#This Row],[ShipDate]],"yyyy - mmmm")</f>
        <v>2016 - May</v>
      </c>
      <c r="G678" s="17" t="str">
        <f>data[[#This Row],[OriginCity]] &amp; " - "  &amp; data[[#This Row],[DestinationCity]]</f>
        <v>Elgin - Cincinnati</v>
      </c>
      <c r="H678" s="17" t="s">
        <v>94</v>
      </c>
      <c r="I678" s="17" t="s">
        <v>31</v>
      </c>
      <c r="J678" s="17">
        <v>4</v>
      </c>
      <c r="K678" s="17" t="s">
        <v>89</v>
      </c>
      <c r="L678" s="17" t="s">
        <v>23</v>
      </c>
      <c r="M678" s="17" t="s">
        <v>444</v>
      </c>
      <c r="N678" s="17">
        <v>1043</v>
      </c>
      <c r="O678" s="17">
        <v>213</v>
      </c>
      <c r="P678" s="26">
        <f>(data[[#This Row],[LoadedMiles]]/data[[#This Row],[TotalMiles]])*100</f>
        <v>20.421860019175455</v>
      </c>
      <c r="Q678" s="25">
        <f>data[[#This Row],[ShippingCost]]/data[[#This Row],[TotalMiles]]</f>
        <v>2.4650047938638542</v>
      </c>
      <c r="R678" s="17">
        <v>2571</v>
      </c>
      <c r="S678" s="25">
        <f>data[[#This Row],[Revenue]]/data[[#This Row],[TotalMiles]]</f>
        <v>3.2531160115052731</v>
      </c>
      <c r="T678" s="26">
        <f>data[[#This Row],[Revenue]]-data[[#This Row],[ShippingCost]]</f>
        <v>822</v>
      </c>
      <c r="U678" s="17">
        <v>3393</v>
      </c>
      <c r="V678" s="17">
        <v>67</v>
      </c>
      <c r="W678" s="17" t="s">
        <v>25</v>
      </c>
      <c r="X678" s="17">
        <v>3</v>
      </c>
      <c r="Y678" s="17">
        <f>data[[#This Row],[DeliveryDate]]-data[[#This Row],[ShipDate]]</f>
        <v>4</v>
      </c>
      <c r="Z678" s="17" t="str">
        <f>IF(data[[#This Row],[Actual Delivery Days]]&gt;AD679,"Yes","No")</f>
        <v>Yes</v>
      </c>
    </row>
    <row r="679" spans="1:26">
      <c r="A679" s="17">
        <v>10246</v>
      </c>
      <c r="B679" s="17">
        <v>2</v>
      </c>
      <c r="C679" s="17">
        <v>8</v>
      </c>
      <c r="D679" s="17" t="s">
        <v>559</v>
      </c>
      <c r="E679" s="17" t="s">
        <v>449</v>
      </c>
      <c r="F679" s="17" t="str">
        <f>TEXT(data[[#This Row],[ShipDate]],"yyyy - mmmm")</f>
        <v>2016 - March</v>
      </c>
      <c r="G679" s="17" t="str">
        <f>data[[#This Row],[OriginCity]] &amp; " - "  &amp; data[[#This Row],[DestinationCity]]</f>
        <v>Kalamazoo - Bangor</v>
      </c>
      <c r="H679" s="17" t="s">
        <v>71</v>
      </c>
      <c r="I679" s="17" t="s">
        <v>21</v>
      </c>
      <c r="J679" s="17">
        <v>4</v>
      </c>
      <c r="K679" s="17" t="s">
        <v>104</v>
      </c>
      <c r="L679" s="17" t="s">
        <v>21</v>
      </c>
      <c r="M679" s="17" t="s">
        <v>129</v>
      </c>
      <c r="N679" s="17">
        <v>948</v>
      </c>
      <c r="O679" s="17">
        <v>437</v>
      </c>
      <c r="P679" s="26">
        <f>(data[[#This Row],[LoadedMiles]]/data[[#This Row],[TotalMiles]])*100</f>
        <v>46.097046413502106</v>
      </c>
      <c r="Q679" s="25">
        <f>data[[#This Row],[ShippingCost]]/data[[#This Row],[TotalMiles]]</f>
        <v>8.7172995780590714</v>
      </c>
      <c r="R679" s="17">
        <v>8264</v>
      </c>
      <c r="S679" s="25">
        <f>data[[#This Row],[Revenue]]/data[[#This Row],[TotalMiles]]</f>
        <v>9.3291139240506329</v>
      </c>
      <c r="T679" s="26">
        <f>data[[#This Row],[Revenue]]-data[[#This Row],[ShippingCost]]</f>
        <v>580</v>
      </c>
      <c r="U679" s="17">
        <v>8844</v>
      </c>
      <c r="V679" s="17">
        <v>75</v>
      </c>
      <c r="W679" s="17" t="s">
        <v>25</v>
      </c>
      <c r="X679" s="17">
        <v>1</v>
      </c>
      <c r="Y679" s="17">
        <f>data[[#This Row],[DeliveryDate]]-data[[#This Row],[ShipDate]]</f>
        <v>4</v>
      </c>
      <c r="Z679" s="17" t="str">
        <f>IF(data[[#This Row],[Actual Delivery Days]]&gt;AD680,"Yes","No")</f>
        <v>Yes</v>
      </c>
    </row>
    <row r="680" spans="1:26">
      <c r="A680" s="17">
        <v>10248</v>
      </c>
      <c r="B680" s="17">
        <v>1</v>
      </c>
      <c r="C680" s="17">
        <v>7</v>
      </c>
      <c r="D680" s="17" t="s">
        <v>561</v>
      </c>
      <c r="E680" s="17" t="s">
        <v>130</v>
      </c>
      <c r="F680" s="17" t="str">
        <f>TEXT(data[[#This Row],[ShipDate]],"yyyy - mmmm")</f>
        <v>2016 - March</v>
      </c>
      <c r="G680" s="17" t="str">
        <f>data[[#This Row],[OriginCity]] &amp; " - "  &amp; data[[#This Row],[DestinationCity]]</f>
        <v>Grand Rapids - Toledo</v>
      </c>
      <c r="H680" s="17" t="s">
        <v>20</v>
      </c>
      <c r="I680" s="17" t="s">
        <v>21</v>
      </c>
      <c r="J680" s="17">
        <v>4</v>
      </c>
      <c r="K680" s="17" t="s">
        <v>22</v>
      </c>
      <c r="L680" s="17" t="s">
        <v>23</v>
      </c>
      <c r="M680" s="17" t="s">
        <v>453</v>
      </c>
      <c r="N680" s="17">
        <v>649</v>
      </c>
      <c r="O680" s="17">
        <v>649</v>
      </c>
      <c r="P680" s="26">
        <f>(data[[#This Row],[LoadedMiles]]/data[[#This Row],[TotalMiles]])*100</f>
        <v>100</v>
      </c>
      <c r="Q680" s="25">
        <f>data[[#This Row],[ShippingCost]]/data[[#This Row],[TotalMiles]]</f>
        <v>7.3266563944530043</v>
      </c>
      <c r="R680" s="17">
        <v>4755</v>
      </c>
      <c r="S680" s="25">
        <f>data[[#This Row],[Revenue]]/data[[#This Row],[TotalMiles]]</f>
        <v>7.7380585516178737</v>
      </c>
      <c r="T680" s="26">
        <f>data[[#This Row],[Revenue]]-data[[#This Row],[ShippingCost]]</f>
        <v>267</v>
      </c>
      <c r="U680" s="17">
        <v>5022</v>
      </c>
      <c r="V680" s="17">
        <v>79</v>
      </c>
      <c r="W680" s="17" t="s">
        <v>25</v>
      </c>
      <c r="X680" s="17">
        <v>7</v>
      </c>
      <c r="Y680" s="17">
        <f>data[[#This Row],[DeliveryDate]]-data[[#This Row],[ShipDate]]</f>
        <v>1</v>
      </c>
      <c r="Z680" s="17" t="str">
        <f>IF(data[[#This Row],[Actual Delivery Days]]&gt;AD681,"Yes","No")</f>
        <v>Yes</v>
      </c>
    </row>
    <row r="681" spans="1:26">
      <c r="A681" s="17">
        <v>10256</v>
      </c>
      <c r="B681" s="17">
        <v>1</v>
      </c>
      <c r="C681" s="17">
        <v>8</v>
      </c>
      <c r="D681" s="17" t="s">
        <v>570</v>
      </c>
      <c r="E681" s="17" t="s">
        <v>373</v>
      </c>
      <c r="F681" s="17" t="str">
        <f>TEXT(data[[#This Row],[ShipDate]],"yyyy - mmmm")</f>
        <v>2016 - May</v>
      </c>
      <c r="G681" s="17" t="str">
        <f>data[[#This Row],[OriginCity]] &amp; " - "  &amp; data[[#This Row],[DestinationCity]]</f>
        <v>Joliet - Madison</v>
      </c>
      <c r="H681" s="17" t="s">
        <v>61</v>
      </c>
      <c r="I681" s="17" t="s">
        <v>31</v>
      </c>
      <c r="J681" s="17">
        <v>4</v>
      </c>
      <c r="K681" s="17" t="s">
        <v>62</v>
      </c>
      <c r="L681" s="17" t="s">
        <v>29</v>
      </c>
      <c r="M681" s="17" t="s">
        <v>283</v>
      </c>
      <c r="N681" s="17">
        <v>1181</v>
      </c>
      <c r="O681" s="17">
        <v>216</v>
      </c>
      <c r="P681" s="26">
        <f>(data[[#This Row],[LoadedMiles]]/data[[#This Row],[TotalMiles]])*100</f>
        <v>18.289585097375106</v>
      </c>
      <c r="Q681" s="25">
        <f>data[[#This Row],[ShippingCost]]/data[[#This Row],[TotalMiles]]</f>
        <v>1.3378492802709567</v>
      </c>
      <c r="R681" s="17">
        <v>1580</v>
      </c>
      <c r="S681" s="25">
        <f>data[[#This Row],[Revenue]]/data[[#This Row],[TotalMiles]]</f>
        <v>1.4868755292125317</v>
      </c>
      <c r="T681" s="26">
        <f>data[[#This Row],[Revenue]]-data[[#This Row],[ShippingCost]]</f>
        <v>176</v>
      </c>
      <c r="U681" s="17">
        <v>1756</v>
      </c>
      <c r="V681" s="17">
        <v>75</v>
      </c>
      <c r="W681" s="17" t="s">
        <v>25</v>
      </c>
      <c r="X681" s="17">
        <v>5</v>
      </c>
      <c r="Y681" s="17">
        <f>data[[#This Row],[DeliveryDate]]-data[[#This Row],[ShipDate]]</f>
        <v>4</v>
      </c>
      <c r="Z681" s="17" t="str">
        <f>IF(data[[#This Row],[Actual Delivery Days]]&gt;AD682,"Yes","No")</f>
        <v>Yes</v>
      </c>
    </row>
    <row r="682" spans="1:26">
      <c r="A682" s="17">
        <v>10260</v>
      </c>
      <c r="B682" s="17">
        <v>2</v>
      </c>
      <c r="C682" s="17">
        <v>4</v>
      </c>
      <c r="D682" s="17" t="s">
        <v>576</v>
      </c>
      <c r="E682" s="17" t="s">
        <v>129</v>
      </c>
      <c r="F682" s="17" t="str">
        <f>TEXT(data[[#This Row],[ShipDate]],"yyyy - mmmm")</f>
        <v>2016 - March</v>
      </c>
      <c r="G682" s="17" t="str">
        <f>data[[#This Row],[OriginCity]] &amp; " - "  &amp; data[[#This Row],[DestinationCity]]</f>
        <v>Rockford - Green Bay</v>
      </c>
      <c r="H682" s="17" t="s">
        <v>40</v>
      </c>
      <c r="I682" s="17" t="s">
        <v>31</v>
      </c>
      <c r="J682" s="17">
        <v>4</v>
      </c>
      <c r="K682" s="17" t="s">
        <v>75</v>
      </c>
      <c r="L682" s="17" t="s">
        <v>29</v>
      </c>
      <c r="M682" s="17" t="s">
        <v>453</v>
      </c>
      <c r="N682" s="17">
        <v>1132</v>
      </c>
      <c r="O682" s="17">
        <v>616</v>
      </c>
      <c r="P682" s="26">
        <f>(data[[#This Row],[LoadedMiles]]/data[[#This Row],[TotalMiles]])*100</f>
        <v>54.416961130742045</v>
      </c>
      <c r="Q682" s="25">
        <f>data[[#This Row],[ShippingCost]]/data[[#This Row],[TotalMiles]]</f>
        <v>2.6422261484098941</v>
      </c>
      <c r="R682" s="17">
        <v>2991</v>
      </c>
      <c r="S682" s="25">
        <f>data[[#This Row],[Revenue]]/data[[#This Row],[TotalMiles]]</f>
        <v>0.80477031802120136</v>
      </c>
      <c r="T682" s="26">
        <f>data[[#This Row],[Revenue]]-data[[#This Row],[ShippingCost]]</f>
        <v>-2080</v>
      </c>
      <c r="U682" s="17">
        <v>911</v>
      </c>
      <c r="V682" s="17">
        <v>100</v>
      </c>
      <c r="W682" s="17" t="s">
        <v>25</v>
      </c>
      <c r="X682" s="17">
        <v>4</v>
      </c>
      <c r="Y682" s="17">
        <f>data[[#This Row],[DeliveryDate]]-data[[#This Row],[ShipDate]]</f>
        <v>4</v>
      </c>
      <c r="Z682" s="17" t="str">
        <f>IF(data[[#This Row],[Actual Delivery Days]]&gt;AD683,"Yes","No")</f>
        <v>Yes</v>
      </c>
    </row>
    <row r="683" spans="1:26">
      <c r="A683" s="17">
        <v>10264</v>
      </c>
      <c r="B683" s="17">
        <v>1</v>
      </c>
      <c r="C683" s="17">
        <v>6</v>
      </c>
      <c r="D683" s="17" t="s">
        <v>580</v>
      </c>
      <c r="E683" s="17" t="s">
        <v>60</v>
      </c>
      <c r="F683" s="17" t="str">
        <f>TEXT(data[[#This Row],[ShipDate]],"yyyy - mmmm")</f>
        <v>2016 - July</v>
      </c>
      <c r="G683" s="17" t="str">
        <f>data[[#This Row],[OriginCity]] &amp; " - "  &amp; data[[#This Row],[DestinationCity]]</f>
        <v>Toledo - Detriot</v>
      </c>
      <c r="H683" s="17" t="s">
        <v>22</v>
      </c>
      <c r="I683" s="17" t="s">
        <v>23</v>
      </c>
      <c r="J683" s="17">
        <v>4</v>
      </c>
      <c r="K683" s="17" t="s">
        <v>52</v>
      </c>
      <c r="L683" s="17" t="s">
        <v>21</v>
      </c>
      <c r="M683" s="17" t="s">
        <v>149</v>
      </c>
      <c r="N683" s="17">
        <v>654</v>
      </c>
      <c r="O683" s="17">
        <v>585</v>
      </c>
      <c r="P683" s="26">
        <f>(data[[#This Row],[LoadedMiles]]/data[[#This Row],[TotalMiles]])*100</f>
        <v>89.449541284403665</v>
      </c>
      <c r="Q683" s="25">
        <f>data[[#This Row],[ShippingCost]]/data[[#This Row],[TotalMiles]]</f>
        <v>6.166666666666667</v>
      </c>
      <c r="R683" s="17">
        <v>4033</v>
      </c>
      <c r="S683" s="25">
        <f>data[[#This Row],[Revenue]]/data[[#This Row],[TotalMiles]]</f>
        <v>6.6299694189602443</v>
      </c>
      <c r="T683" s="26">
        <f>data[[#This Row],[Revenue]]-data[[#This Row],[ShippingCost]]</f>
        <v>303</v>
      </c>
      <c r="U683" s="17">
        <v>4336</v>
      </c>
      <c r="V683" s="17">
        <v>92</v>
      </c>
      <c r="W683" s="17" t="s">
        <v>25</v>
      </c>
      <c r="X683" s="17">
        <v>10</v>
      </c>
      <c r="Y683" s="17">
        <f>data[[#This Row],[DeliveryDate]]-data[[#This Row],[ShipDate]]</f>
        <v>4</v>
      </c>
      <c r="Z683" s="17" t="str">
        <f>IF(data[[#This Row],[Actual Delivery Days]]&gt;AD684,"Yes","No")</f>
        <v>Yes</v>
      </c>
    </row>
    <row r="684" spans="1:26">
      <c r="A684" s="17">
        <v>10278</v>
      </c>
      <c r="B684" s="17">
        <v>1</v>
      </c>
      <c r="C684" s="17">
        <v>7</v>
      </c>
      <c r="D684" s="17" t="s">
        <v>598</v>
      </c>
      <c r="E684" s="17" t="s">
        <v>467</v>
      </c>
      <c r="F684" s="17" t="str">
        <f>TEXT(data[[#This Row],[ShipDate]],"yyyy - mmmm")</f>
        <v>2016 - July</v>
      </c>
      <c r="G684" s="17" t="str">
        <f>data[[#This Row],[OriginCity]] &amp; " - "  &amp; data[[#This Row],[DestinationCity]]</f>
        <v>Joliet - Madison</v>
      </c>
      <c r="H684" s="17" t="s">
        <v>61</v>
      </c>
      <c r="I684" s="17" t="s">
        <v>31</v>
      </c>
      <c r="J684" s="17">
        <v>4</v>
      </c>
      <c r="K684" s="17" t="s">
        <v>62</v>
      </c>
      <c r="L684" s="17" t="s">
        <v>29</v>
      </c>
      <c r="M684" s="17" t="s">
        <v>60</v>
      </c>
      <c r="N684" s="17">
        <v>545</v>
      </c>
      <c r="O684" s="17">
        <v>545</v>
      </c>
      <c r="P684" s="26">
        <f>(data[[#This Row],[LoadedMiles]]/data[[#This Row],[TotalMiles]])*100</f>
        <v>100</v>
      </c>
      <c r="Q684" s="25">
        <f>data[[#This Row],[ShippingCost]]/data[[#This Row],[TotalMiles]]</f>
        <v>3.763302752293578</v>
      </c>
      <c r="R684" s="17">
        <v>2051</v>
      </c>
      <c r="S684" s="25">
        <f>data[[#This Row],[Revenue]]/data[[#This Row],[TotalMiles]]</f>
        <v>4.5926605504587155</v>
      </c>
      <c r="T684" s="26">
        <f>data[[#This Row],[Revenue]]-data[[#This Row],[ShippingCost]]</f>
        <v>452</v>
      </c>
      <c r="U684" s="17">
        <v>2503</v>
      </c>
      <c r="V684" s="17">
        <v>98</v>
      </c>
      <c r="W684" s="17" t="s">
        <v>25</v>
      </c>
      <c r="X684" s="17">
        <v>5</v>
      </c>
      <c r="Y684" s="17">
        <f>data[[#This Row],[DeliveryDate]]-data[[#This Row],[ShipDate]]</f>
        <v>2</v>
      </c>
      <c r="Z684" s="17" t="str">
        <f>IF(data[[#This Row],[Actual Delivery Days]]&gt;AD685,"Yes","No")</f>
        <v>Yes</v>
      </c>
    </row>
    <row r="685" spans="1:26">
      <c r="A685" s="17">
        <v>10281</v>
      </c>
      <c r="B685" s="17">
        <v>2</v>
      </c>
      <c r="C685" s="17">
        <v>5</v>
      </c>
      <c r="D685" s="17" t="s">
        <v>601</v>
      </c>
      <c r="E685" s="17" t="s">
        <v>135</v>
      </c>
      <c r="F685" s="17" t="str">
        <f>TEXT(data[[#This Row],[ShipDate]],"yyyy - mmmm")</f>
        <v>2016 - June</v>
      </c>
      <c r="G685" s="17" t="str">
        <f>data[[#This Row],[OriginCity]] &amp; " - "  &amp; data[[#This Row],[DestinationCity]]</f>
        <v>Green Bay - Joliet</v>
      </c>
      <c r="H685" s="17" t="s">
        <v>75</v>
      </c>
      <c r="I685" s="17" t="s">
        <v>29</v>
      </c>
      <c r="J685" s="17">
        <v>4</v>
      </c>
      <c r="K685" s="17" t="s">
        <v>61</v>
      </c>
      <c r="L685" s="17" t="s">
        <v>31</v>
      </c>
      <c r="M685" s="17" t="s">
        <v>316</v>
      </c>
      <c r="N685" s="17">
        <v>368</v>
      </c>
      <c r="O685" s="17">
        <v>280</v>
      </c>
      <c r="P685" s="26">
        <f>(data[[#This Row],[LoadedMiles]]/data[[#This Row],[TotalMiles]])*100</f>
        <v>76.08695652173914</v>
      </c>
      <c r="Q685" s="25">
        <f>data[[#This Row],[ShippingCost]]/data[[#This Row],[TotalMiles]]</f>
        <v>8.4266304347826093</v>
      </c>
      <c r="R685" s="17">
        <v>3101</v>
      </c>
      <c r="S685" s="25">
        <f>data[[#This Row],[Revenue]]/data[[#This Row],[TotalMiles]]</f>
        <v>9.2554347826086953</v>
      </c>
      <c r="T685" s="26">
        <f>data[[#This Row],[Revenue]]-data[[#This Row],[ShippingCost]]</f>
        <v>305</v>
      </c>
      <c r="U685" s="17">
        <v>3406</v>
      </c>
      <c r="V685" s="17">
        <v>86</v>
      </c>
      <c r="W685" s="17" t="s">
        <v>25</v>
      </c>
      <c r="X685" s="17">
        <v>5</v>
      </c>
      <c r="Y685" s="17">
        <f>data[[#This Row],[DeliveryDate]]-data[[#This Row],[ShipDate]]</f>
        <v>4</v>
      </c>
      <c r="Z685" s="17" t="str">
        <f>IF(data[[#This Row],[Actual Delivery Days]]&gt;AD686,"Yes","No")</f>
        <v>Yes</v>
      </c>
    </row>
    <row r="686" spans="1:26">
      <c r="A686" s="17">
        <v>10293</v>
      </c>
      <c r="B686" s="17">
        <v>1</v>
      </c>
      <c r="C686" s="17">
        <v>8</v>
      </c>
      <c r="D686" s="17" t="s">
        <v>64</v>
      </c>
      <c r="E686" s="17" t="s">
        <v>246</v>
      </c>
      <c r="F686" s="17" t="str">
        <f>TEXT(data[[#This Row],[ShipDate]],"yyyy - mmmm")</f>
        <v>2016 - January</v>
      </c>
      <c r="G686" s="17" t="str">
        <f>data[[#This Row],[OriginCity]] &amp; " - "  &amp; data[[#This Row],[DestinationCity]]</f>
        <v>Milwaukee - Springfield</v>
      </c>
      <c r="H686" s="17" t="s">
        <v>28</v>
      </c>
      <c r="I686" s="17" t="s">
        <v>29</v>
      </c>
      <c r="J686" s="17">
        <v>4</v>
      </c>
      <c r="K686" s="17" t="s">
        <v>30</v>
      </c>
      <c r="L686" s="17" t="s">
        <v>31</v>
      </c>
      <c r="M686" s="17" t="s">
        <v>327</v>
      </c>
      <c r="N686" s="17">
        <v>805</v>
      </c>
      <c r="O686" s="17">
        <v>594</v>
      </c>
      <c r="P686" s="26">
        <f>(data[[#This Row],[LoadedMiles]]/data[[#This Row],[TotalMiles]])*100</f>
        <v>73.788819875776397</v>
      </c>
      <c r="Q686" s="25">
        <f>data[[#This Row],[ShippingCost]]/data[[#This Row],[TotalMiles]]</f>
        <v>7.9788819875776396</v>
      </c>
      <c r="R686" s="17">
        <v>6423</v>
      </c>
      <c r="S686" s="25">
        <f>data[[#This Row],[Revenue]]/data[[#This Row],[TotalMiles]]</f>
        <v>8.7689440993788814</v>
      </c>
      <c r="T686" s="26">
        <f>data[[#This Row],[Revenue]]-data[[#This Row],[ShippingCost]]</f>
        <v>636</v>
      </c>
      <c r="U686" s="17">
        <v>7059</v>
      </c>
      <c r="V686" s="17">
        <v>79</v>
      </c>
      <c r="W686" s="17" t="s">
        <v>25</v>
      </c>
      <c r="X686" s="17">
        <v>5</v>
      </c>
      <c r="Y686" s="17">
        <f>data[[#This Row],[DeliveryDate]]-data[[#This Row],[ShipDate]]</f>
        <v>4</v>
      </c>
      <c r="Z686" s="17" t="str">
        <f>IF(data[[#This Row],[Actual Delivery Days]]&gt;AD687,"Yes","No")</f>
        <v>Yes</v>
      </c>
    </row>
    <row r="687" spans="1:26">
      <c r="A687" s="17">
        <v>10296</v>
      </c>
      <c r="B687" s="17">
        <v>2</v>
      </c>
      <c r="C687" s="17">
        <v>6</v>
      </c>
      <c r="D687" s="17" t="s">
        <v>77</v>
      </c>
      <c r="E687" s="17" t="s">
        <v>509</v>
      </c>
      <c r="F687" s="17" t="str">
        <f>TEXT(data[[#This Row],[ShipDate]],"yyyy - mmmm")</f>
        <v>2016 - May</v>
      </c>
      <c r="G687" s="17" t="str">
        <f>data[[#This Row],[OriginCity]] &amp; " - "  &amp; data[[#This Row],[DestinationCity]]</f>
        <v>Indianapolis - Northbrook</v>
      </c>
      <c r="H687" s="17" t="s">
        <v>43</v>
      </c>
      <c r="I687" s="17" t="s">
        <v>44</v>
      </c>
      <c r="J687" s="17">
        <v>4</v>
      </c>
      <c r="K687" s="17" t="s">
        <v>45</v>
      </c>
      <c r="L687" s="17" t="s">
        <v>31</v>
      </c>
      <c r="M687" s="17" t="s">
        <v>344</v>
      </c>
      <c r="N687" s="17">
        <v>511</v>
      </c>
      <c r="O687" s="17">
        <v>312</v>
      </c>
      <c r="P687" s="26">
        <f>(data[[#This Row],[LoadedMiles]]/data[[#This Row],[TotalMiles]])*100</f>
        <v>61.05675146771037</v>
      </c>
      <c r="Q687" s="25">
        <f>data[[#This Row],[ShippingCost]]/data[[#This Row],[TotalMiles]]</f>
        <v>1.0528375733855186</v>
      </c>
      <c r="R687" s="17">
        <v>538</v>
      </c>
      <c r="S687" s="25">
        <f>data[[#This Row],[Revenue]]/data[[#This Row],[TotalMiles]]</f>
        <v>2.2211350293542074</v>
      </c>
      <c r="T687" s="26">
        <f>data[[#This Row],[Revenue]]-data[[#This Row],[ShippingCost]]</f>
        <v>597</v>
      </c>
      <c r="U687" s="17">
        <v>1135</v>
      </c>
      <c r="V687" s="17">
        <v>59</v>
      </c>
      <c r="W687" s="17" t="s">
        <v>25</v>
      </c>
      <c r="X687" s="17">
        <v>10</v>
      </c>
      <c r="Y687" s="17">
        <f>data[[#This Row],[DeliveryDate]]-data[[#This Row],[ShipDate]]</f>
        <v>3</v>
      </c>
      <c r="Z687" s="17" t="str">
        <f>IF(data[[#This Row],[Actual Delivery Days]]&gt;AD688,"Yes","No")</f>
        <v>Yes</v>
      </c>
    </row>
    <row r="688" spans="1:26">
      <c r="A688" s="17">
        <v>10298</v>
      </c>
      <c r="B688" s="17">
        <v>1</v>
      </c>
      <c r="C688" s="17">
        <v>5</v>
      </c>
      <c r="D688" s="17" t="s">
        <v>83</v>
      </c>
      <c r="E688" s="17" t="s">
        <v>179</v>
      </c>
      <c r="F688" s="17" t="str">
        <f>TEXT(data[[#This Row],[ShipDate]],"yyyy - mmmm")</f>
        <v>2016 - July</v>
      </c>
      <c r="G688" s="17" t="str">
        <f>data[[#This Row],[OriginCity]] &amp; " - "  &amp; data[[#This Row],[DestinationCity]]</f>
        <v>Detriot - Monon</v>
      </c>
      <c r="H688" s="17" t="s">
        <v>52</v>
      </c>
      <c r="I688" s="17" t="s">
        <v>21</v>
      </c>
      <c r="J688" s="17">
        <v>4</v>
      </c>
      <c r="K688" s="17" t="s">
        <v>53</v>
      </c>
      <c r="L688" s="17" t="s">
        <v>44</v>
      </c>
      <c r="M688" s="17" t="s">
        <v>155</v>
      </c>
      <c r="N688" s="17">
        <v>869</v>
      </c>
      <c r="O688" s="17">
        <v>762</v>
      </c>
      <c r="P688" s="26">
        <f>(data[[#This Row],[LoadedMiles]]/data[[#This Row],[TotalMiles]])*100</f>
        <v>87.686996547756053</v>
      </c>
      <c r="Q688" s="25">
        <f>data[[#This Row],[ShippingCost]]/data[[#This Row],[TotalMiles]]</f>
        <v>3.6409666283084006</v>
      </c>
      <c r="R688" s="17">
        <v>3164</v>
      </c>
      <c r="S688" s="25">
        <f>data[[#This Row],[Revenue]]/data[[#This Row],[TotalMiles]]</f>
        <v>4.7180667433831989</v>
      </c>
      <c r="T688" s="26">
        <f>data[[#This Row],[Revenue]]-data[[#This Row],[ShippingCost]]</f>
        <v>936</v>
      </c>
      <c r="U688" s="17">
        <v>4100</v>
      </c>
      <c r="V688" s="17">
        <v>58</v>
      </c>
      <c r="W688" s="17" t="s">
        <v>25</v>
      </c>
      <c r="X688" s="17">
        <v>8</v>
      </c>
      <c r="Y688" s="17">
        <f>data[[#This Row],[DeliveryDate]]-data[[#This Row],[ShipDate]]</f>
        <v>4</v>
      </c>
      <c r="Z688" s="17" t="str">
        <f>IF(data[[#This Row],[Actual Delivery Days]]&gt;AD689,"Yes","No")</f>
        <v>Yes</v>
      </c>
    </row>
    <row r="689" spans="1:26">
      <c r="A689" s="17">
        <v>10314</v>
      </c>
      <c r="B689" s="17">
        <v>2</v>
      </c>
      <c r="C689" s="17">
        <v>8</v>
      </c>
      <c r="D689" s="17" t="s">
        <v>140</v>
      </c>
      <c r="E689" s="17" t="s">
        <v>222</v>
      </c>
      <c r="F689" s="17" t="str">
        <f>TEXT(data[[#This Row],[ShipDate]],"yyyy - mmmm")</f>
        <v>2016 - April</v>
      </c>
      <c r="G689" s="17" t="str">
        <f>data[[#This Row],[OriginCity]] &amp; " - "  &amp; data[[#This Row],[DestinationCity]]</f>
        <v>Grand Rapids - Toledo</v>
      </c>
      <c r="H689" s="17" t="s">
        <v>20</v>
      </c>
      <c r="I689" s="17" t="s">
        <v>21</v>
      </c>
      <c r="J689" s="17">
        <v>4</v>
      </c>
      <c r="K689" s="17" t="s">
        <v>22</v>
      </c>
      <c r="L689" s="17" t="s">
        <v>23</v>
      </c>
      <c r="M689" s="17" t="s">
        <v>609</v>
      </c>
      <c r="N689" s="17">
        <v>510</v>
      </c>
      <c r="O689" s="17">
        <v>510</v>
      </c>
      <c r="P689" s="26">
        <f>(data[[#This Row],[LoadedMiles]]/data[[#This Row],[TotalMiles]])*100</f>
        <v>100</v>
      </c>
      <c r="Q689" s="25">
        <f>data[[#This Row],[ShippingCost]]/data[[#This Row],[TotalMiles]]</f>
        <v>7.7450980392156863</v>
      </c>
      <c r="R689" s="17">
        <v>3950</v>
      </c>
      <c r="S689" s="25">
        <f>data[[#This Row],[Revenue]]/data[[#This Row],[TotalMiles]]</f>
        <v>9.3392156862745104</v>
      </c>
      <c r="T689" s="26">
        <f>data[[#This Row],[Revenue]]-data[[#This Row],[ShippingCost]]</f>
        <v>813</v>
      </c>
      <c r="U689" s="17">
        <v>4763</v>
      </c>
      <c r="V689" s="17">
        <v>98</v>
      </c>
      <c r="W689" s="17" t="s">
        <v>25</v>
      </c>
      <c r="X689" s="17">
        <v>5</v>
      </c>
      <c r="Y689" s="17">
        <f>data[[#This Row],[DeliveryDate]]-data[[#This Row],[ShipDate]]</f>
        <v>2</v>
      </c>
      <c r="Z689" s="17" t="str">
        <f>IF(data[[#This Row],[Actual Delivery Days]]&gt;AD690,"Yes","No")</f>
        <v>Yes</v>
      </c>
    </row>
    <row r="690" spans="1:26">
      <c r="A690" s="17">
        <v>10327</v>
      </c>
      <c r="B690" s="17">
        <v>1</v>
      </c>
      <c r="C690" s="17">
        <v>6</v>
      </c>
      <c r="D690" s="17" t="s">
        <v>178</v>
      </c>
      <c r="E690" s="17" t="s">
        <v>222</v>
      </c>
      <c r="F690" s="17" t="str">
        <f>TEXT(data[[#This Row],[ShipDate]],"yyyy - mmmm")</f>
        <v>2016 - April</v>
      </c>
      <c r="G690" s="17" t="str">
        <f>data[[#This Row],[OriginCity]] &amp; " - "  &amp; data[[#This Row],[DestinationCity]]</f>
        <v>Cincinnati - Gary</v>
      </c>
      <c r="H690" s="17" t="s">
        <v>89</v>
      </c>
      <c r="I690" s="17" t="s">
        <v>23</v>
      </c>
      <c r="J690" s="17">
        <v>4</v>
      </c>
      <c r="K690" s="17" t="s">
        <v>57</v>
      </c>
      <c r="L690" s="17" t="s">
        <v>44</v>
      </c>
      <c r="M690" s="17" t="s">
        <v>100</v>
      </c>
      <c r="N690" s="17">
        <v>1121</v>
      </c>
      <c r="O690" s="17">
        <v>572</v>
      </c>
      <c r="P690" s="26">
        <f>(data[[#This Row],[LoadedMiles]]/data[[#This Row],[TotalMiles]])*100</f>
        <v>51.025869759143625</v>
      </c>
      <c r="Q690" s="25">
        <f>data[[#This Row],[ShippingCost]]/data[[#This Row],[TotalMiles]]</f>
        <v>4.5619982158786794</v>
      </c>
      <c r="R690" s="17">
        <v>5114</v>
      </c>
      <c r="S690" s="25">
        <f>data[[#This Row],[Revenue]]/data[[#This Row],[TotalMiles]]</f>
        <v>4.7047279214986615</v>
      </c>
      <c r="T690" s="26">
        <f>data[[#This Row],[Revenue]]-data[[#This Row],[ShippingCost]]</f>
        <v>160</v>
      </c>
      <c r="U690" s="17">
        <v>5274</v>
      </c>
      <c r="V690" s="17">
        <v>86</v>
      </c>
      <c r="W690" s="17" t="s">
        <v>25</v>
      </c>
      <c r="X690" s="17">
        <v>1</v>
      </c>
      <c r="Y690" s="17">
        <f>data[[#This Row],[DeliveryDate]]-data[[#This Row],[ShipDate]]</f>
        <v>4</v>
      </c>
      <c r="Z690" s="17" t="str">
        <f>IF(data[[#This Row],[Actual Delivery Days]]&gt;AD691,"Yes","No")</f>
        <v>Yes</v>
      </c>
    </row>
    <row r="691" spans="1:26">
      <c r="A691" s="17">
        <v>10334</v>
      </c>
      <c r="B691" s="17">
        <v>1</v>
      </c>
      <c r="C691" s="17">
        <v>8</v>
      </c>
      <c r="D691" s="17" t="s">
        <v>198</v>
      </c>
      <c r="E691" s="17" t="s">
        <v>344</v>
      </c>
      <c r="F691" s="17" t="str">
        <f>TEXT(data[[#This Row],[ShipDate]],"yyyy - mmmm")</f>
        <v>2016 - May</v>
      </c>
      <c r="G691" s="17" t="str">
        <f>data[[#This Row],[OriginCity]] &amp; " - "  &amp; data[[#This Row],[DestinationCity]]</f>
        <v>Grand Rapids - Toledo</v>
      </c>
      <c r="H691" s="17" t="s">
        <v>20</v>
      </c>
      <c r="I691" s="17" t="s">
        <v>21</v>
      </c>
      <c r="J691" s="17">
        <v>4</v>
      </c>
      <c r="K691" s="17" t="s">
        <v>22</v>
      </c>
      <c r="L691" s="17" t="s">
        <v>23</v>
      </c>
      <c r="M691" s="17" t="s">
        <v>444</v>
      </c>
      <c r="N691" s="17">
        <v>1158</v>
      </c>
      <c r="O691" s="17">
        <v>403</v>
      </c>
      <c r="P691" s="26">
        <f>(data[[#This Row],[LoadedMiles]]/data[[#This Row],[TotalMiles]])*100</f>
        <v>34.801381692573401</v>
      </c>
      <c r="Q691" s="25">
        <f>data[[#This Row],[ShippingCost]]/data[[#This Row],[TotalMiles]]</f>
        <v>1.7340241796200346</v>
      </c>
      <c r="R691" s="17">
        <v>2008</v>
      </c>
      <c r="S691" s="25">
        <f>data[[#This Row],[Revenue]]/data[[#This Row],[TotalMiles]]</f>
        <v>1.886873920552677</v>
      </c>
      <c r="T691" s="26">
        <f>data[[#This Row],[Revenue]]-data[[#This Row],[ShippingCost]]</f>
        <v>177</v>
      </c>
      <c r="U691" s="17">
        <v>2185</v>
      </c>
      <c r="V691" s="17">
        <v>91</v>
      </c>
      <c r="W691" s="17" t="s">
        <v>25</v>
      </c>
      <c r="X691" s="17">
        <v>9</v>
      </c>
      <c r="Y691" s="17">
        <f>data[[#This Row],[DeliveryDate]]-data[[#This Row],[ShipDate]]</f>
        <v>4</v>
      </c>
      <c r="Z691" s="17" t="str">
        <f>IF(data[[#This Row],[Actual Delivery Days]]&gt;AD692,"Yes","No")</f>
        <v>Yes</v>
      </c>
    </row>
    <row r="692" spans="1:26">
      <c r="A692" s="17">
        <v>10337</v>
      </c>
      <c r="B692" s="17">
        <v>2</v>
      </c>
      <c r="C692" s="17">
        <v>6</v>
      </c>
      <c r="D692" s="17" t="s">
        <v>205</v>
      </c>
      <c r="E692" s="17" t="s">
        <v>367</v>
      </c>
      <c r="F692" s="17" t="str">
        <f>TEXT(data[[#This Row],[ShipDate]],"yyyy - mmmm")</f>
        <v>2016 - May</v>
      </c>
      <c r="G692" s="17" t="str">
        <f>data[[#This Row],[OriginCity]] &amp; " - "  &amp; data[[#This Row],[DestinationCity]]</f>
        <v>Chicago - Rockford</v>
      </c>
      <c r="H692" s="17" t="s">
        <v>39</v>
      </c>
      <c r="I692" s="17" t="s">
        <v>31</v>
      </c>
      <c r="J692" s="17">
        <v>4</v>
      </c>
      <c r="K692" s="17" t="s">
        <v>40</v>
      </c>
      <c r="L692" s="17" t="s">
        <v>31</v>
      </c>
      <c r="M692" s="17" t="s">
        <v>368</v>
      </c>
      <c r="N692" s="17">
        <v>1013</v>
      </c>
      <c r="O692" s="17">
        <v>562</v>
      </c>
      <c r="P692" s="26">
        <f>(data[[#This Row],[LoadedMiles]]/data[[#This Row],[TotalMiles]])*100</f>
        <v>55.478775913129319</v>
      </c>
      <c r="Q692" s="25">
        <f>data[[#This Row],[ShippingCost]]/data[[#This Row],[TotalMiles]]</f>
        <v>6.8232971372161897</v>
      </c>
      <c r="R692" s="17">
        <v>6912</v>
      </c>
      <c r="S692" s="25">
        <f>data[[#This Row],[Revenue]]/data[[#This Row],[TotalMiles]]</f>
        <v>7.6544916090819353</v>
      </c>
      <c r="T692" s="26">
        <f>data[[#This Row],[Revenue]]-data[[#This Row],[ShippingCost]]</f>
        <v>842</v>
      </c>
      <c r="U692" s="17">
        <v>7754</v>
      </c>
      <c r="V692" s="17">
        <v>56</v>
      </c>
      <c r="W692" s="17" t="s">
        <v>25</v>
      </c>
      <c r="X692" s="17">
        <v>7</v>
      </c>
      <c r="Y692" s="17">
        <f>data[[#This Row],[DeliveryDate]]-data[[#This Row],[ShipDate]]</f>
        <v>4</v>
      </c>
      <c r="Z692" s="17" t="str">
        <f>IF(data[[#This Row],[Actual Delivery Days]]&gt;AD693,"Yes","No")</f>
        <v>Yes</v>
      </c>
    </row>
    <row r="693" spans="1:26">
      <c r="A693" s="17">
        <v>10338</v>
      </c>
      <c r="B693" s="17">
        <v>1</v>
      </c>
      <c r="C693" s="17">
        <v>8</v>
      </c>
      <c r="D693" s="17" t="s">
        <v>208</v>
      </c>
      <c r="E693" s="17" t="s">
        <v>437</v>
      </c>
      <c r="F693" s="17" t="str">
        <f>TEXT(data[[#This Row],[ShipDate]],"yyyy - mmmm")</f>
        <v>2016 - May</v>
      </c>
      <c r="G693" s="17" t="str">
        <f>data[[#This Row],[OriginCity]] &amp; " - "  &amp; data[[#This Row],[DestinationCity]]</f>
        <v>Indianapolis - Northbrook</v>
      </c>
      <c r="H693" s="17" t="s">
        <v>43</v>
      </c>
      <c r="I693" s="17" t="s">
        <v>44</v>
      </c>
      <c r="J693" s="17">
        <v>4</v>
      </c>
      <c r="K693" s="17" t="s">
        <v>45</v>
      </c>
      <c r="L693" s="17" t="s">
        <v>31</v>
      </c>
      <c r="M693" s="17" t="s">
        <v>344</v>
      </c>
      <c r="N693" s="17">
        <v>1087</v>
      </c>
      <c r="O693" s="17">
        <v>737</v>
      </c>
      <c r="P693" s="26">
        <f>(data[[#This Row],[LoadedMiles]]/data[[#This Row],[TotalMiles]])*100</f>
        <v>67.801287948482056</v>
      </c>
      <c r="Q693" s="25">
        <f>data[[#This Row],[ShippingCost]]/data[[#This Row],[TotalMiles]]</f>
        <v>5.8077276908923645</v>
      </c>
      <c r="R693" s="17">
        <v>6313</v>
      </c>
      <c r="S693" s="25">
        <f>data[[#This Row],[Revenue]]/data[[#This Row],[TotalMiles]]</f>
        <v>6.1186752529898802</v>
      </c>
      <c r="T693" s="26">
        <f>data[[#This Row],[Revenue]]-data[[#This Row],[ShippingCost]]</f>
        <v>338</v>
      </c>
      <c r="U693" s="17">
        <v>6651</v>
      </c>
      <c r="V693" s="17">
        <v>79</v>
      </c>
      <c r="W693" s="17" t="s">
        <v>25</v>
      </c>
      <c r="X693" s="17">
        <v>5</v>
      </c>
      <c r="Y693" s="17">
        <f>data[[#This Row],[DeliveryDate]]-data[[#This Row],[ShipDate]]</f>
        <v>1</v>
      </c>
      <c r="Z693" s="17" t="str">
        <f>IF(data[[#This Row],[Actual Delivery Days]]&gt;AD694,"Yes","No")</f>
        <v>Yes</v>
      </c>
    </row>
    <row r="694" spans="1:26">
      <c r="A694" s="17">
        <v>10347</v>
      </c>
      <c r="B694" s="17">
        <v>1</v>
      </c>
      <c r="C694" s="17">
        <v>4</v>
      </c>
      <c r="D694" s="17" t="s">
        <v>228</v>
      </c>
      <c r="E694" s="17" t="s">
        <v>270</v>
      </c>
      <c r="F694" s="17" t="str">
        <f>TEXT(data[[#This Row],[ShipDate]],"yyyy - mmmm")</f>
        <v>2016 - April</v>
      </c>
      <c r="G694" s="17" t="str">
        <f>data[[#This Row],[OriginCity]] &amp; " - "  &amp; data[[#This Row],[DestinationCity]]</f>
        <v>Rockford - Green Bay</v>
      </c>
      <c r="H694" s="17" t="s">
        <v>40</v>
      </c>
      <c r="I694" s="17" t="s">
        <v>31</v>
      </c>
      <c r="J694" s="17">
        <v>4</v>
      </c>
      <c r="K694" s="17" t="s">
        <v>75</v>
      </c>
      <c r="L694" s="17" t="s">
        <v>29</v>
      </c>
      <c r="M694" s="17" t="s">
        <v>160</v>
      </c>
      <c r="N694" s="17">
        <v>623</v>
      </c>
      <c r="O694" s="17">
        <v>623</v>
      </c>
      <c r="P694" s="26">
        <f>(data[[#This Row],[LoadedMiles]]/data[[#This Row],[TotalMiles]])*100</f>
        <v>100</v>
      </c>
      <c r="Q694" s="25">
        <f>data[[#This Row],[ShippingCost]]/data[[#This Row],[TotalMiles]]</f>
        <v>8.0914927768860352</v>
      </c>
      <c r="R694" s="17">
        <v>5041</v>
      </c>
      <c r="S694" s="25">
        <f>data[[#This Row],[Revenue]]/data[[#This Row],[TotalMiles]]</f>
        <v>4.5698234349919744</v>
      </c>
      <c r="T694" s="26">
        <f>data[[#This Row],[Revenue]]-data[[#This Row],[ShippingCost]]</f>
        <v>-2194</v>
      </c>
      <c r="U694" s="17">
        <v>2847</v>
      </c>
      <c r="V694" s="17">
        <v>70</v>
      </c>
      <c r="W694" s="17" t="s">
        <v>25</v>
      </c>
      <c r="X694" s="17">
        <v>10</v>
      </c>
      <c r="Y694" s="17">
        <f>data[[#This Row],[DeliveryDate]]-data[[#This Row],[ShipDate]]</f>
        <v>4</v>
      </c>
      <c r="Z694" s="17" t="str">
        <f>IF(data[[#This Row],[Actual Delivery Days]]&gt;AD695,"Yes","No")</f>
        <v>Yes</v>
      </c>
    </row>
    <row r="695" spans="1:26">
      <c r="A695" s="17">
        <v>10351</v>
      </c>
      <c r="B695" s="17">
        <v>1</v>
      </c>
      <c r="C695" s="17">
        <v>8</v>
      </c>
      <c r="D695" s="17" t="s">
        <v>237</v>
      </c>
      <c r="E695" s="17" t="s">
        <v>183</v>
      </c>
      <c r="F695" s="17" t="str">
        <f>TEXT(data[[#This Row],[ShipDate]],"yyyy - mmmm")</f>
        <v>2016 - July</v>
      </c>
      <c r="G695" s="17" t="str">
        <f>data[[#This Row],[OriginCity]] &amp; " - "  &amp; data[[#This Row],[DestinationCity]]</f>
        <v>Lansing - Dayton</v>
      </c>
      <c r="H695" s="17" t="s">
        <v>66</v>
      </c>
      <c r="I695" s="17" t="s">
        <v>21</v>
      </c>
      <c r="J695" s="17">
        <v>4</v>
      </c>
      <c r="K695" s="17" t="s">
        <v>93</v>
      </c>
      <c r="L695" s="17" t="s">
        <v>23</v>
      </c>
      <c r="M695" s="17" t="s">
        <v>386</v>
      </c>
      <c r="N695" s="17">
        <v>1098</v>
      </c>
      <c r="O695" s="17">
        <v>626</v>
      </c>
      <c r="P695" s="26">
        <f>(data[[#This Row],[LoadedMiles]]/data[[#This Row],[TotalMiles]])*100</f>
        <v>57.012750455373407</v>
      </c>
      <c r="Q695" s="25">
        <f>data[[#This Row],[ShippingCost]]/data[[#This Row],[TotalMiles]]</f>
        <v>0.49362477231329688</v>
      </c>
      <c r="R695" s="17">
        <v>542</v>
      </c>
      <c r="S695" s="25">
        <f>data[[#This Row],[Revenue]]/data[[#This Row],[TotalMiles]]</f>
        <v>1.3278688524590163</v>
      </c>
      <c r="T695" s="26">
        <f>data[[#This Row],[Revenue]]-data[[#This Row],[ShippingCost]]</f>
        <v>916</v>
      </c>
      <c r="U695" s="17">
        <v>1458</v>
      </c>
      <c r="V695" s="17">
        <v>69</v>
      </c>
      <c r="W695" s="17" t="s">
        <v>25</v>
      </c>
      <c r="X695" s="17">
        <v>6</v>
      </c>
      <c r="Y695" s="17">
        <f>data[[#This Row],[DeliveryDate]]-data[[#This Row],[ShipDate]]</f>
        <v>4</v>
      </c>
      <c r="Z695" s="17" t="str">
        <f>IF(data[[#This Row],[Actual Delivery Days]]&gt;AD696,"Yes","No")</f>
        <v>Yes</v>
      </c>
    </row>
    <row r="696" spans="1:26">
      <c r="A696" s="17">
        <v>10370</v>
      </c>
      <c r="B696" s="17">
        <v>1</v>
      </c>
      <c r="C696" s="17">
        <v>5</v>
      </c>
      <c r="D696" s="17" t="s">
        <v>277</v>
      </c>
      <c r="E696" s="17" t="s">
        <v>252</v>
      </c>
      <c r="F696" s="17" t="str">
        <f>TEXT(data[[#This Row],[ShipDate]],"yyyy - mmmm")</f>
        <v>2016 - March</v>
      </c>
      <c r="G696" s="17" t="str">
        <f>data[[#This Row],[OriginCity]] &amp; " - "  &amp; data[[#This Row],[DestinationCity]]</f>
        <v>Cincinnati - Gary</v>
      </c>
      <c r="H696" s="17" t="s">
        <v>89</v>
      </c>
      <c r="I696" s="17" t="s">
        <v>23</v>
      </c>
      <c r="J696" s="17">
        <v>4</v>
      </c>
      <c r="K696" s="17" t="s">
        <v>57</v>
      </c>
      <c r="L696" s="17" t="s">
        <v>44</v>
      </c>
      <c r="M696" s="17" t="s">
        <v>51</v>
      </c>
      <c r="N696" s="17">
        <v>557</v>
      </c>
      <c r="O696" s="17">
        <v>501</v>
      </c>
      <c r="P696" s="26">
        <f>(data[[#This Row],[LoadedMiles]]/data[[#This Row],[TotalMiles]])*100</f>
        <v>89.946140035906637</v>
      </c>
      <c r="Q696" s="25">
        <f>data[[#This Row],[ShippingCost]]/data[[#This Row],[TotalMiles]]</f>
        <v>2.9138240574506282</v>
      </c>
      <c r="R696" s="17">
        <v>1623</v>
      </c>
      <c r="S696" s="25">
        <f>data[[#This Row],[Revenue]]/data[[#This Row],[TotalMiles]]</f>
        <v>4.3464991023339321</v>
      </c>
      <c r="T696" s="26">
        <f>data[[#This Row],[Revenue]]-data[[#This Row],[ShippingCost]]</f>
        <v>798</v>
      </c>
      <c r="U696" s="17">
        <v>2421</v>
      </c>
      <c r="V696" s="17">
        <v>74</v>
      </c>
      <c r="W696" s="17" t="s">
        <v>25</v>
      </c>
      <c r="X696" s="17">
        <v>3</v>
      </c>
      <c r="Y696" s="17">
        <f>data[[#This Row],[DeliveryDate]]-data[[#This Row],[ShipDate]]</f>
        <v>4</v>
      </c>
      <c r="Z696" s="17" t="str">
        <f>IF(data[[#This Row],[Actual Delivery Days]]&gt;AD697,"Yes","No")</f>
        <v>Yes</v>
      </c>
    </row>
    <row r="697" spans="1:26">
      <c r="A697" s="17">
        <v>10382</v>
      </c>
      <c r="B697" s="17">
        <v>1</v>
      </c>
      <c r="C697" s="17">
        <v>4</v>
      </c>
      <c r="D697" s="17" t="s">
        <v>303</v>
      </c>
      <c r="E697" s="17" t="s">
        <v>535</v>
      </c>
      <c r="F697" s="17" t="str">
        <f>TEXT(data[[#This Row],[ShipDate]],"yyyy - mmmm")</f>
        <v>2016 - August</v>
      </c>
      <c r="G697" s="17" t="str">
        <f>data[[#This Row],[OriginCity]] &amp; " - "  &amp; data[[#This Row],[DestinationCity]]</f>
        <v>Chicago - Rockford</v>
      </c>
      <c r="H697" s="17" t="s">
        <v>39</v>
      </c>
      <c r="I697" s="17" t="s">
        <v>31</v>
      </c>
      <c r="J697" s="17">
        <v>4</v>
      </c>
      <c r="K697" s="17" t="s">
        <v>40</v>
      </c>
      <c r="L697" s="17" t="s">
        <v>31</v>
      </c>
      <c r="M697" s="17" t="s">
        <v>415</v>
      </c>
      <c r="N697" s="17">
        <v>842</v>
      </c>
      <c r="O697" s="17">
        <v>644</v>
      </c>
      <c r="P697" s="26">
        <f>(data[[#This Row],[LoadedMiles]]/data[[#This Row],[TotalMiles]])*100</f>
        <v>76.484560570071253</v>
      </c>
      <c r="Q697" s="25">
        <f>data[[#This Row],[ShippingCost]]/data[[#This Row],[TotalMiles]]</f>
        <v>6.3883610451306412</v>
      </c>
      <c r="R697" s="17">
        <v>5379</v>
      </c>
      <c r="S697" s="25">
        <f>data[[#This Row],[Revenue]]/data[[#This Row],[TotalMiles]]</f>
        <v>3.5071258907363418</v>
      </c>
      <c r="T697" s="26">
        <f>data[[#This Row],[Revenue]]-data[[#This Row],[ShippingCost]]</f>
        <v>-2426</v>
      </c>
      <c r="U697" s="17">
        <v>2953</v>
      </c>
      <c r="V697" s="17">
        <v>57</v>
      </c>
      <c r="W697" s="17" t="s">
        <v>25</v>
      </c>
      <c r="X697" s="17">
        <v>4</v>
      </c>
      <c r="Y697" s="17">
        <f>data[[#This Row],[DeliveryDate]]-data[[#This Row],[ShipDate]]</f>
        <v>4</v>
      </c>
      <c r="Z697" s="17" t="str">
        <f>IF(data[[#This Row],[Actual Delivery Days]]&gt;AD698,"Yes","No")</f>
        <v>Yes</v>
      </c>
    </row>
    <row r="698" spans="1:26">
      <c r="A698" s="17">
        <v>10383</v>
      </c>
      <c r="B698" s="17">
        <v>1</v>
      </c>
      <c r="C698" s="17">
        <v>8</v>
      </c>
      <c r="D698" s="17" t="s">
        <v>305</v>
      </c>
      <c r="E698" s="17" t="s">
        <v>597</v>
      </c>
      <c r="F698" s="17" t="str">
        <f>TEXT(data[[#This Row],[ShipDate]],"yyyy - mmmm")</f>
        <v>2016 - August</v>
      </c>
      <c r="G698" s="17" t="str">
        <f>data[[#This Row],[OriginCity]] &amp; " - "  &amp; data[[#This Row],[DestinationCity]]</f>
        <v>Indianapolis - Northbrook</v>
      </c>
      <c r="H698" s="17" t="s">
        <v>43</v>
      </c>
      <c r="I698" s="17" t="s">
        <v>44</v>
      </c>
      <c r="J698" s="17">
        <v>4</v>
      </c>
      <c r="K698" s="17" t="s">
        <v>45</v>
      </c>
      <c r="L698" s="17" t="s">
        <v>31</v>
      </c>
      <c r="M698" s="17" t="s">
        <v>119</v>
      </c>
      <c r="N698" s="17">
        <v>453</v>
      </c>
      <c r="O698" s="17">
        <v>453</v>
      </c>
      <c r="P698" s="26">
        <f>(data[[#This Row],[LoadedMiles]]/data[[#This Row],[TotalMiles]])*100</f>
        <v>100</v>
      </c>
      <c r="Q698" s="25">
        <f>data[[#This Row],[ShippingCost]]/data[[#This Row],[TotalMiles]]</f>
        <v>5.445916114790287</v>
      </c>
      <c r="R698" s="17">
        <v>2467</v>
      </c>
      <c r="S698" s="25">
        <f>data[[#This Row],[Revenue]]/data[[#This Row],[TotalMiles]]</f>
        <v>7.0794701986754971</v>
      </c>
      <c r="T698" s="26">
        <f>data[[#This Row],[Revenue]]-data[[#This Row],[ShippingCost]]</f>
        <v>740</v>
      </c>
      <c r="U698" s="17">
        <v>3207</v>
      </c>
      <c r="V698" s="17">
        <v>62</v>
      </c>
      <c r="W698" s="17" t="s">
        <v>25</v>
      </c>
      <c r="X698" s="17">
        <v>2</v>
      </c>
      <c r="Y698" s="17">
        <f>data[[#This Row],[DeliveryDate]]-data[[#This Row],[ShipDate]]</f>
        <v>4</v>
      </c>
      <c r="Z698" s="17" t="str">
        <f>IF(data[[#This Row],[Actual Delivery Days]]&gt;AD699,"Yes","No")</f>
        <v>Yes</v>
      </c>
    </row>
    <row r="699" spans="1:26">
      <c r="A699" s="17">
        <v>10388</v>
      </c>
      <c r="B699" s="17">
        <v>1</v>
      </c>
      <c r="C699" s="17">
        <v>7</v>
      </c>
      <c r="D699" s="17" t="s">
        <v>313</v>
      </c>
      <c r="E699" s="17" t="s">
        <v>238</v>
      </c>
      <c r="F699" s="17" t="str">
        <f>TEXT(data[[#This Row],[ShipDate]],"yyyy - mmmm")</f>
        <v>2016 - March</v>
      </c>
      <c r="G699" s="17" t="str">
        <f>data[[#This Row],[OriginCity]] &amp; " - "  &amp; data[[#This Row],[DestinationCity]]</f>
        <v>Monon - Lansing</v>
      </c>
      <c r="H699" s="17" t="s">
        <v>53</v>
      </c>
      <c r="I699" s="17" t="s">
        <v>44</v>
      </c>
      <c r="J699" s="17">
        <v>4</v>
      </c>
      <c r="K699" s="17" t="s">
        <v>66</v>
      </c>
      <c r="L699" s="17" t="s">
        <v>21</v>
      </c>
      <c r="M699" s="17" t="s">
        <v>449</v>
      </c>
      <c r="N699" s="17">
        <v>303</v>
      </c>
      <c r="O699" s="17">
        <v>303</v>
      </c>
      <c r="P699" s="26">
        <f>(data[[#This Row],[LoadedMiles]]/data[[#This Row],[TotalMiles]])*100</f>
        <v>100</v>
      </c>
      <c r="Q699" s="25">
        <f>data[[#This Row],[ShippingCost]]/data[[#This Row],[TotalMiles]]</f>
        <v>15.788778877887788</v>
      </c>
      <c r="R699" s="17">
        <v>4784</v>
      </c>
      <c r="S699" s="25">
        <f>data[[#This Row],[Revenue]]/data[[#This Row],[TotalMiles]]</f>
        <v>17.171617161716171</v>
      </c>
      <c r="T699" s="26">
        <f>data[[#This Row],[Revenue]]-data[[#This Row],[ShippingCost]]</f>
        <v>419</v>
      </c>
      <c r="U699" s="17">
        <v>5203</v>
      </c>
      <c r="V699" s="17">
        <v>80</v>
      </c>
      <c r="W699" s="17" t="s">
        <v>25</v>
      </c>
      <c r="X699" s="17">
        <v>9</v>
      </c>
      <c r="Y699" s="17">
        <f>data[[#This Row],[DeliveryDate]]-data[[#This Row],[ShipDate]]</f>
        <v>4</v>
      </c>
      <c r="Z699" s="17" t="str">
        <f>IF(data[[#This Row],[Actual Delivery Days]]&gt;AD700,"Yes","No")</f>
        <v>Yes</v>
      </c>
    </row>
    <row r="700" spans="1:26">
      <c r="A700" s="17">
        <v>10390</v>
      </c>
      <c r="B700" s="17">
        <v>1</v>
      </c>
      <c r="C700" s="17">
        <v>8</v>
      </c>
      <c r="D700" s="17" t="s">
        <v>317</v>
      </c>
      <c r="E700" s="17" t="s">
        <v>74</v>
      </c>
      <c r="F700" s="17" t="str">
        <f>TEXT(data[[#This Row],[ShipDate]],"yyyy - mmmm")</f>
        <v>2016 - March</v>
      </c>
      <c r="G700" s="17" t="str">
        <f>data[[#This Row],[OriginCity]] &amp; " - "  &amp; data[[#This Row],[DestinationCity]]</f>
        <v>Green Bay - Joliet</v>
      </c>
      <c r="H700" s="17" t="s">
        <v>75</v>
      </c>
      <c r="I700" s="17" t="s">
        <v>29</v>
      </c>
      <c r="J700" s="17">
        <v>4</v>
      </c>
      <c r="K700" s="17" t="s">
        <v>61</v>
      </c>
      <c r="L700" s="17" t="s">
        <v>31</v>
      </c>
      <c r="M700" s="17" t="s">
        <v>207</v>
      </c>
      <c r="N700" s="17">
        <v>1022</v>
      </c>
      <c r="O700" s="17">
        <v>479</v>
      </c>
      <c r="P700" s="26">
        <f>(data[[#This Row],[LoadedMiles]]/data[[#This Row],[TotalMiles]])*100</f>
        <v>46.868884540117421</v>
      </c>
      <c r="Q700" s="25">
        <f>data[[#This Row],[ShippingCost]]/data[[#This Row],[TotalMiles]]</f>
        <v>6.3571428571428568</v>
      </c>
      <c r="R700" s="17">
        <v>6497</v>
      </c>
      <c r="S700" s="25">
        <f>data[[#This Row],[Revenue]]/data[[#This Row],[TotalMiles]]</f>
        <v>6.6722113502935425</v>
      </c>
      <c r="T700" s="26">
        <f>data[[#This Row],[Revenue]]-data[[#This Row],[ShippingCost]]</f>
        <v>322</v>
      </c>
      <c r="U700" s="17">
        <v>6819</v>
      </c>
      <c r="V700" s="17">
        <v>67</v>
      </c>
      <c r="W700" s="17" t="s">
        <v>25</v>
      </c>
      <c r="X700" s="17">
        <v>2</v>
      </c>
      <c r="Y700" s="17">
        <f>data[[#This Row],[DeliveryDate]]-data[[#This Row],[ShipDate]]</f>
        <v>4</v>
      </c>
      <c r="Z700" s="17" t="str">
        <f>IF(data[[#This Row],[Actual Delivery Days]]&gt;AD701,"Yes","No")</f>
        <v>Yes</v>
      </c>
    </row>
    <row r="701" spans="1:26">
      <c r="A701" s="17">
        <v>10408</v>
      </c>
      <c r="B701" s="17">
        <v>1</v>
      </c>
      <c r="C701" s="17">
        <v>8</v>
      </c>
      <c r="D701" s="17" t="s">
        <v>345</v>
      </c>
      <c r="E701" s="17" t="s">
        <v>379</v>
      </c>
      <c r="F701" s="17" t="str">
        <f>TEXT(data[[#This Row],[ShipDate]],"yyyy - mmmm")</f>
        <v>2016 - February</v>
      </c>
      <c r="G701" s="17" t="str">
        <f>data[[#This Row],[OriginCity]] &amp; " - "  &amp; data[[#This Row],[DestinationCity]]</f>
        <v>Northbrook - Naperville</v>
      </c>
      <c r="H701" s="17" t="s">
        <v>45</v>
      </c>
      <c r="I701" s="17" t="s">
        <v>31</v>
      </c>
      <c r="J701" s="17">
        <v>4</v>
      </c>
      <c r="K701" s="17" t="s">
        <v>48</v>
      </c>
      <c r="L701" s="17" t="s">
        <v>31</v>
      </c>
      <c r="M701" s="17" t="s">
        <v>202</v>
      </c>
      <c r="N701" s="17">
        <v>321</v>
      </c>
      <c r="O701" s="17">
        <v>225</v>
      </c>
      <c r="P701" s="26">
        <f>(data[[#This Row],[LoadedMiles]]/data[[#This Row],[TotalMiles]])*100</f>
        <v>70.09345794392523</v>
      </c>
      <c r="Q701" s="25">
        <f>data[[#This Row],[ShippingCost]]/data[[#This Row],[TotalMiles]]</f>
        <v>18.710280373831775</v>
      </c>
      <c r="R701" s="17">
        <v>6006</v>
      </c>
      <c r="S701" s="25">
        <f>data[[#This Row],[Revenue]]/data[[#This Row],[TotalMiles]]</f>
        <v>21.535825545171338</v>
      </c>
      <c r="T701" s="26">
        <f>data[[#This Row],[Revenue]]-data[[#This Row],[ShippingCost]]</f>
        <v>907</v>
      </c>
      <c r="U701" s="17">
        <v>6913</v>
      </c>
      <c r="V701" s="17">
        <v>100</v>
      </c>
      <c r="W701" s="17" t="s">
        <v>25</v>
      </c>
      <c r="X701" s="17">
        <v>6</v>
      </c>
      <c r="Y701" s="17">
        <f>data[[#This Row],[DeliveryDate]]-data[[#This Row],[ShipDate]]</f>
        <v>4</v>
      </c>
      <c r="Z701" s="17" t="str">
        <f>IF(data[[#This Row],[Actual Delivery Days]]&gt;AD702,"Yes","No")</f>
        <v>Yes</v>
      </c>
    </row>
    <row r="702" spans="1:26">
      <c r="A702" s="17">
        <v>10412</v>
      </c>
      <c r="B702" s="17">
        <v>1</v>
      </c>
      <c r="C702" s="17">
        <v>5</v>
      </c>
      <c r="D702" s="17" t="s">
        <v>354</v>
      </c>
      <c r="E702" s="17" t="s">
        <v>358</v>
      </c>
      <c r="F702" s="17" t="str">
        <f>TEXT(data[[#This Row],[ShipDate]],"yyyy - mmmm")</f>
        <v>2016 - January</v>
      </c>
      <c r="G702" s="17" t="str">
        <f>data[[#This Row],[OriginCity]] &amp; " - "  &amp; data[[#This Row],[DestinationCity]]</f>
        <v>Madison - Kalamazoo</v>
      </c>
      <c r="H702" s="17" t="s">
        <v>62</v>
      </c>
      <c r="I702" s="17" t="s">
        <v>29</v>
      </c>
      <c r="J702" s="17">
        <v>4</v>
      </c>
      <c r="K702" s="17" t="s">
        <v>71</v>
      </c>
      <c r="L702" s="17" t="s">
        <v>21</v>
      </c>
      <c r="M702" s="17" t="s">
        <v>72</v>
      </c>
      <c r="N702" s="17">
        <v>225</v>
      </c>
      <c r="O702" s="17">
        <v>225</v>
      </c>
      <c r="P702" s="26">
        <f>(data[[#This Row],[LoadedMiles]]/data[[#This Row],[TotalMiles]])*100</f>
        <v>100</v>
      </c>
      <c r="Q702" s="25">
        <f>data[[#This Row],[ShippingCost]]/data[[#This Row],[TotalMiles]]</f>
        <v>0.56888888888888889</v>
      </c>
      <c r="R702" s="17">
        <v>128</v>
      </c>
      <c r="S702" s="25">
        <f>data[[#This Row],[Revenue]]/data[[#This Row],[TotalMiles]]</f>
        <v>3.8577777777777778</v>
      </c>
      <c r="T702" s="26">
        <f>data[[#This Row],[Revenue]]-data[[#This Row],[ShippingCost]]</f>
        <v>740</v>
      </c>
      <c r="U702" s="17">
        <v>868</v>
      </c>
      <c r="V702" s="17">
        <v>81</v>
      </c>
      <c r="W702" s="17" t="s">
        <v>25</v>
      </c>
      <c r="X702" s="17">
        <v>7</v>
      </c>
      <c r="Y702" s="17">
        <f>data[[#This Row],[DeliveryDate]]-data[[#This Row],[ShipDate]]</f>
        <v>4</v>
      </c>
      <c r="Z702" s="17" t="str">
        <f>IF(data[[#This Row],[Actual Delivery Days]]&gt;AD703,"Yes","No")</f>
        <v>Yes</v>
      </c>
    </row>
    <row r="703" spans="1:26">
      <c r="A703" s="17">
        <v>10426</v>
      </c>
      <c r="B703" s="17">
        <v>1</v>
      </c>
      <c r="C703" s="17">
        <v>7</v>
      </c>
      <c r="D703" s="17" t="s">
        <v>377</v>
      </c>
      <c r="E703" s="17" t="s">
        <v>467</v>
      </c>
      <c r="F703" s="17" t="str">
        <f>TEXT(data[[#This Row],[ShipDate]],"yyyy - mmmm")</f>
        <v>2016 - July</v>
      </c>
      <c r="G703" s="17" t="str">
        <f>data[[#This Row],[OriginCity]] &amp; " - "  &amp; data[[#This Row],[DestinationCity]]</f>
        <v>Milwaukee - Springfield</v>
      </c>
      <c r="H703" s="17" t="s">
        <v>28</v>
      </c>
      <c r="I703" s="17" t="s">
        <v>29</v>
      </c>
      <c r="J703" s="17">
        <v>4</v>
      </c>
      <c r="K703" s="17" t="s">
        <v>30</v>
      </c>
      <c r="L703" s="17" t="s">
        <v>31</v>
      </c>
      <c r="M703" s="17" t="s">
        <v>63</v>
      </c>
      <c r="N703" s="17">
        <v>1128</v>
      </c>
      <c r="O703" s="17">
        <v>489</v>
      </c>
      <c r="P703" s="26">
        <f>(data[[#This Row],[LoadedMiles]]/data[[#This Row],[TotalMiles]])*100</f>
        <v>43.351063829787236</v>
      </c>
      <c r="Q703" s="25">
        <f>data[[#This Row],[ShippingCost]]/data[[#This Row],[TotalMiles]]</f>
        <v>1.5070921985815602</v>
      </c>
      <c r="R703" s="17">
        <v>1700</v>
      </c>
      <c r="S703" s="25">
        <f>data[[#This Row],[Revenue]]/data[[#This Row],[TotalMiles]]</f>
        <v>2.0656028368794326</v>
      </c>
      <c r="T703" s="26">
        <f>data[[#This Row],[Revenue]]-data[[#This Row],[ShippingCost]]</f>
        <v>630</v>
      </c>
      <c r="U703" s="17">
        <v>2330</v>
      </c>
      <c r="V703" s="17">
        <v>78</v>
      </c>
      <c r="W703" s="17" t="s">
        <v>25</v>
      </c>
      <c r="X703" s="17">
        <v>2</v>
      </c>
      <c r="Y703" s="17">
        <f>data[[#This Row],[DeliveryDate]]-data[[#This Row],[ShipDate]]</f>
        <v>4</v>
      </c>
      <c r="Z703" s="17" t="str">
        <f>IF(data[[#This Row],[Actual Delivery Days]]&gt;AD704,"Yes","No")</f>
        <v>Yes</v>
      </c>
    </row>
    <row r="704" spans="1:26">
      <c r="A704" s="17">
        <v>10441</v>
      </c>
      <c r="B704" s="17">
        <v>1</v>
      </c>
      <c r="C704" s="17">
        <v>6</v>
      </c>
      <c r="D704" s="17" t="s">
        <v>400</v>
      </c>
      <c r="E704" s="17" t="s">
        <v>381</v>
      </c>
      <c r="F704" s="17" t="str">
        <f>TEXT(data[[#This Row],[ShipDate]],"yyyy - mmmm")</f>
        <v>2016 - March</v>
      </c>
      <c r="G704" s="17" t="str">
        <f>data[[#This Row],[OriginCity]] &amp; " - "  &amp; data[[#This Row],[DestinationCity]]</f>
        <v>Dayton - Elgin</v>
      </c>
      <c r="H704" s="17" t="s">
        <v>93</v>
      </c>
      <c r="I704" s="17" t="s">
        <v>23</v>
      </c>
      <c r="J704" s="17">
        <v>4</v>
      </c>
      <c r="K704" s="17" t="s">
        <v>94</v>
      </c>
      <c r="L704" s="17" t="s">
        <v>31</v>
      </c>
      <c r="M704" s="17" t="s">
        <v>186</v>
      </c>
      <c r="N704" s="17">
        <v>791</v>
      </c>
      <c r="O704" s="17">
        <v>531</v>
      </c>
      <c r="P704" s="26">
        <f>(data[[#This Row],[LoadedMiles]]/data[[#This Row],[TotalMiles]])*100</f>
        <v>67.130214917825541</v>
      </c>
      <c r="Q704" s="25">
        <f>data[[#This Row],[ShippingCost]]/data[[#This Row],[TotalMiles]]</f>
        <v>3.1782553729456384</v>
      </c>
      <c r="R704" s="17">
        <v>2514</v>
      </c>
      <c r="S704" s="25">
        <f>data[[#This Row],[Revenue]]/data[[#This Row],[TotalMiles]]</f>
        <v>3.925410872313527</v>
      </c>
      <c r="T704" s="26">
        <f>data[[#This Row],[Revenue]]-data[[#This Row],[ShippingCost]]</f>
        <v>591</v>
      </c>
      <c r="U704" s="17">
        <v>3105</v>
      </c>
      <c r="V704" s="17">
        <v>83</v>
      </c>
      <c r="W704" s="17" t="s">
        <v>25</v>
      </c>
      <c r="X704" s="17">
        <v>2</v>
      </c>
      <c r="Y704" s="17">
        <f>data[[#This Row],[DeliveryDate]]-data[[#This Row],[ShipDate]]</f>
        <v>4</v>
      </c>
      <c r="Z704" s="17" t="str">
        <f>IF(data[[#This Row],[Actual Delivery Days]]&gt;AD705,"Yes","No")</f>
        <v>Yes</v>
      </c>
    </row>
    <row r="705" spans="1:26">
      <c r="A705" s="17">
        <v>10445</v>
      </c>
      <c r="B705" s="17">
        <v>2</v>
      </c>
      <c r="C705" s="17">
        <v>5</v>
      </c>
      <c r="D705" s="17" t="s">
        <v>407</v>
      </c>
      <c r="E705" s="17" t="s">
        <v>365</v>
      </c>
      <c r="F705" s="17" t="str">
        <f>TEXT(data[[#This Row],[ShipDate]],"yyyy - mmmm")</f>
        <v>2016 - June</v>
      </c>
      <c r="G705" s="17" t="str">
        <f>data[[#This Row],[OriginCity]] &amp; " - "  &amp; data[[#This Row],[DestinationCity]]</f>
        <v>Skokie - Chicago</v>
      </c>
      <c r="H705" s="17" t="s">
        <v>35</v>
      </c>
      <c r="I705" s="17" t="s">
        <v>31</v>
      </c>
      <c r="J705" s="17">
        <v>4</v>
      </c>
      <c r="K705" s="17" t="s">
        <v>39</v>
      </c>
      <c r="L705" s="17" t="s">
        <v>31</v>
      </c>
      <c r="M705" s="17" t="s">
        <v>146</v>
      </c>
      <c r="N705" s="17">
        <v>891</v>
      </c>
      <c r="O705" s="17">
        <v>200</v>
      </c>
      <c r="P705" s="26">
        <f>(data[[#This Row],[LoadedMiles]]/data[[#This Row],[TotalMiles]])*100</f>
        <v>22.446689113355781</v>
      </c>
      <c r="Q705" s="25">
        <f>data[[#This Row],[ShippingCost]]/data[[#This Row],[TotalMiles]]</f>
        <v>9.4051627384960721</v>
      </c>
      <c r="R705" s="17">
        <v>8380</v>
      </c>
      <c r="S705" s="25">
        <f>data[[#This Row],[Revenue]]/data[[#This Row],[TotalMiles]]</f>
        <v>9.8092031425364752</v>
      </c>
      <c r="T705" s="26">
        <f>data[[#This Row],[Revenue]]-data[[#This Row],[ShippingCost]]</f>
        <v>360</v>
      </c>
      <c r="U705" s="17">
        <v>8740</v>
      </c>
      <c r="V705" s="17">
        <v>91</v>
      </c>
      <c r="W705" s="17" t="s">
        <v>25</v>
      </c>
      <c r="X705" s="17">
        <v>8</v>
      </c>
      <c r="Y705" s="17">
        <f>data[[#This Row],[DeliveryDate]]-data[[#This Row],[ShipDate]]</f>
        <v>4</v>
      </c>
      <c r="Z705" s="17" t="str">
        <f>IF(data[[#This Row],[Actual Delivery Days]]&gt;AD706,"Yes","No")</f>
        <v>Yes</v>
      </c>
    </row>
    <row r="706" spans="1:26">
      <c r="A706" s="17">
        <v>10446</v>
      </c>
      <c r="B706" s="17">
        <v>2</v>
      </c>
      <c r="C706" s="17">
        <v>8</v>
      </c>
      <c r="D706" s="17" t="s">
        <v>409</v>
      </c>
      <c r="E706" s="17" t="s">
        <v>530</v>
      </c>
      <c r="F706" s="17" t="str">
        <f>TEXT(data[[#This Row],[ShipDate]],"yyyy - mmmm")</f>
        <v>2016 - January</v>
      </c>
      <c r="G706" s="17" t="str">
        <f>data[[#This Row],[OriginCity]] &amp; " - "  &amp; data[[#This Row],[DestinationCity]]</f>
        <v>Kalamazoo - Bangor</v>
      </c>
      <c r="H706" s="17" t="s">
        <v>71</v>
      </c>
      <c r="I706" s="17" t="s">
        <v>21</v>
      </c>
      <c r="J706" s="17">
        <v>4</v>
      </c>
      <c r="K706" s="17" t="s">
        <v>104</v>
      </c>
      <c r="L706" s="17" t="s">
        <v>21</v>
      </c>
      <c r="M706" s="17" t="s">
        <v>531</v>
      </c>
      <c r="N706" s="17">
        <v>1003</v>
      </c>
      <c r="O706" s="17">
        <v>302</v>
      </c>
      <c r="P706" s="26">
        <f>(data[[#This Row],[LoadedMiles]]/data[[#This Row],[TotalMiles]])*100</f>
        <v>30.109670987038882</v>
      </c>
      <c r="Q706" s="25">
        <f>data[[#This Row],[ShippingCost]]/data[[#This Row],[TotalMiles]]</f>
        <v>7.3698903290129607</v>
      </c>
      <c r="R706" s="17">
        <v>7392</v>
      </c>
      <c r="S706" s="25">
        <f>data[[#This Row],[Revenue]]/data[[#This Row],[TotalMiles]]</f>
        <v>8.0747756729810565</v>
      </c>
      <c r="T706" s="26">
        <f>data[[#This Row],[Revenue]]-data[[#This Row],[ShippingCost]]</f>
        <v>707</v>
      </c>
      <c r="U706" s="17">
        <v>8099</v>
      </c>
      <c r="V706" s="17">
        <v>58</v>
      </c>
      <c r="W706" s="17" t="s">
        <v>25</v>
      </c>
      <c r="X706" s="17">
        <v>6</v>
      </c>
      <c r="Y706" s="17">
        <f>data[[#This Row],[DeliveryDate]]-data[[#This Row],[ShipDate]]</f>
        <v>4</v>
      </c>
      <c r="Z706" s="17" t="str">
        <f>IF(data[[#This Row],[Actual Delivery Days]]&gt;AD707,"Yes","No")</f>
        <v>Yes</v>
      </c>
    </row>
    <row r="707" spans="1:26">
      <c r="A707" s="17">
        <v>10450</v>
      </c>
      <c r="B707" s="17">
        <v>2</v>
      </c>
      <c r="C707" s="17">
        <v>8</v>
      </c>
      <c r="D707" s="17" t="s">
        <v>419</v>
      </c>
      <c r="E707" s="17" t="s">
        <v>348</v>
      </c>
      <c r="F707" s="17" t="str">
        <f>TEXT(data[[#This Row],[ShipDate]],"yyyy - mmmm")</f>
        <v>2016 - May</v>
      </c>
      <c r="G707" s="17" t="str">
        <f>data[[#This Row],[OriginCity]] &amp; " - "  &amp; data[[#This Row],[DestinationCity]]</f>
        <v>Chicago - Rockford</v>
      </c>
      <c r="H707" s="17" t="s">
        <v>39</v>
      </c>
      <c r="I707" s="17" t="s">
        <v>31</v>
      </c>
      <c r="J707" s="17">
        <v>4</v>
      </c>
      <c r="K707" s="17" t="s">
        <v>40</v>
      </c>
      <c r="L707" s="17" t="s">
        <v>31</v>
      </c>
      <c r="M707" s="17" t="s">
        <v>231</v>
      </c>
      <c r="N707" s="17">
        <v>201</v>
      </c>
      <c r="O707" s="17">
        <v>201</v>
      </c>
      <c r="P707" s="26">
        <f>(data[[#This Row],[LoadedMiles]]/data[[#This Row],[TotalMiles]])*100</f>
        <v>100</v>
      </c>
      <c r="Q707" s="25">
        <f>data[[#This Row],[ShippingCost]]/data[[#This Row],[TotalMiles]]</f>
        <v>24.074626865671643</v>
      </c>
      <c r="R707" s="17">
        <v>4839</v>
      </c>
      <c r="S707" s="25">
        <f>data[[#This Row],[Revenue]]/data[[#This Row],[TotalMiles]]</f>
        <v>25.601990049751244</v>
      </c>
      <c r="T707" s="26">
        <f>data[[#This Row],[Revenue]]-data[[#This Row],[ShippingCost]]</f>
        <v>307</v>
      </c>
      <c r="U707" s="17">
        <v>5146</v>
      </c>
      <c r="V707" s="17">
        <v>95</v>
      </c>
      <c r="W707" s="17" t="s">
        <v>25</v>
      </c>
      <c r="X707" s="17">
        <v>1</v>
      </c>
      <c r="Y707" s="17">
        <f>data[[#This Row],[DeliveryDate]]-data[[#This Row],[ShipDate]]</f>
        <v>4</v>
      </c>
      <c r="Z707" s="17" t="str">
        <f>IF(data[[#This Row],[Actual Delivery Days]]&gt;AD708,"Yes","No")</f>
        <v>Yes</v>
      </c>
    </row>
    <row r="708" spans="1:26">
      <c r="A708" s="17">
        <v>10457</v>
      </c>
      <c r="B708" s="17">
        <v>2</v>
      </c>
      <c r="C708" s="17">
        <v>4</v>
      </c>
      <c r="D708" s="17" t="s">
        <v>431</v>
      </c>
      <c r="E708" s="17" t="s">
        <v>447</v>
      </c>
      <c r="F708" s="17" t="str">
        <f>TEXT(data[[#This Row],[ShipDate]],"yyyy - mmmm")</f>
        <v>2016 - January</v>
      </c>
      <c r="G708" s="17" t="str">
        <f>data[[#This Row],[OriginCity]] &amp; " - "  &amp; data[[#This Row],[DestinationCity]]</f>
        <v>Green Bay - Joliet</v>
      </c>
      <c r="H708" s="17" t="s">
        <v>75</v>
      </c>
      <c r="I708" s="17" t="s">
        <v>29</v>
      </c>
      <c r="J708" s="17">
        <v>4</v>
      </c>
      <c r="K708" s="17" t="s">
        <v>61</v>
      </c>
      <c r="L708" s="17" t="s">
        <v>31</v>
      </c>
      <c r="M708" s="17" t="s">
        <v>236</v>
      </c>
      <c r="N708" s="17">
        <v>672</v>
      </c>
      <c r="O708" s="17">
        <v>376</v>
      </c>
      <c r="P708" s="26">
        <f>(data[[#This Row],[LoadedMiles]]/data[[#This Row],[TotalMiles]])*100</f>
        <v>55.952380952380956</v>
      </c>
      <c r="Q708" s="25">
        <f>data[[#This Row],[ShippingCost]]/data[[#This Row],[TotalMiles]]</f>
        <v>5.4226190476190474</v>
      </c>
      <c r="R708" s="17">
        <v>3644</v>
      </c>
      <c r="S708" s="25">
        <f>data[[#This Row],[Revenue]]/data[[#This Row],[TotalMiles]]</f>
        <v>2.3214285714285716</v>
      </c>
      <c r="T708" s="26">
        <f>data[[#This Row],[Revenue]]-data[[#This Row],[ShippingCost]]</f>
        <v>-2084</v>
      </c>
      <c r="U708" s="17">
        <v>1560</v>
      </c>
      <c r="V708" s="17">
        <v>84</v>
      </c>
      <c r="W708" s="17" t="s">
        <v>25</v>
      </c>
      <c r="X708" s="17">
        <v>4</v>
      </c>
      <c r="Y708" s="17">
        <f>data[[#This Row],[DeliveryDate]]-data[[#This Row],[ShipDate]]</f>
        <v>4</v>
      </c>
      <c r="Z708" s="17" t="str">
        <f>IF(data[[#This Row],[Actual Delivery Days]]&gt;AD709,"Yes","No")</f>
        <v>Yes</v>
      </c>
    </row>
    <row r="709" spans="1:26">
      <c r="A709" s="17">
        <v>10463</v>
      </c>
      <c r="B709" s="17">
        <v>1</v>
      </c>
      <c r="C709" s="17">
        <v>8</v>
      </c>
      <c r="D709" s="17" t="s">
        <v>440</v>
      </c>
      <c r="E709" s="17" t="s">
        <v>150</v>
      </c>
      <c r="F709" s="17" t="str">
        <f>TEXT(data[[#This Row],[ShipDate]],"yyyy - mmmm")</f>
        <v>2016 - July</v>
      </c>
      <c r="G709" s="17" t="str">
        <f>data[[#This Row],[OriginCity]] &amp; " - "  &amp; data[[#This Row],[DestinationCity]]</f>
        <v>Toledo - Detriot</v>
      </c>
      <c r="H709" s="17" t="s">
        <v>22</v>
      </c>
      <c r="I709" s="17" t="s">
        <v>23</v>
      </c>
      <c r="J709" s="17">
        <v>4</v>
      </c>
      <c r="K709" s="17" t="s">
        <v>52</v>
      </c>
      <c r="L709" s="17" t="s">
        <v>21</v>
      </c>
      <c r="M709" s="17" t="s">
        <v>405</v>
      </c>
      <c r="N709" s="17">
        <v>876</v>
      </c>
      <c r="O709" s="17">
        <v>357</v>
      </c>
      <c r="P709" s="26">
        <f>(data[[#This Row],[LoadedMiles]]/data[[#This Row],[TotalMiles]])*100</f>
        <v>40.753424657534246</v>
      </c>
      <c r="Q709" s="25">
        <f>data[[#This Row],[ShippingCost]]/data[[#This Row],[TotalMiles]]</f>
        <v>4.269406392694064</v>
      </c>
      <c r="R709" s="17">
        <v>3740</v>
      </c>
      <c r="S709" s="25">
        <f>data[[#This Row],[Revenue]]/data[[#This Row],[TotalMiles]]</f>
        <v>5.1632420091324205</v>
      </c>
      <c r="T709" s="26">
        <f>data[[#This Row],[Revenue]]-data[[#This Row],[ShippingCost]]</f>
        <v>783</v>
      </c>
      <c r="U709" s="17">
        <v>4523</v>
      </c>
      <c r="V709" s="17">
        <v>62</v>
      </c>
      <c r="W709" s="17" t="s">
        <v>25</v>
      </c>
      <c r="X709" s="17">
        <v>7</v>
      </c>
      <c r="Y709" s="17">
        <f>data[[#This Row],[DeliveryDate]]-data[[#This Row],[ShipDate]]</f>
        <v>4</v>
      </c>
      <c r="Z709" s="17" t="str">
        <f>IF(data[[#This Row],[Actual Delivery Days]]&gt;AD710,"Yes","No")</f>
        <v>Yes</v>
      </c>
    </row>
    <row r="710" spans="1:26">
      <c r="A710" s="17">
        <v>10481</v>
      </c>
      <c r="B710" s="17">
        <v>2</v>
      </c>
      <c r="C710" s="17">
        <v>6</v>
      </c>
      <c r="D710" s="17" t="s">
        <v>468</v>
      </c>
      <c r="E710" s="17" t="s">
        <v>410</v>
      </c>
      <c r="F710" s="17" t="str">
        <f>TEXT(data[[#This Row],[ShipDate]],"yyyy - mmmm")</f>
        <v>2016 - June</v>
      </c>
      <c r="G710" s="17" t="str">
        <f>data[[#This Row],[OriginCity]] &amp; " - "  &amp; data[[#This Row],[DestinationCity]]</f>
        <v>Rockford - Green Bay</v>
      </c>
      <c r="H710" s="17" t="s">
        <v>40</v>
      </c>
      <c r="I710" s="17" t="s">
        <v>31</v>
      </c>
      <c r="J710" s="17">
        <v>4</v>
      </c>
      <c r="K710" s="17" t="s">
        <v>75</v>
      </c>
      <c r="L710" s="17" t="s">
        <v>29</v>
      </c>
      <c r="M710" s="17" t="s">
        <v>315</v>
      </c>
      <c r="N710" s="17">
        <v>742</v>
      </c>
      <c r="O710" s="17">
        <v>733</v>
      </c>
      <c r="P710" s="26">
        <f>(data[[#This Row],[LoadedMiles]]/data[[#This Row],[TotalMiles]])*100</f>
        <v>98.787061994609161</v>
      </c>
      <c r="Q710" s="25">
        <f>data[[#This Row],[ShippingCost]]/data[[#This Row],[TotalMiles]]</f>
        <v>9.5956873315363875</v>
      </c>
      <c r="R710" s="17">
        <v>7120</v>
      </c>
      <c r="S710" s="25">
        <f>data[[#This Row],[Revenue]]/data[[#This Row],[TotalMiles]]</f>
        <v>10.366576819407008</v>
      </c>
      <c r="T710" s="26">
        <f>data[[#This Row],[Revenue]]-data[[#This Row],[ShippingCost]]</f>
        <v>572</v>
      </c>
      <c r="U710" s="17">
        <v>7692</v>
      </c>
      <c r="V710" s="17">
        <v>78</v>
      </c>
      <c r="W710" s="17" t="s">
        <v>25</v>
      </c>
      <c r="X710" s="17">
        <v>8</v>
      </c>
      <c r="Y710" s="17">
        <f>data[[#This Row],[DeliveryDate]]-data[[#This Row],[ShipDate]]</f>
        <v>4</v>
      </c>
      <c r="Z710" s="17" t="str">
        <f>IF(data[[#This Row],[Actual Delivery Days]]&gt;AD711,"Yes","No")</f>
        <v>Yes</v>
      </c>
    </row>
    <row r="711" spans="1:26">
      <c r="A711" s="17">
        <v>10486</v>
      </c>
      <c r="B711" s="17">
        <v>2</v>
      </c>
      <c r="C711" s="17">
        <v>5</v>
      </c>
      <c r="D711" s="17" t="s">
        <v>476</v>
      </c>
      <c r="E711" s="17" t="s">
        <v>353</v>
      </c>
      <c r="F711" s="17" t="str">
        <f>TEXT(data[[#This Row],[ShipDate]],"yyyy - mmmm")</f>
        <v>2016 - March</v>
      </c>
      <c r="G711" s="17" t="str">
        <f>data[[#This Row],[OriginCity]] &amp; " - "  &amp; data[[#This Row],[DestinationCity]]</f>
        <v>Lansing - Dayton</v>
      </c>
      <c r="H711" s="17" t="s">
        <v>66</v>
      </c>
      <c r="I711" s="17" t="s">
        <v>21</v>
      </c>
      <c r="J711" s="17">
        <v>4</v>
      </c>
      <c r="K711" s="17" t="s">
        <v>93</v>
      </c>
      <c r="L711" s="17" t="s">
        <v>23</v>
      </c>
      <c r="M711" s="17" t="s">
        <v>238</v>
      </c>
      <c r="N711" s="17">
        <v>273</v>
      </c>
      <c r="O711" s="17">
        <v>273</v>
      </c>
      <c r="P711" s="26">
        <f>(data[[#This Row],[LoadedMiles]]/data[[#This Row],[TotalMiles]])*100</f>
        <v>100</v>
      </c>
      <c r="Q711" s="25">
        <f>data[[#This Row],[ShippingCost]]/data[[#This Row],[TotalMiles]]</f>
        <v>12.095238095238095</v>
      </c>
      <c r="R711" s="17">
        <v>3302</v>
      </c>
      <c r="S711" s="25">
        <f>data[[#This Row],[Revenue]]/data[[#This Row],[TotalMiles]]</f>
        <v>12.783882783882785</v>
      </c>
      <c r="T711" s="26">
        <f>data[[#This Row],[Revenue]]-data[[#This Row],[ShippingCost]]</f>
        <v>188</v>
      </c>
      <c r="U711" s="17">
        <v>3490</v>
      </c>
      <c r="V711" s="17">
        <v>71</v>
      </c>
      <c r="W711" s="17" t="s">
        <v>25</v>
      </c>
      <c r="X711" s="17">
        <v>8</v>
      </c>
      <c r="Y711" s="17">
        <f>data[[#This Row],[DeliveryDate]]-data[[#This Row],[ShipDate]]</f>
        <v>4</v>
      </c>
      <c r="Z711" s="17" t="str">
        <f>IF(data[[#This Row],[Actual Delivery Days]]&gt;AD712,"Yes","No")</f>
        <v>Yes</v>
      </c>
    </row>
    <row r="712" spans="1:26">
      <c r="A712" s="17">
        <v>10494</v>
      </c>
      <c r="B712" s="17">
        <v>1</v>
      </c>
      <c r="C712" s="17">
        <v>8</v>
      </c>
      <c r="D712" s="17" t="s">
        <v>488</v>
      </c>
      <c r="E712" s="17" t="s">
        <v>214</v>
      </c>
      <c r="F712" s="17" t="str">
        <f>TEXT(data[[#This Row],[ShipDate]],"yyyy - mmmm")</f>
        <v>2016 - August</v>
      </c>
      <c r="G712" s="17" t="str">
        <f>data[[#This Row],[OriginCity]] &amp; " - "  &amp; data[[#This Row],[DestinationCity]]</f>
        <v>Northbrook - Naperville</v>
      </c>
      <c r="H712" s="17" t="s">
        <v>45</v>
      </c>
      <c r="I712" s="17" t="s">
        <v>31</v>
      </c>
      <c r="J712" s="17">
        <v>4</v>
      </c>
      <c r="K712" s="17" t="s">
        <v>48</v>
      </c>
      <c r="L712" s="17" t="s">
        <v>31</v>
      </c>
      <c r="M712" s="17" t="s">
        <v>597</v>
      </c>
      <c r="N712" s="17">
        <v>1094</v>
      </c>
      <c r="O712" s="17">
        <v>619</v>
      </c>
      <c r="P712" s="26">
        <f>(data[[#This Row],[LoadedMiles]]/data[[#This Row],[TotalMiles]])*100</f>
        <v>56.581352833638022</v>
      </c>
      <c r="Q712" s="25">
        <f>data[[#This Row],[ShippingCost]]/data[[#This Row],[TotalMiles]]</f>
        <v>3.0703839122486287</v>
      </c>
      <c r="R712" s="17">
        <v>3359</v>
      </c>
      <c r="S712" s="25">
        <f>data[[#This Row],[Revenue]]/data[[#This Row],[TotalMiles]]</f>
        <v>3.3692870201096894</v>
      </c>
      <c r="T712" s="26">
        <f>data[[#This Row],[Revenue]]-data[[#This Row],[ShippingCost]]</f>
        <v>327</v>
      </c>
      <c r="U712" s="17">
        <v>3686</v>
      </c>
      <c r="V712" s="17">
        <v>67</v>
      </c>
      <c r="W712" s="17" t="s">
        <v>25</v>
      </c>
      <c r="X712" s="17">
        <v>8</v>
      </c>
      <c r="Y712" s="17">
        <f>data[[#This Row],[DeliveryDate]]-data[[#This Row],[ShipDate]]</f>
        <v>4</v>
      </c>
      <c r="Z712" s="17" t="str">
        <f>IF(data[[#This Row],[Actual Delivery Days]]&gt;AD713,"Yes","No")</f>
        <v>Yes</v>
      </c>
    </row>
    <row r="713" spans="1:26">
      <c r="A713" s="17">
        <v>10498</v>
      </c>
      <c r="B713" s="17">
        <v>1</v>
      </c>
      <c r="C713" s="17">
        <v>5</v>
      </c>
      <c r="D713" s="17" t="s">
        <v>493</v>
      </c>
      <c r="E713" s="17" t="s">
        <v>299</v>
      </c>
      <c r="F713" s="17" t="str">
        <f>TEXT(data[[#This Row],[ShipDate]],"yyyy - mmmm")</f>
        <v>2016 - July</v>
      </c>
      <c r="G713" s="17" t="str">
        <f>data[[#This Row],[OriginCity]] &amp; " - "  &amp; data[[#This Row],[DestinationCity]]</f>
        <v>Monon - Lansing</v>
      </c>
      <c r="H713" s="17" t="s">
        <v>53</v>
      </c>
      <c r="I713" s="17" t="s">
        <v>44</v>
      </c>
      <c r="J713" s="17">
        <v>4</v>
      </c>
      <c r="K713" s="17" t="s">
        <v>66</v>
      </c>
      <c r="L713" s="17" t="s">
        <v>21</v>
      </c>
      <c r="M713" s="17" t="s">
        <v>24</v>
      </c>
      <c r="N713" s="17">
        <v>464</v>
      </c>
      <c r="O713" s="17">
        <v>464</v>
      </c>
      <c r="P713" s="26">
        <f>(data[[#This Row],[LoadedMiles]]/data[[#This Row],[TotalMiles]])*100</f>
        <v>100</v>
      </c>
      <c r="Q713" s="25">
        <f>data[[#This Row],[ShippingCost]]/data[[#This Row],[TotalMiles]]</f>
        <v>9.8793103448275854</v>
      </c>
      <c r="R713" s="17">
        <v>4584</v>
      </c>
      <c r="S713" s="25">
        <f>data[[#This Row],[Revenue]]/data[[#This Row],[TotalMiles]]</f>
        <v>11.967672413793103</v>
      </c>
      <c r="T713" s="26">
        <f>data[[#This Row],[Revenue]]-data[[#This Row],[ShippingCost]]</f>
        <v>969</v>
      </c>
      <c r="U713" s="17">
        <v>5553</v>
      </c>
      <c r="V713" s="17">
        <v>89</v>
      </c>
      <c r="W713" s="17" t="s">
        <v>25</v>
      </c>
      <c r="X713" s="17">
        <v>3</v>
      </c>
      <c r="Y713" s="17">
        <f>data[[#This Row],[DeliveryDate]]-data[[#This Row],[ShipDate]]</f>
        <v>4</v>
      </c>
      <c r="Z713" s="17" t="str">
        <f>IF(data[[#This Row],[Actual Delivery Days]]&gt;AD714,"Yes","No")</f>
        <v>Yes</v>
      </c>
    </row>
    <row r="714" spans="1:26">
      <c r="A714" s="17">
        <v>10500</v>
      </c>
      <c r="B714" s="17">
        <v>1</v>
      </c>
      <c r="C714" s="17">
        <v>6</v>
      </c>
      <c r="D714" s="17" t="s">
        <v>495</v>
      </c>
      <c r="E714" s="17" t="s">
        <v>316</v>
      </c>
      <c r="F714" s="17" t="str">
        <f>TEXT(data[[#This Row],[ShipDate]],"yyyy - mmmm")</f>
        <v>2016 - June</v>
      </c>
      <c r="G714" s="17" t="str">
        <f>data[[#This Row],[OriginCity]] &amp; " - "  &amp; data[[#This Row],[DestinationCity]]</f>
        <v>Green Bay - Joliet</v>
      </c>
      <c r="H714" s="17" t="s">
        <v>75</v>
      </c>
      <c r="I714" s="17" t="s">
        <v>29</v>
      </c>
      <c r="J714" s="17">
        <v>4</v>
      </c>
      <c r="K714" s="17" t="s">
        <v>61</v>
      </c>
      <c r="L714" s="17" t="s">
        <v>31</v>
      </c>
      <c r="M714" s="17" t="s">
        <v>617</v>
      </c>
      <c r="N714" s="17">
        <v>1027</v>
      </c>
      <c r="O714" s="17">
        <v>756</v>
      </c>
      <c r="P714" s="26">
        <f>(data[[#This Row],[LoadedMiles]]/data[[#This Row],[TotalMiles]])*100</f>
        <v>73.612463485881207</v>
      </c>
      <c r="Q714" s="25">
        <f>data[[#This Row],[ShippingCost]]/data[[#This Row],[TotalMiles]]</f>
        <v>4.6786757546251216</v>
      </c>
      <c r="R714" s="17">
        <v>4805</v>
      </c>
      <c r="S714" s="25">
        <f>data[[#This Row],[Revenue]]/data[[#This Row],[TotalMiles]]</f>
        <v>5.6338851022395326</v>
      </c>
      <c r="T714" s="26">
        <f>data[[#This Row],[Revenue]]-data[[#This Row],[ShippingCost]]</f>
        <v>981</v>
      </c>
      <c r="U714" s="17">
        <v>5786</v>
      </c>
      <c r="V714" s="17">
        <v>67</v>
      </c>
      <c r="W714" s="17" t="s">
        <v>25</v>
      </c>
      <c r="X714" s="17">
        <v>7</v>
      </c>
      <c r="Y714" s="17">
        <f>data[[#This Row],[DeliveryDate]]-data[[#This Row],[ShipDate]]</f>
        <v>4</v>
      </c>
      <c r="Z714" s="17" t="str">
        <f>IF(data[[#This Row],[Actual Delivery Days]]&gt;AD715,"Yes","No")</f>
        <v>Yes</v>
      </c>
    </row>
    <row r="715" spans="1:26">
      <c r="A715" s="17">
        <v>10504</v>
      </c>
      <c r="B715" s="17">
        <v>1</v>
      </c>
      <c r="C715" s="17">
        <v>5</v>
      </c>
      <c r="D715" s="17" t="s">
        <v>502</v>
      </c>
      <c r="E715" s="17" t="s">
        <v>88</v>
      </c>
      <c r="F715" s="17" t="str">
        <f>TEXT(data[[#This Row],[ShipDate]],"yyyy - mmmm")</f>
        <v>2016 - February</v>
      </c>
      <c r="G715" s="17" t="str">
        <f>data[[#This Row],[OriginCity]] &amp; " - "  &amp; data[[#This Row],[DestinationCity]]</f>
        <v>Dayton - Elgin</v>
      </c>
      <c r="H715" s="17" t="s">
        <v>93</v>
      </c>
      <c r="I715" s="17" t="s">
        <v>23</v>
      </c>
      <c r="J715" s="17">
        <v>4</v>
      </c>
      <c r="K715" s="17" t="s">
        <v>94</v>
      </c>
      <c r="L715" s="17" t="s">
        <v>31</v>
      </c>
      <c r="M715" s="17" t="s">
        <v>460</v>
      </c>
      <c r="N715" s="17">
        <v>932</v>
      </c>
      <c r="O715" s="17">
        <v>341</v>
      </c>
      <c r="P715" s="26">
        <f>(data[[#This Row],[LoadedMiles]]/data[[#This Row],[TotalMiles]])*100</f>
        <v>36.587982832618025</v>
      </c>
      <c r="Q715" s="25">
        <f>data[[#This Row],[ShippingCost]]/data[[#This Row],[TotalMiles]]</f>
        <v>4.9613733905579398</v>
      </c>
      <c r="R715" s="17">
        <v>4624</v>
      </c>
      <c r="S715" s="25">
        <f>data[[#This Row],[Revenue]]/data[[#This Row],[TotalMiles]]</f>
        <v>5.1534334763948495</v>
      </c>
      <c r="T715" s="26">
        <f>data[[#This Row],[Revenue]]-data[[#This Row],[ShippingCost]]</f>
        <v>179</v>
      </c>
      <c r="U715" s="17">
        <v>4803</v>
      </c>
      <c r="V715" s="17">
        <v>92</v>
      </c>
      <c r="W715" s="17" t="s">
        <v>25</v>
      </c>
      <c r="X715" s="17">
        <v>5</v>
      </c>
      <c r="Y715" s="17">
        <f>data[[#This Row],[DeliveryDate]]-data[[#This Row],[ShipDate]]</f>
        <v>3</v>
      </c>
      <c r="Z715" s="17" t="str">
        <f>IF(data[[#This Row],[Actual Delivery Days]]&gt;AD716,"Yes","No")</f>
        <v>Yes</v>
      </c>
    </row>
    <row r="716" spans="1:26">
      <c r="A716" s="17">
        <v>10518</v>
      </c>
      <c r="B716" s="17">
        <v>1</v>
      </c>
      <c r="C716" s="17">
        <v>4</v>
      </c>
      <c r="D716" s="17" t="s">
        <v>519</v>
      </c>
      <c r="E716" s="17" t="s">
        <v>422</v>
      </c>
      <c r="F716" s="17" t="str">
        <f>TEXT(data[[#This Row],[ShipDate]],"yyyy - mmmm")</f>
        <v>2016 - August</v>
      </c>
      <c r="G716" s="17" t="str">
        <f>data[[#This Row],[OriginCity]] &amp; " - "  &amp; data[[#This Row],[DestinationCity]]</f>
        <v>Gary - Milwaukee</v>
      </c>
      <c r="H716" s="17" t="s">
        <v>57</v>
      </c>
      <c r="I716" s="17" t="s">
        <v>44</v>
      </c>
      <c r="J716" s="17">
        <v>4</v>
      </c>
      <c r="K716" s="17" t="s">
        <v>28</v>
      </c>
      <c r="L716" s="17" t="s">
        <v>29</v>
      </c>
      <c r="M716" s="17" t="s">
        <v>212</v>
      </c>
      <c r="N716" s="17">
        <v>246</v>
      </c>
      <c r="O716" s="17">
        <v>246</v>
      </c>
      <c r="P716" s="26">
        <f>(data[[#This Row],[LoadedMiles]]/data[[#This Row],[TotalMiles]])*100</f>
        <v>100</v>
      </c>
      <c r="Q716" s="25">
        <f>data[[#This Row],[ShippingCost]]/data[[#This Row],[TotalMiles]]</f>
        <v>12.447154471544716</v>
      </c>
      <c r="R716" s="17">
        <v>3062</v>
      </c>
      <c r="S716" s="25">
        <f>data[[#This Row],[Revenue]]/data[[#This Row],[TotalMiles]]</f>
        <v>4.821138211382114</v>
      </c>
      <c r="T716" s="26">
        <f>data[[#This Row],[Revenue]]-data[[#This Row],[ShippingCost]]</f>
        <v>-1876</v>
      </c>
      <c r="U716" s="17">
        <v>1186</v>
      </c>
      <c r="V716" s="17">
        <v>66</v>
      </c>
      <c r="W716" s="17" t="s">
        <v>25</v>
      </c>
      <c r="X716" s="17">
        <v>9</v>
      </c>
      <c r="Y716" s="17">
        <f>data[[#This Row],[DeliveryDate]]-data[[#This Row],[ShipDate]]</f>
        <v>4</v>
      </c>
      <c r="Z716" s="17" t="str">
        <f>IF(data[[#This Row],[Actual Delivery Days]]&gt;AD717,"Yes","No")</f>
        <v>Yes</v>
      </c>
    </row>
    <row r="717" spans="1:26">
      <c r="A717" s="17">
        <v>10530</v>
      </c>
      <c r="B717" s="17">
        <v>1</v>
      </c>
      <c r="C717" s="17">
        <v>8</v>
      </c>
      <c r="D717" s="17" t="s">
        <v>538</v>
      </c>
      <c r="E717" s="17" t="s">
        <v>430</v>
      </c>
      <c r="F717" s="17" t="str">
        <f>TEXT(data[[#This Row],[ShipDate]],"yyyy - mmmm")</f>
        <v>2016 - March</v>
      </c>
      <c r="G717" s="17" t="str">
        <f>data[[#This Row],[OriginCity]] &amp; " - "  &amp; data[[#This Row],[DestinationCity]]</f>
        <v>Elgin - Cincinnati</v>
      </c>
      <c r="H717" s="17" t="s">
        <v>94</v>
      </c>
      <c r="I717" s="17" t="s">
        <v>31</v>
      </c>
      <c r="J717" s="17">
        <v>4</v>
      </c>
      <c r="K717" s="17" t="s">
        <v>89</v>
      </c>
      <c r="L717" s="17" t="s">
        <v>23</v>
      </c>
      <c r="M717" s="17" t="s">
        <v>454</v>
      </c>
      <c r="N717" s="17">
        <v>827</v>
      </c>
      <c r="O717" s="17">
        <v>565</v>
      </c>
      <c r="P717" s="26">
        <f>(data[[#This Row],[LoadedMiles]]/data[[#This Row],[TotalMiles]])*100</f>
        <v>68.319226118500609</v>
      </c>
      <c r="Q717" s="25">
        <f>data[[#This Row],[ShippingCost]]/data[[#This Row],[TotalMiles]]</f>
        <v>6.97944377267231</v>
      </c>
      <c r="R717" s="17">
        <v>5772</v>
      </c>
      <c r="S717" s="25">
        <f>data[[#This Row],[Revenue]]/data[[#This Row],[TotalMiles]]</f>
        <v>7.3482466747279327</v>
      </c>
      <c r="T717" s="26">
        <f>data[[#This Row],[Revenue]]-data[[#This Row],[ShippingCost]]</f>
        <v>305</v>
      </c>
      <c r="U717" s="17">
        <v>6077</v>
      </c>
      <c r="V717" s="17">
        <v>56</v>
      </c>
      <c r="W717" s="17" t="s">
        <v>25</v>
      </c>
      <c r="X717" s="17">
        <v>5</v>
      </c>
      <c r="Y717" s="17">
        <f>data[[#This Row],[DeliveryDate]]-data[[#This Row],[ShipDate]]</f>
        <v>4</v>
      </c>
      <c r="Z717" s="17" t="str">
        <f>IF(data[[#This Row],[Actual Delivery Days]]&gt;AD718,"Yes","No")</f>
        <v>Yes</v>
      </c>
    </row>
    <row r="718" spans="1:26">
      <c r="A718" s="17">
        <v>10536</v>
      </c>
      <c r="B718" s="17">
        <v>2</v>
      </c>
      <c r="C718" s="17">
        <v>6</v>
      </c>
      <c r="D718" s="17" t="s">
        <v>546</v>
      </c>
      <c r="E718" s="17" t="s">
        <v>531</v>
      </c>
      <c r="F718" s="17" t="str">
        <f>TEXT(data[[#This Row],[ShipDate]],"yyyy - mmmm")</f>
        <v>2016 - January</v>
      </c>
      <c r="G718" s="17" t="str">
        <f>data[[#This Row],[OriginCity]] &amp; " - "  &amp; data[[#This Row],[DestinationCity]]</f>
        <v>Springfield - Skokie</v>
      </c>
      <c r="H718" s="17" t="s">
        <v>30</v>
      </c>
      <c r="I718" s="17" t="s">
        <v>31</v>
      </c>
      <c r="J718" s="17">
        <v>4</v>
      </c>
      <c r="K718" s="17" t="s">
        <v>35</v>
      </c>
      <c r="L718" s="17" t="s">
        <v>31</v>
      </c>
      <c r="M718" s="17" t="s">
        <v>263</v>
      </c>
      <c r="N718" s="17">
        <v>1153</v>
      </c>
      <c r="O718" s="17">
        <v>360</v>
      </c>
      <c r="P718" s="26">
        <f>(data[[#This Row],[LoadedMiles]]/data[[#This Row],[TotalMiles]])*100</f>
        <v>31.222896790980055</v>
      </c>
      <c r="Q718" s="25">
        <f>data[[#This Row],[ShippingCost]]/data[[#This Row],[TotalMiles]]</f>
        <v>1.1049436253252385</v>
      </c>
      <c r="R718" s="17">
        <v>1274</v>
      </c>
      <c r="S718" s="25">
        <f>data[[#This Row],[Revenue]]/data[[#This Row],[TotalMiles]]</f>
        <v>1.8993928881179531</v>
      </c>
      <c r="T718" s="26">
        <f>data[[#This Row],[Revenue]]-data[[#This Row],[ShippingCost]]</f>
        <v>916</v>
      </c>
      <c r="U718" s="17">
        <v>2190</v>
      </c>
      <c r="V718" s="17">
        <v>64</v>
      </c>
      <c r="W718" s="17" t="s">
        <v>25</v>
      </c>
      <c r="X718" s="17">
        <v>10</v>
      </c>
      <c r="Y718" s="17">
        <f>data[[#This Row],[DeliveryDate]]-data[[#This Row],[ShipDate]]</f>
        <v>4</v>
      </c>
      <c r="Z718" s="17" t="str">
        <f>IF(data[[#This Row],[Actual Delivery Days]]&gt;AD719,"Yes","No")</f>
        <v>Yes</v>
      </c>
    </row>
    <row r="719" spans="1:26">
      <c r="A719" s="17">
        <v>10547</v>
      </c>
      <c r="B719" s="17">
        <v>2</v>
      </c>
      <c r="C719" s="17">
        <v>7</v>
      </c>
      <c r="D719" s="17" t="s">
        <v>562</v>
      </c>
      <c r="E719" s="17" t="s">
        <v>324</v>
      </c>
      <c r="F719" s="17" t="str">
        <f>TEXT(data[[#This Row],[ShipDate]],"yyyy - mmmm")</f>
        <v>2016 - March</v>
      </c>
      <c r="G719" s="17" t="str">
        <f>data[[#This Row],[OriginCity]] &amp; " - "  &amp; data[[#This Row],[DestinationCity]]</f>
        <v>Toledo - Detriot</v>
      </c>
      <c r="H719" s="17" t="s">
        <v>22</v>
      </c>
      <c r="I719" s="17" t="s">
        <v>23</v>
      </c>
      <c r="J719" s="17">
        <v>4</v>
      </c>
      <c r="K719" s="17" t="s">
        <v>52</v>
      </c>
      <c r="L719" s="17" t="s">
        <v>21</v>
      </c>
      <c r="M719" s="17" t="s">
        <v>125</v>
      </c>
      <c r="N719" s="17">
        <v>1039</v>
      </c>
      <c r="O719" s="17">
        <v>547</v>
      </c>
      <c r="P719" s="26">
        <f>(data[[#This Row],[LoadedMiles]]/data[[#This Row],[TotalMiles]])*100</f>
        <v>52.646775745909522</v>
      </c>
      <c r="Q719" s="25">
        <f>data[[#This Row],[ShippingCost]]/data[[#This Row],[TotalMiles]]</f>
        <v>3.8537054860442734</v>
      </c>
      <c r="R719" s="17">
        <v>4004</v>
      </c>
      <c r="S719" s="25">
        <f>data[[#This Row],[Revenue]]/data[[#This Row],[TotalMiles]]</f>
        <v>4.4398460057747835</v>
      </c>
      <c r="T719" s="26">
        <f>data[[#This Row],[Revenue]]-data[[#This Row],[ShippingCost]]</f>
        <v>609</v>
      </c>
      <c r="U719" s="17">
        <v>4613</v>
      </c>
      <c r="V719" s="17">
        <v>61</v>
      </c>
      <c r="W719" s="17" t="s">
        <v>25</v>
      </c>
      <c r="X719" s="17">
        <v>4</v>
      </c>
      <c r="Y719" s="17">
        <f>data[[#This Row],[DeliveryDate]]-data[[#This Row],[ShipDate]]</f>
        <v>4</v>
      </c>
      <c r="Z719" s="17" t="str">
        <f>IF(data[[#This Row],[Actual Delivery Days]]&gt;AD720,"Yes","No")</f>
        <v>Yes</v>
      </c>
    </row>
    <row r="720" spans="1:26">
      <c r="A720" s="17">
        <v>10555</v>
      </c>
      <c r="B720" s="17">
        <v>1</v>
      </c>
      <c r="C720" s="17">
        <v>8</v>
      </c>
      <c r="D720" s="17" t="s">
        <v>572</v>
      </c>
      <c r="E720" s="17" t="s">
        <v>19</v>
      </c>
      <c r="F720" s="17" t="str">
        <f>TEXT(data[[#This Row],[ShipDate]],"yyyy - mmmm")</f>
        <v>2016 - July</v>
      </c>
      <c r="G720" s="17" t="str">
        <f>data[[#This Row],[OriginCity]] &amp; " - "  &amp; data[[#This Row],[DestinationCity]]</f>
        <v>Springfield - Skokie</v>
      </c>
      <c r="H720" s="17" t="s">
        <v>30</v>
      </c>
      <c r="I720" s="17" t="s">
        <v>31</v>
      </c>
      <c r="J720" s="17">
        <v>4</v>
      </c>
      <c r="K720" s="17" t="s">
        <v>35</v>
      </c>
      <c r="L720" s="17" t="s">
        <v>31</v>
      </c>
      <c r="M720" s="17" t="s">
        <v>191</v>
      </c>
      <c r="N720" s="17">
        <v>232</v>
      </c>
      <c r="O720" s="17">
        <v>232</v>
      </c>
      <c r="P720" s="26">
        <f>(data[[#This Row],[LoadedMiles]]/data[[#This Row],[TotalMiles]])*100</f>
        <v>100</v>
      </c>
      <c r="Q720" s="25">
        <f>data[[#This Row],[ShippingCost]]/data[[#This Row],[TotalMiles]]</f>
        <v>14.655172413793103</v>
      </c>
      <c r="R720" s="17">
        <v>3400</v>
      </c>
      <c r="S720" s="25">
        <f>data[[#This Row],[Revenue]]/data[[#This Row],[TotalMiles]]</f>
        <v>16.081896551724139</v>
      </c>
      <c r="T720" s="26">
        <f>data[[#This Row],[Revenue]]-data[[#This Row],[ShippingCost]]</f>
        <v>331</v>
      </c>
      <c r="U720" s="17">
        <v>3731</v>
      </c>
      <c r="V720" s="17">
        <v>63</v>
      </c>
      <c r="W720" s="17" t="s">
        <v>25</v>
      </c>
      <c r="X720" s="17">
        <v>2</v>
      </c>
      <c r="Y720" s="17">
        <f>data[[#This Row],[DeliveryDate]]-data[[#This Row],[ShipDate]]</f>
        <v>4</v>
      </c>
      <c r="Z720" s="17" t="str">
        <f>IF(data[[#This Row],[Actual Delivery Days]]&gt;AD721,"Yes","No")</f>
        <v>Yes</v>
      </c>
    </row>
    <row r="721" spans="1:26">
      <c r="A721" s="17">
        <v>10569</v>
      </c>
      <c r="B721" s="17">
        <v>2</v>
      </c>
      <c r="C721" s="17">
        <v>7</v>
      </c>
      <c r="D721" s="17" t="s">
        <v>589</v>
      </c>
      <c r="E721" s="17" t="s">
        <v>426</v>
      </c>
      <c r="F721" s="17" t="str">
        <f>TEXT(data[[#This Row],[ShipDate]],"yyyy - mmmm")</f>
        <v>2016 - July</v>
      </c>
      <c r="G721" s="17" t="str">
        <f>data[[#This Row],[OriginCity]] &amp; " - "  &amp; data[[#This Row],[DestinationCity]]</f>
        <v>Dayton - Elgin</v>
      </c>
      <c r="H721" s="17" t="s">
        <v>93</v>
      </c>
      <c r="I721" s="17" t="s">
        <v>23</v>
      </c>
      <c r="J721" s="17">
        <v>4</v>
      </c>
      <c r="K721" s="17" t="s">
        <v>94</v>
      </c>
      <c r="L721" s="17" t="s">
        <v>31</v>
      </c>
      <c r="M721" s="17" t="s">
        <v>467</v>
      </c>
      <c r="N721" s="17">
        <v>922</v>
      </c>
      <c r="O721" s="17">
        <v>572</v>
      </c>
      <c r="P721" s="26">
        <f>(data[[#This Row],[LoadedMiles]]/data[[#This Row],[TotalMiles]])*100</f>
        <v>62.039045553145336</v>
      </c>
      <c r="Q721" s="25">
        <f>data[[#This Row],[ShippingCost]]/data[[#This Row],[TotalMiles]]</f>
        <v>4.9229934924078087</v>
      </c>
      <c r="R721" s="17">
        <v>4539</v>
      </c>
      <c r="S721" s="25">
        <f>data[[#This Row],[Revenue]]/data[[#This Row],[TotalMiles]]</f>
        <v>5.8492407809110629</v>
      </c>
      <c r="T721" s="26">
        <f>data[[#This Row],[Revenue]]-data[[#This Row],[ShippingCost]]</f>
        <v>854</v>
      </c>
      <c r="U721" s="17">
        <v>5393</v>
      </c>
      <c r="V721" s="17">
        <v>65</v>
      </c>
      <c r="W721" s="17" t="s">
        <v>25</v>
      </c>
      <c r="X721" s="17">
        <v>1</v>
      </c>
      <c r="Y721" s="17">
        <f>data[[#This Row],[DeliveryDate]]-data[[#This Row],[ShipDate]]</f>
        <v>2</v>
      </c>
      <c r="Z721" s="17" t="str">
        <f>IF(data[[#This Row],[Actual Delivery Days]]&gt;AD722,"Yes","No")</f>
        <v>Yes</v>
      </c>
    </row>
    <row r="722" spans="1:26">
      <c r="A722" s="17">
        <v>10575</v>
      </c>
      <c r="B722" s="17">
        <v>2</v>
      </c>
      <c r="C722" s="17">
        <v>5</v>
      </c>
      <c r="D722" s="17" t="s">
        <v>595</v>
      </c>
      <c r="E722" s="17" t="s">
        <v>268</v>
      </c>
      <c r="F722" s="17" t="str">
        <f>TEXT(data[[#This Row],[ShipDate]],"yyyy - mmmm")</f>
        <v>2016 - February</v>
      </c>
      <c r="G722" s="17" t="str">
        <f>data[[#This Row],[OriginCity]] &amp; " - "  &amp; data[[#This Row],[DestinationCity]]</f>
        <v>Kalamazoo - Bangor</v>
      </c>
      <c r="H722" s="17" t="s">
        <v>71</v>
      </c>
      <c r="I722" s="17" t="s">
        <v>21</v>
      </c>
      <c r="J722" s="17">
        <v>4</v>
      </c>
      <c r="K722" s="17" t="s">
        <v>104</v>
      </c>
      <c r="L722" s="17" t="s">
        <v>21</v>
      </c>
      <c r="M722" s="17" t="s">
        <v>332</v>
      </c>
      <c r="N722" s="17">
        <v>245</v>
      </c>
      <c r="O722" s="17">
        <v>245</v>
      </c>
      <c r="P722" s="26">
        <f>(data[[#This Row],[LoadedMiles]]/data[[#This Row],[TotalMiles]])*100</f>
        <v>100</v>
      </c>
      <c r="Q722" s="25">
        <f>data[[#This Row],[ShippingCost]]/data[[#This Row],[TotalMiles]]</f>
        <v>12.653061224489797</v>
      </c>
      <c r="R722" s="17">
        <v>3100</v>
      </c>
      <c r="S722" s="25">
        <f>data[[#This Row],[Revenue]]/data[[#This Row],[TotalMiles]]</f>
        <v>14.657142857142857</v>
      </c>
      <c r="T722" s="26">
        <f>data[[#This Row],[Revenue]]-data[[#This Row],[ShippingCost]]</f>
        <v>491</v>
      </c>
      <c r="U722" s="17">
        <v>3591</v>
      </c>
      <c r="V722" s="17">
        <v>62</v>
      </c>
      <c r="W722" s="17" t="s">
        <v>25</v>
      </c>
      <c r="X722" s="17">
        <v>10</v>
      </c>
      <c r="Y722" s="17">
        <f>data[[#This Row],[DeliveryDate]]-data[[#This Row],[ShipDate]]</f>
        <v>4</v>
      </c>
      <c r="Z722" s="17" t="str">
        <f>IF(data[[#This Row],[Actual Delivery Days]]&gt;AD723,"Yes","No")</f>
        <v>Yes</v>
      </c>
    </row>
    <row r="723" spans="1:26">
      <c r="A723" s="17">
        <v>10583</v>
      </c>
      <c r="B723" s="17">
        <v>1</v>
      </c>
      <c r="C723" s="17">
        <v>4</v>
      </c>
      <c r="D723" s="17" t="s">
        <v>605</v>
      </c>
      <c r="E723" s="17" t="s">
        <v>606</v>
      </c>
      <c r="F723" s="17" t="str">
        <f>TEXT(data[[#This Row],[ShipDate]],"yyyy - mmmm")</f>
        <v>2016 - May</v>
      </c>
      <c r="G723" s="17" t="str">
        <f>data[[#This Row],[OriginCity]] &amp; " - "  &amp; data[[#This Row],[DestinationCity]]</f>
        <v>Gary - Milwaukee</v>
      </c>
      <c r="H723" s="17" t="s">
        <v>57</v>
      </c>
      <c r="I723" s="17" t="s">
        <v>44</v>
      </c>
      <c r="J723" s="17">
        <v>4</v>
      </c>
      <c r="K723" s="17" t="s">
        <v>28</v>
      </c>
      <c r="L723" s="17" t="s">
        <v>29</v>
      </c>
      <c r="M723" s="17" t="s">
        <v>226</v>
      </c>
      <c r="N723" s="17">
        <v>524</v>
      </c>
      <c r="O723" s="17">
        <v>451</v>
      </c>
      <c r="P723" s="26">
        <f>(data[[#This Row],[LoadedMiles]]/data[[#This Row],[TotalMiles]])*100</f>
        <v>86.068702290076331</v>
      </c>
      <c r="Q723" s="25">
        <f>data[[#This Row],[ShippingCost]]/data[[#This Row],[TotalMiles]]</f>
        <v>8.1603053435114496</v>
      </c>
      <c r="R723" s="17">
        <v>4276</v>
      </c>
      <c r="S723" s="25">
        <f>data[[#This Row],[Revenue]]/data[[#This Row],[TotalMiles]]</f>
        <v>4.6221374045801529</v>
      </c>
      <c r="T723" s="26">
        <f>data[[#This Row],[Revenue]]-data[[#This Row],[ShippingCost]]</f>
        <v>-1854</v>
      </c>
      <c r="U723" s="17">
        <v>2422</v>
      </c>
      <c r="V723" s="17">
        <v>58</v>
      </c>
      <c r="W723" s="17" t="s">
        <v>25</v>
      </c>
      <c r="X723" s="17">
        <v>7</v>
      </c>
      <c r="Y723" s="17">
        <f>data[[#This Row],[DeliveryDate]]-data[[#This Row],[ShipDate]]</f>
        <v>4</v>
      </c>
      <c r="Z723" s="17" t="str">
        <f>IF(data[[#This Row],[Actual Delivery Days]]&gt;AD724,"Yes","No")</f>
        <v>Yes</v>
      </c>
    </row>
    <row r="724" spans="1:26">
      <c r="A724" s="17">
        <v>10604</v>
      </c>
      <c r="B724" s="17">
        <v>2</v>
      </c>
      <c r="C724" s="17">
        <v>5</v>
      </c>
      <c r="D724" s="17" t="s">
        <v>110</v>
      </c>
      <c r="E724" s="17" t="s">
        <v>274</v>
      </c>
      <c r="F724" s="17" t="str">
        <f>TEXT(data[[#This Row],[ShipDate]],"yyyy - mmmm")</f>
        <v>2016 - March</v>
      </c>
      <c r="G724" s="17" t="str">
        <f>data[[#This Row],[OriginCity]] &amp; " - "  &amp; data[[#This Row],[DestinationCity]]</f>
        <v>Northbrook - Naperville</v>
      </c>
      <c r="H724" s="17" t="s">
        <v>45</v>
      </c>
      <c r="I724" s="17" t="s">
        <v>31</v>
      </c>
      <c r="J724" s="17">
        <v>4</v>
      </c>
      <c r="K724" s="17" t="s">
        <v>48</v>
      </c>
      <c r="L724" s="17" t="s">
        <v>31</v>
      </c>
      <c r="M724" s="17" t="s">
        <v>430</v>
      </c>
      <c r="N724" s="17">
        <v>1001</v>
      </c>
      <c r="O724" s="17">
        <v>788</v>
      </c>
      <c r="P724" s="26">
        <f>(data[[#This Row],[LoadedMiles]]/data[[#This Row],[TotalMiles]])*100</f>
        <v>78.721278721278722</v>
      </c>
      <c r="Q724" s="25">
        <f>data[[#This Row],[ShippingCost]]/data[[#This Row],[TotalMiles]]</f>
        <v>4.2437562437562439</v>
      </c>
      <c r="R724" s="17">
        <v>4248</v>
      </c>
      <c r="S724" s="25">
        <f>data[[#This Row],[Revenue]]/data[[#This Row],[TotalMiles]]</f>
        <v>4.6923076923076925</v>
      </c>
      <c r="T724" s="26">
        <f>data[[#This Row],[Revenue]]-data[[#This Row],[ShippingCost]]</f>
        <v>449</v>
      </c>
      <c r="U724" s="17">
        <v>4697</v>
      </c>
      <c r="V724" s="17">
        <v>78</v>
      </c>
      <c r="W724" s="17" t="s">
        <v>25</v>
      </c>
      <c r="X724" s="17">
        <v>7</v>
      </c>
      <c r="Y724" s="17">
        <f>data[[#This Row],[DeliveryDate]]-data[[#This Row],[ShipDate]]</f>
        <v>4</v>
      </c>
      <c r="Z724" s="17" t="str">
        <f>IF(data[[#This Row],[Actual Delivery Days]]&gt;AD725,"Yes","No")</f>
        <v>Yes</v>
      </c>
    </row>
    <row r="725" spans="1:26">
      <c r="A725" s="17">
        <v>10610</v>
      </c>
      <c r="B725" s="17">
        <v>2</v>
      </c>
      <c r="C725" s="17">
        <v>8</v>
      </c>
      <c r="D725" s="17" t="s">
        <v>126</v>
      </c>
      <c r="E725" s="17" t="s">
        <v>156</v>
      </c>
      <c r="F725" s="17" t="str">
        <f>TEXT(data[[#This Row],[ShipDate]],"yyyy - mmmm")</f>
        <v>2016 - July</v>
      </c>
      <c r="G725" s="17" t="str">
        <f>data[[#This Row],[OriginCity]] &amp; " - "  &amp; data[[#This Row],[DestinationCity]]</f>
        <v>Green Bay - Joliet</v>
      </c>
      <c r="H725" s="17" t="s">
        <v>75</v>
      </c>
      <c r="I725" s="17" t="s">
        <v>29</v>
      </c>
      <c r="J725" s="17">
        <v>4</v>
      </c>
      <c r="K725" s="17" t="s">
        <v>61</v>
      </c>
      <c r="L725" s="17" t="s">
        <v>31</v>
      </c>
      <c r="M725" s="17" t="s">
        <v>144</v>
      </c>
      <c r="N725" s="17">
        <v>373</v>
      </c>
      <c r="O725" s="17">
        <v>366</v>
      </c>
      <c r="P725" s="26">
        <f>(data[[#This Row],[LoadedMiles]]/data[[#This Row],[TotalMiles]])*100</f>
        <v>98.123324396782834</v>
      </c>
      <c r="Q725" s="25">
        <f>data[[#This Row],[ShippingCost]]/data[[#This Row],[TotalMiles]]</f>
        <v>12.450402144772118</v>
      </c>
      <c r="R725" s="17">
        <v>4644</v>
      </c>
      <c r="S725" s="25">
        <f>data[[#This Row],[Revenue]]/data[[#This Row],[TotalMiles]]</f>
        <v>14.576407506702413</v>
      </c>
      <c r="T725" s="26">
        <f>data[[#This Row],[Revenue]]-data[[#This Row],[ShippingCost]]</f>
        <v>793</v>
      </c>
      <c r="U725" s="17">
        <v>5437</v>
      </c>
      <c r="V725" s="17">
        <v>70</v>
      </c>
      <c r="W725" s="17" t="s">
        <v>25</v>
      </c>
      <c r="X725" s="17">
        <v>2</v>
      </c>
      <c r="Y725" s="17">
        <f>data[[#This Row],[DeliveryDate]]-data[[#This Row],[ShipDate]]</f>
        <v>4</v>
      </c>
      <c r="Z725" s="17" t="str">
        <f>IF(data[[#This Row],[Actual Delivery Days]]&gt;AD726,"Yes","No")</f>
        <v>Yes</v>
      </c>
    </row>
    <row r="726" spans="1:26">
      <c r="A726" s="17">
        <v>10623</v>
      </c>
      <c r="B726" s="17">
        <v>2</v>
      </c>
      <c r="C726" s="17">
        <v>8</v>
      </c>
      <c r="D726" s="17" t="s">
        <v>165</v>
      </c>
      <c r="E726" s="17" t="s">
        <v>607</v>
      </c>
      <c r="F726" s="17" t="str">
        <f>TEXT(data[[#This Row],[ShipDate]],"yyyy - mmmm")</f>
        <v>2016 - June</v>
      </c>
      <c r="G726" s="17" t="str">
        <f>data[[#This Row],[OriginCity]] &amp; " - "  &amp; data[[#This Row],[DestinationCity]]</f>
        <v>Milwaukee - Springfield</v>
      </c>
      <c r="H726" s="17" t="s">
        <v>28</v>
      </c>
      <c r="I726" s="17" t="s">
        <v>29</v>
      </c>
      <c r="J726" s="17">
        <v>4</v>
      </c>
      <c r="K726" s="17" t="s">
        <v>30</v>
      </c>
      <c r="L726" s="17" t="s">
        <v>31</v>
      </c>
      <c r="M726" s="17" t="s">
        <v>293</v>
      </c>
      <c r="N726" s="17">
        <v>656</v>
      </c>
      <c r="O726" s="17">
        <v>257</v>
      </c>
      <c r="P726" s="26">
        <f>(data[[#This Row],[LoadedMiles]]/data[[#This Row],[TotalMiles]])*100</f>
        <v>39.176829268292686</v>
      </c>
      <c r="Q726" s="25">
        <f>data[[#This Row],[ShippingCost]]/data[[#This Row],[TotalMiles]]</f>
        <v>0.59298780487804881</v>
      </c>
      <c r="R726" s="17">
        <v>389</v>
      </c>
      <c r="S726" s="25">
        <f>data[[#This Row],[Revenue]]/data[[#This Row],[TotalMiles]]</f>
        <v>0.8125</v>
      </c>
      <c r="T726" s="26">
        <f>data[[#This Row],[Revenue]]-data[[#This Row],[ShippingCost]]</f>
        <v>144</v>
      </c>
      <c r="U726" s="17">
        <v>533</v>
      </c>
      <c r="V726" s="17">
        <v>71</v>
      </c>
      <c r="W726" s="17" t="s">
        <v>25</v>
      </c>
      <c r="X726" s="17">
        <v>9</v>
      </c>
      <c r="Y726" s="17">
        <f>data[[#This Row],[DeliveryDate]]-data[[#This Row],[ShipDate]]</f>
        <v>4</v>
      </c>
      <c r="Z726" s="17" t="str">
        <f>IF(data[[#This Row],[Actual Delivery Days]]&gt;AD727,"Yes","No")</f>
        <v>Yes</v>
      </c>
    </row>
    <row r="727" spans="1:26">
      <c r="A727" s="17">
        <v>10625</v>
      </c>
      <c r="B727" s="17">
        <v>1</v>
      </c>
      <c r="C727" s="17">
        <v>4</v>
      </c>
      <c r="D727" s="17" t="s">
        <v>172</v>
      </c>
      <c r="E727" s="17" t="s">
        <v>263</v>
      </c>
      <c r="F727" s="17" t="str">
        <f>TEXT(data[[#This Row],[ShipDate]],"yyyy - mmmm")</f>
        <v>2016 - January</v>
      </c>
      <c r="G727" s="17" t="str">
        <f>data[[#This Row],[OriginCity]] &amp; " - "  &amp; data[[#This Row],[DestinationCity]]</f>
        <v>Indianapolis - Northbrook</v>
      </c>
      <c r="H727" s="17" t="s">
        <v>43</v>
      </c>
      <c r="I727" s="17" t="s">
        <v>44</v>
      </c>
      <c r="J727" s="17">
        <v>4</v>
      </c>
      <c r="K727" s="17" t="s">
        <v>45</v>
      </c>
      <c r="L727" s="17" t="s">
        <v>31</v>
      </c>
      <c r="M727" s="17" t="s">
        <v>72</v>
      </c>
      <c r="N727" s="17">
        <v>347</v>
      </c>
      <c r="O727" s="17">
        <v>347</v>
      </c>
      <c r="P727" s="26">
        <f>(data[[#This Row],[LoadedMiles]]/data[[#This Row],[TotalMiles]])*100</f>
        <v>100</v>
      </c>
      <c r="Q727" s="25">
        <f>data[[#This Row],[ShippingCost]]/data[[#This Row],[TotalMiles]]</f>
        <v>17.910662824207492</v>
      </c>
      <c r="R727" s="17">
        <v>6215</v>
      </c>
      <c r="S727" s="25">
        <f>data[[#This Row],[Revenue]]/data[[#This Row],[TotalMiles]]</f>
        <v>12.510086455331413</v>
      </c>
      <c r="T727" s="26">
        <f>data[[#This Row],[Revenue]]-data[[#This Row],[ShippingCost]]</f>
        <v>-1874</v>
      </c>
      <c r="U727" s="17">
        <v>4341</v>
      </c>
      <c r="V727" s="17">
        <v>78</v>
      </c>
      <c r="W727" s="17" t="s">
        <v>25</v>
      </c>
      <c r="X727" s="17">
        <v>2</v>
      </c>
      <c r="Y727" s="17">
        <f>data[[#This Row],[DeliveryDate]]-data[[#This Row],[ShipDate]]</f>
        <v>3</v>
      </c>
      <c r="Z727" s="17" t="str">
        <f>IF(data[[#This Row],[Actual Delivery Days]]&gt;AD728,"Yes","No")</f>
        <v>Yes</v>
      </c>
    </row>
    <row r="728" spans="1:26">
      <c r="A728" s="17">
        <v>10631</v>
      </c>
      <c r="B728" s="17">
        <v>1</v>
      </c>
      <c r="C728" s="17">
        <v>5</v>
      </c>
      <c r="D728" s="17" t="s">
        <v>185</v>
      </c>
      <c r="E728" s="17" t="s">
        <v>553</v>
      </c>
      <c r="F728" s="17" t="str">
        <f>TEXT(data[[#This Row],[ShipDate]],"yyyy - mmmm")</f>
        <v>2016 - July</v>
      </c>
      <c r="G728" s="17" t="str">
        <f>data[[#This Row],[OriginCity]] &amp; " - "  &amp; data[[#This Row],[DestinationCity]]</f>
        <v>Madison - Kalamazoo</v>
      </c>
      <c r="H728" s="17" t="s">
        <v>62</v>
      </c>
      <c r="I728" s="17" t="s">
        <v>29</v>
      </c>
      <c r="J728" s="17">
        <v>4</v>
      </c>
      <c r="K728" s="17" t="s">
        <v>71</v>
      </c>
      <c r="L728" s="17" t="s">
        <v>21</v>
      </c>
      <c r="M728" s="17" t="s">
        <v>467</v>
      </c>
      <c r="N728" s="17">
        <v>1186</v>
      </c>
      <c r="O728" s="17">
        <v>373</v>
      </c>
      <c r="P728" s="26">
        <f>(data[[#This Row],[LoadedMiles]]/data[[#This Row],[TotalMiles]])*100</f>
        <v>31.450252951096118</v>
      </c>
      <c r="Q728" s="25">
        <f>data[[#This Row],[ShippingCost]]/data[[#This Row],[TotalMiles]]</f>
        <v>2.6964586846543002</v>
      </c>
      <c r="R728" s="17">
        <v>3198</v>
      </c>
      <c r="S728" s="25">
        <f>data[[#This Row],[Revenue]]/data[[#This Row],[TotalMiles]]</f>
        <v>2.9097807757166949</v>
      </c>
      <c r="T728" s="26">
        <f>data[[#This Row],[Revenue]]-data[[#This Row],[ShippingCost]]</f>
        <v>253</v>
      </c>
      <c r="U728" s="17">
        <v>3451</v>
      </c>
      <c r="V728" s="17">
        <v>84</v>
      </c>
      <c r="W728" s="17" t="s">
        <v>25</v>
      </c>
      <c r="X728" s="17">
        <v>10</v>
      </c>
      <c r="Y728" s="17">
        <f>data[[#This Row],[DeliveryDate]]-data[[#This Row],[ShipDate]]</f>
        <v>4</v>
      </c>
      <c r="Z728" s="17" t="str">
        <f>IF(data[[#This Row],[Actual Delivery Days]]&gt;AD729,"Yes","No")</f>
        <v>Yes</v>
      </c>
    </row>
    <row r="729" spans="1:26">
      <c r="A729" s="17">
        <v>10632</v>
      </c>
      <c r="B729" s="17">
        <v>1</v>
      </c>
      <c r="C729" s="17">
        <v>5</v>
      </c>
      <c r="D729" s="17" t="s">
        <v>187</v>
      </c>
      <c r="E729" s="17" t="s">
        <v>138</v>
      </c>
      <c r="F729" s="17" t="str">
        <f>TEXT(data[[#This Row],[ShipDate]],"yyyy - mmmm")</f>
        <v>2016 - August</v>
      </c>
      <c r="G729" s="17" t="str">
        <f>data[[#This Row],[OriginCity]] &amp; " - "  &amp; data[[#This Row],[DestinationCity]]</f>
        <v>Green Bay - Joliet</v>
      </c>
      <c r="H729" s="17" t="s">
        <v>75</v>
      </c>
      <c r="I729" s="17" t="s">
        <v>29</v>
      </c>
      <c r="J729" s="17">
        <v>4</v>
      </c>
      <c r="K729" s="17" t="s">
        <v>61</v>
      </c>
      <c r="L729" s="17" t="s">
        <v>31</v>
      </c>
      <c r="M729" s="17" t="s">
        <v>38</v>
      </c>
      <c r="N729" s="17">
        <v>994</v>
      </c>
      <c r="O729" s="17">
        <v>290</v>
      </c>
      <c r="P729" s="26">
        <f>(data[[#This Row],[LoadedMiles]]/data[[#This Row],[TotalMiles]])*100</f>
        <v>29.175050301810867</v>
      </c>
      <c r="Q729" s="25">
        <f>data[[#This Row],[ShippingCost]]/data[[#This Row],[TotalMiles]]</f>
        <v>5.6338028169014086E-2</v>
      </c>
      <c r="R729" s="17">
        <v>56</v>
      </c>
      <c r="S729" s="25">
        <f>data[[#This Row],[Revenue]]/data[[#This Row],[TotalMiles]]</f>
        <v>1.0221327967806841</v>
      </c>
      <c r="T729" s="26">
        <f>data[[#This Row],[Revenue]]-data[[#This Row],[ShippingCost]]</f>
        <v>960</v>
      </c>
      <c r="U729" s="17">
        <v>1016</v>
      </c>
      <c r="V729" s="17">
        <v>73</v>
      </c>
      <c r="W729" s="17" t="s">
        <v>25</v>
      </c>
      <c r="X729" s="17">
        <v>5</v>
      </c>
      <c r="Y729" s="17">
        <f>data[[#This Row],[DeliveryDate]]-data[[#This Row],[ShipDate]]</f>
        <v>4</v>
      </c>
      <c r="Z729" s="17" t="str">
        <f>IF(data[[#This Row],[Actual Delivery Days]]&gt;AD730,"Yes","No")</f>
        <v>Yes</v>
      </c>
    </row>
    <row r="730" spans="1:26">
      <c r="A730" s="17">
        <v>10644</v>
      </c>
      <c r="B730" s="17">
        <v>1</v>
      </c>
      <c r="C730" s="17">
        <v>5</v>
      </c>
      <c r="D730" s="17" t="s">
        <v>217</v>
      </c>
      <c r="E730" s="17" t="s">
        <v>27</v>
      </c>
      <c r="F730" s="17" t="str">
        <f>TEXT(data[[#This Row],[ShipDate]],"yyyy - mmmm")</f>
        <v>2016 - May</v>
      </c>
      <c r="G730" s="17" t="str">
        <f>data[[#This Row],[OriginCity]] &amp; " - "  &amp; data[[#This Row],[DestinationCity]]</f>
        <v>Grand Rapids - Toledo</v>
      </c>
      <c r="H730" s="17" t="s">
        <v>20</v>
      </c>
      <c r="I730" s="17" t="s">
        <v>21</v>
      </c>
      <c r="J730" s="17">
        <v>4</v>
      </c>
      <c r="K730" s="17" t="s">
        <v>22</v>
      </c>
      <c r="L730" s="17" t="s">
        <v>23</v>
      </c>
      <c r="M730" s="17" t="s">
        <v>108</v>
      </c>
      <c r="N730" s="17">
        <v>993</v>
      </c>
      <c r="O730" s="17">
        <v>227</v>
      </c>
      <c r="P730" s="26">
        <f>(data[[#This Row],[LoadedMiles]]/data[[#This Row],[TotalMiles]])*100</f>
        <v>22.860020140986908</v>
      </c>
      <c r="Q730" s="25">
        <f>data[[#This Row],[ShippingCost]]/data[[#This Row],[TotalMiles]]</f>
        <v>8.5790533736153076</v>
      </c>
      <c r="R730" s="17">
        <v>8519</v>
      </c>
      <c r="S730" s="25">
        <f>data[[#This Row],[Revenue]]/data[[#This Row],[TotalMiles]]</f>
        <v>8.809667673716012</v>
      </c>
      <c r="T730" s="26">
        <f>data[[#This Row],[Revenue]]-data[[#This Row],[ShippingCost]]</f>
        <v>229</v>
      </c>
      <c r="U730" s="17">
        <v>8748</v>
      </c>
      <c r="V730" s="17">
        <v>57</v>
      </c>
      <c r="W730" s="17" t="s">
        <v>25</v>
      </c>
      <c r="X730" s="17">
        <v>4</v>
      </c>
      <c r="Y730" s="17">
        <f>data[[#This Row],[DeliveryDate]]-data[[#This Row],[ShipDate]]</f>
        <v>3</v>
      </c>
      <c r="Z730" s="17" t="str">
        <f>IF(data[[#This Row],[Actual Delivery Days]]&gt;AD731,"Yes","No")</f>
        <v>Yes</v>
      </c>
    </row>
    <row r="731" spans="1:26">
      <c r="A731" s="17">
        <v>10648</v>
      </c>
      <c r="B731" s="17">
        <v>1</v>
      </c>
      <c r="C731" s="17">
        <v>6</v>
      </c>
      <c r="D731" s="17" t="s">
        <v>225</v>
      </c>
      <c r="E731" s="17" t="s">
        <v>583</v>
      </c>
      <c r="F731" s="17" t="str">
        <f>TEXT(data[[#This Row],[ShipDate]],"yyyy - mmmm")</f>
        <v>2016 - January</v>
      </c>
      <c r="G731" s="17" t="str">
        <f>data[[#This Row],[OriginCity]] &amp; " - "  &amp; data[[#This Row],[DestinationCity]]</f>
        <v>Indianapolis - Northbrook</v>
      </c>
      <c r="H731" s="17" t="s">
        <v>43</v>
      </c>
      <c r="I731" s="17" t="s">
        <v>44</v>
      </c>
      <c r="J731" s="17">
        <v>4</v>
      </c>
      <c r="K731" s="17" t="s">
        <v>45</v>
      </c>
      <c r="L731" s="17" t="s">
        <v>31</v>
      </c>
      <c r="M731" s="17" t="s">
        <v>447</v>
      </c>
      <c r="N731" s="17">
        <v>1143</v>
      </c>
      <c r="O731" s="17">
        <v>591</v>
      </c>
      <c r="P731" s="26">
        <f>(data[[#This Row],[LoadedMiles]]/data[[#This Row],[TotalMiles]])*100</f>
        <v>51.706036745406827</v>
      </c>
      <c r="Q731" s="25">
        <f>data[[#This Row],[ShippingCost]]/data[[#This Row],[TotalMiles]]</f>
        <v>6.1181102362204722</v>
      </c>
      <c r="R731" s="17">
        <v>6993</v>
      </c>
      <c r="S731" s="25">
        <f>data[[#This Row],[Revenue]]/data[[#This Row],[TotalMiles]]</f>
        <v>6.621172353455818</v>
      </c>
      <c r="T731" s="26">
        <f>data[[#This Row],[Revenue]]-data[[#This Row],[ShippingCost]]</f>
        <v>575</v>
      </c>
      <c r="U731" s="17">
        <v>7568</v>
      </c>
      <c r="V731" s="17">
        <v>67</v>
      </c>
      <c r="W731" s="17" t="s">
        <v>25</v>
      </c>
      <c r="X731" s="17">
        <v>3</v>
      </c>
      <c r="Y731" s="17">
        <f>data[[#This Row],[DeliveryDate]]-data[[#This Row],[ShipDate]]</f>
        <v>4</v>
      </c>
      <c r="Z731" s="17" t="str">
        <f>IF(data[[#This Row],[Actual Delivery Days]]&gt;AD732,"Yes","No")</f>
        <v>Yes</v>
      </c>
    </row>
    <row r="732" spans="1:26">
      <c r="A732" s="17">
        <v>10664</v>
      </c>
      <c r="B732" s="17">
        <v>2</v>
      </c>
      <c r="C732" s="17">
        <v>7</v>
      </c>
      <c r="D732" s="17" t="s">
        <v>260</v>
      </c>
      <c r="E732" s="17" t="s">
        <v>132</v>
      </c>
      <c r="F732" s="17" t="str">
        <f>TEXT(data[[#This Row],[ShipDate]],"yyyy - mmmm")</f>
        <v>2016 - February</v>
      </c>
      <c r="G732" s="17" t="str">
        <f>data[[#This Row],[OriginCity]] &amp; " - "  &amp; data[[#This Row],[DestinationCity]]</f>
        <v>Skokie - Chicago</v>
      </c>
      <c r="H732" s="17" t="s">
        <v>35</v>
      </c>
      <c r="I732" s="17" t="s">
        <v>31</v>
      </c>
      <c r="J732" s="17">
        <v>4</v>
      </c>
      <c r="K732" s="17" t="s">
        <v>39</v>
      </c>
      <c r="L732" s="17" t="s">
        <v>31</v>
      </c>
      <c r="M732" s="17" t="s">
        <v>209</v>
      </c>
      <c r="N732" s="17">
        <v>699</v>
      </c>
      <c r="O732" s="17">
        <v>678</v>
      </c>
      <c r="P732" s="26">
        <f>(data[[#This Row],[LoadedMiles]]/data[[#This Row],[TotalMiles]])*100</f>
        <v>96.995708154506431</v>
      </c>
      <c r="Q732" s="25">
        <f>data[[#This Row],[ShippingCost]]/data[[#This Row],[TotalMiles]]</f>
        <v>11.464949928469242</v>
      </c>
      <c r="R732" s="17">
        <v>8014</v>
      </c>
      <c r="S732" s="25">
        <f>data[[#This Row],[Revenue]]/data[[#This Row],[TotalMiles]]</f>
        <v>12.058655221745351</v>
      </c>
      <c r="T732" s="26">
        <f>data[[#This Row],[Revenue]]-data[[#This Row],[ShippingCost]]</f>
        <v>415</v>
      </c>
      <c r="U732" s="17">
        <v>8429</v>
      </c>
      <c r="V732" s="17">
        <v>53</v>
      </c>
      <c r="W732" s="17" t="s">
        <v>25</v>
      </c>
      <c r="X732" s="17">
        <v>10</v>
      </c>
      <c r="Y732" s="17">
        <f>data[[#This Row],[DeliveryDate]]-data[[#This Row],[ShipDate]]</f>
        <v>4</v>
      </c>
      <c r="Z732" s="17" t="str">
        <f>IF(data[[#This Row],[Actual Delivery Days]]&gt;AD733,"Yes","No")</f>
        <v>Yes</v>
      </c>
    </row>
    <row r="733" spans="1:26">
      <c r="A733" s="17">
        <v>10670</v>
      </c>
      <c r="B733" s="17">
        <v>2</v>
      </c>
      <c r="C733" s="17">
        <v>4</v>
      </c>
      <c r="D733" s="17" t="s">
        <v>271</v>
      </c>
      <c r="E733" s="17" t="s">
        <v>76</v>
      </c>
      <c r="F733" s="17" t="str">
        <f>TEXT(data[[#This Row],[ShipDate]],"yyyy - mmmm")</f>
        <v>2016 - March</v>
      </c>
      <c r="G733" s="17" t="str">
        <f>data[[#This Row],[OriginCity]] &amp; " - "  &amp; data[[#This Row],[DestinationCity]]</f>
        <v>Chicago - Rockford</v>
      </c>
      <c r="H733" s="17" t="s">
        <v>39</v>
      </c>
      <c r="I733" s="17" t="s">
        <v>31</v>
      </c>
      <c r="J733" s="17">
        <v>4</v>
      </c>
      <c r="K733" s="17" t="s">
        <v>40</v>
      </c>
      <c r="L733" s="17" t="s">
        <v>31</v>
      </c>
      <c r="M733" s="17" t="s">
        <v>124</v>
      </c>
      <c r="N733" s="17">
        <v>388</v>
      </c>
      <c r="O733" s="17">
        <v>388</v>
      </c>
      <c r="P733" s="26">
        <f>(data[[#This Row],[LoadedMiles]]/data[[#This Row],[TotalMiles]])*100</f>
        <v>100</v>
      </c>
      <c r="Q733" s="25">
        <f>data[[#This Row],[ShippingCost]]/data[[#This Row],[TotalMiles]]</f>
        <v>15.646907216494846</v>
      </c>
      <c r="R733" s="17">
        <v>6071</v>
      </c>
      <c r="S733" s="25">
        <f>data[[#This Row],[Revenue]]/data[[#This Row],[TotalMiles]]</f>
        <v>10.059278350515465</v>
      </c>
      <c r="T733" s="26">
        <f>data[[#This Row],[Revenue]]-data[[#This Row],[ShippingCost]]</f>
        <v>-2168</v>
      </c>
      <c r="U733" s="17">
        <v>3903</v>
      </c>
      <c r="V733" s="17">
        <v>82</v>
      </c>
      <c r="W733" s="17" t="s">
        <v>25</v>
      </c>
      <c r="X733" s="17">
        <v>2</v>
      </c>
      <c r="Y733" s="17">
        <f>data[[#This Row],[DeliveryDate]]-data[[#This Row],[ShipDate]]</f>
        <v>4</v>
      </c>
      <c r="Z733" s="17" t="str">
        <f>IF(data[[#This Row],[Actual Delivery Days]]&gt;AD734,"Yes","No")</f>
        <v>Yes</v>
      </c>
    </row>
    <row r="734" spans="1:26">
      <c r="A734" s="17">
        <v>10677</v>
      </c>
      <c r="B734" s="17">
        <v>1</v>
      </c>
      <c r="C734" s="17">
        <v>6</v>
      </c>
      <c r="D734" s="17" t="s">
        <v>288</v>
      </c>
      <c r="E734" s="17" t="s">
        <v>535</v>
      </c>
      <c r="F734" s="17" t="str">
        <f>TEXT(data[[#This Row],[ShipDate]],"yyyy - mmmm")</f>
        <v>2016 - August</v>
      </c>
      <c r="G734" s="17" t="str">
        <f>data[[#This Row],[OriginCity]] &amp; " - "  &amp; data[[#This Row],[DestinationCity]]</f>
        <v>Naperville - Indianapolis</v>
      </c>
      <c r="H734" s="17" t="s">
        <v>48</v>
      </c>
      <c r="I734" s="17" t="s">
        <v>31</v>
      </c>
      <c r="J734" s="17">
        <v>4</v>
      </c>
      <c r="K734" s="17" t="s">
        <v>43</v>
      </c>
      <c r="L734" s="17" t="s">
        <v>44</v>
      </c>
      <c r="M734" s="17" t="s">
        <v>415</v>
      </c>
      <c r="N734" s="17">
        <v>339</v>
      </c>
      <c r="O734" s="17">
        <v>339</v>
      </c>
      <c r="P734" s="26">
        <f>(data[[#This Row],[LoadedMiles]]/data[[#This Row],[TotalMiles]])*100</f>
        <v>100</v>
      </c>
      <c r="Q734" s="25">
        <f>data[[#This Row],[ShippingCost]]/data[[#This Row],[TotalMiles]]</f>
        <v>13.867256637168142</v>
      </c>
      <c r="R734" s="17">
        <v>4701</v>
      </c>
      <c r="S734" s="25">
        <f>data[[#This Row],[Revenue]]/data[[#This Row],[TotalMiles]]</f>
        <v>16.026548672566371</v>
      </c>
      <c r="T734" s="26">
        <f>data[[#This Row],[Revenue]]-data[[#This Row],[ShippingCost]]</f>
        <v>732</v>
      </c>
      <c r="U734" s="17">
        <v>5433</v>
      </c>
      <c r="V734" s="17">
        <v>66</v>
      </c>
      <c r="W734" s="17" t="s">
        <v>25</v>
      </c>
      <c r="X734" s="17">
        <v>4</v>
      </c>
      <c r="Y734" s="17">
        <f>data[[#This Row],[DeliveryDate]]-data[[#This Row],[ShipDate]]</f>
        <v>4</v>
      </c>
      <c r="Z734" s="17" t="str">
        <f>IF(data[[#This Row],[Actual Delivery Days]]&gt;AD735,"Yes","No")</f>
        <v>Yes</v>
      </c>
    </row>
    <row r="735" spans="1:26">
      <c r="A735" s="17">
        <v>10684</v>
      </c>
      <c r="B735" s="17">
        <v>2</v>
      </c>
      <c r="C735" s="17">
        <v>8</v>
      </c>
      <c r="D735" s="17" t="s">
        <v>305</v>
      </c>
      <c r="E735" s="17" t="s">
        <v>522</v>
      </c>
      <c r="F735" s="17" t="str">
        <f>TEXT(data[[#This Row],[ShipDate]],"yyyy - mmmm")</f>
        <v>2016 - February</v>
      </c>
      <c r="G735" s="17" t="str">
        <f>data[[#This Row],[OriginCity]] &amp; " - "  &amp; data[[#This Row],[DestinationCity]]</f>
        <v>Elgin - Cincinnati</v>
      </c>
      <c r="H735" s="17" t="s">
        <v>94</v>
      </c>
      <c r="I735" s="17" t="s">
        <v>31</v>
      </c>
      <c r="J735" s="17">
        <v>4</v>
      </c>
      <c r="K735" s="17" t="s">
        <v>89</v>
      </c>
      <c r="L735" s="17" t="s">
        <v>23</v>
      </c>
      <c r="M735" s="17" t="s">
        <v>435</v>
      </c>
      <c r="N735" s="17">
        <v>976</v>
      </c>
      <c r="O735" s="17">
        <v>484</v>
      </c>
      <c r="P735" s="26">
        <f>(data[[#This Row],[LoadedMiles]]/data[[#This Row],[TotalMiles]])*100</f>
        <v>49.590163934426229</v>
      </c>
      <c r="Q735" s="25">
        <f>data[[#This Row],[ShippingCost]]/data[[#This Row],[TotalMiles]]</f>
        <v>0.85040983606557374</v>
      </c>
      <c r="R735" s="17">
        <v>830</v>
      </c>
      <c r="S735" s="25">
        <f>data[[#This Row],[Revenue]]/data[[#This Row],[TotalMiles]]</f>
        <v>1.5235655737704918</v>
      </c>
      <c r="T735" s="26">
        <f>data[[#This Row],[Revenue]]-data[[#This Row],[ShippingCost]]</f>
        <v>657</v>
      </c>
      <c r="U735" s="17">
        <v>1487</v>
      </c>
      <c r="V735" s="17">
        <v>73</v>
      </c>
      <c r="W735" s="17" t="s">
        <v>25</v>
      </c>
      <c r="X735" s="17">
        <v>7</v>
      </c>
      <c r="Y735" s="17">
        <f>data[[#This Row],[DeliveryDate]]-data[[#This Row],[ShipDate]]</f>
        <v>4</v>
      </c>
      <c r="Z735" s="17" t="str">
        <f>IF(data[[#This Row],[Actual Delivery Days]]&gt;AD736,"Yes","No")</f>
        <v>Yes</v>
      </c>
    </row>
    <row r="736" spans="1:26">
      <c r="A736" s="17">
        <v>10688</v>
      </c>
      <c r="B736" s="17">
        <v>2</v>
      </c>
      <c r="C736" s="17">
        <v>4</v>
      </c>
      <c r="D736" s="17" t="s">
        <v>249</v>
      </c>
      <c r="E736" s="17" t="s">
        <v>350</v>
      </c>
      <c r="F736" s="17" t="str">
        <f>TEXT(data[[#This Row],[ShipDate]],"yyyy - mmmm")</f>
        <v>2016 - May</v>
      </c>
      <c r="G736" s="17" t="str">
        <f>data[[#This Row],[OriginCity]] &amp; " - "  &amp; data[[#This Row],[DestinationCity]]</f>
        <v>Grand Rapids - Toledo</v>
      </c>
      <c r="H736" s="17" t="s">
        <v>20</v>
      </c>
      <c r="I736" s="17" t="s">
        <v>21</v>
      </c>
      <c r="J736" s="17">
        <v>4</v>
      </c>
      <c r="K736" s="17" t="s">
        <v>22</v>
      </c>
      <c r="L736" s="17" t="s">
        <v>23</v>
      </c>
      <c r="M736" s="17" t="s">
        <v>42</v>
      </c>
      <c r="N736" s="17">
        <v>953</v>
      </c>
      <c r="O736" s="17">
        <v>462</v>
      </c>
      <c r="P736" s="26">
        <f>(data[[#This Row],[LoadedMiles]]/data[[#This Row],[TotalMiles]])*100</f>
        <v>48.478488982161593</v>
      </c>
      <c r="Q736" s="25">
        <f>data[[#This Row],[ShippingCost]]/data[[#This Row],[TotalMiles]]</f>
        <v>3.0304302203567679</v>
      </c>
      <c r="R736" s="17">
        <v>2888</v>
      </c>
      <c r="S736" s="25">
        <f>data[[#This Row],[Revenue]]/data[[#This Row],[TotalMiles]]</f>
        <v>0.30535152151101785</v>
      </c>
      <c r="T736" s="26">
        <f>data[[#This Row],[Revenue]]-data[[#This Row],[ShippingCost]]</f>
        <v>-2597</v>
      </c>
      <c r="U736" s="17">
        <v>291</v>
      </c>
      <c r="V736" s="17">
        <v>83</v>
      </c>
      <c r="W736" s="17" t="s">
        <v>25</v>
      </c>
      <c r="X736" s="17">
        <v>3</v>
      </c>
      <c r="Y736" s="17">
        <f>data[[#This Row],[DeliveryDate]]-data[[#This Row],[ShipDate]]</f>
        <v>3</v>
      </c>
      <c r="Z736" s="17" t="str">
        <f>IF(data[[#This Row],[Actual Delivery Days]]&gt;AD737,"Yes","No")</f>
        <v>Yes</v>
      </c>
    </row>
    <row r="737" spans="1:26">
      <c r="A737" s="17">
        <v>10695</v>
      </c>
      <c r="B737" s="17">
        <v>2</v>
      </c>
      <c r="C737" s="17">
        <v>7</v>
      </c>
      <c r="D737" s="17" t="s">
        <v>323</v>
      </c>
      <c r="E737" s="17" t="s">
        <v>367</v>
      </c>
      <c r="F737" s="17" t="str">
        <f>TEXT(data[[#This Row],[ShipDate]],"yyyy - mmmm")</f>
        <v>2016 - May</v>
      </c>
      <c r="G737" s="17" t="str">
        <f>data[[#This Row],[OriginCity]] &amp; " - "  &amp; data[[#This Row],[DestinationCity]]</f>
        <v>Gary - Milwaukee</v>
      </c>
      <c r="H737" s="17" t="s">
        <v>57</v>
      </c>
      <c r="I737" s="17" t="s">
        <v>44</v>
      </c>
      <c r="J737" s="17">
        <v>4</v>
      </c>
      <c r="K737" s="17" t="s">
        <v>28</v>
      </c>
      <c r="L737" s="17" t="s">
        <v>29</v>
      </c>
      <c r="M737" s="17" t="s">
        <v>368</v>
      </c>
      <c r="N737" s="17">
        <v>1094</v>
      </c>
      <c r="O737" s="17">
        <v>208</v>
      </c>
      <c r="P737" s="26">
        <f>(data[[#This Row],[LoadedMiles]]/data[[#This Row],[TotalMiles]])*100</f>
        <v>19.012797074954296</v>
      </c>
      <c r="Q737" s="25">
        <f>data[[#This Row],[ShippingCost]]/data[[#This Row],[TotalMiles]]</f>
        <v>6.8089579524680071</v>
      </c>
      <c r="R737" s="17">
        <v>7449</v>
      </c>
      <c r="S737" s="25">
        <f>data[[#This Row],[Revenue]]/data[[#This Row],[TotalMiles]]</f>
        <v>6.9524680073126142</v>
      </c>
      <c r="T737" s="26">
        <f>data[[#This Row],[Revenue]]-data[[#This Row],[ShippingCost]]</f>
        <v>157</v>
      </c>
      <c r="U737" s="17">
        <v>7606</v>
      </c>
      <c r="V737" s="17">
        <v>96</v>
      </c>
      <c r="W737" s="17" t="s">
        <v>25</v>
      </c>
      <c r="X737" s="17">
        <v>4</v>
      </c>
      <c r="Y737" s="17">
        <f>data[[#This Row],[DeliveryDate]]-data[[#This Row],[ShipDate]]</f>
        <v>4</v>
      </c>
      <c r="Z737" s="17" t="str">
        <f>IF(data[[#This Row],[Actual Delivery Days]]&gt;AD738,"Yes","No")</f>
        <v>Yes</v>
      </c>
    </row>
    <row r="738" spans="1:26">
      <c r="A738" s="17">
        <v>10707</v>
      </c>
      <c r="B738" s="17">
        <v>2</v>
      </c>
      <c r="C738" s="17">
        <v>6</v>
      </c>
      <c r="D738" s="17" t="s">
        <v>343</v>
      </c>
      <c r="E738" s="17" t="s">
        <v>447</v>
      </c>
      <c r="F738" s="17" t="str">
        <f>TEXT(data[[#This Row],[ShipDate]],"yyyy - mmmm")</f>
        <v>2016 - January</v>
      </c>
      <c r="G738" s="17" t="str">
        <f>data[[#This Row],[OriginCity]] &amp; " - "  &amp; data[[#This Row],[DestinationCity]]</f>
        <v>Elgin - Cincinnati</v>
      </c>
      <c r="H738" s="17" t="s">
        <v>94</v>
      </c>
      <c r="I738" s="17" t="s">
        <v>31</v>
      </c>
      <c r="J738" s="17">
        <v>4</v>
      </c>
      <c r="K738" s="17" t="s">
        <v>89</v>
      </c>
      <c r="L738" s="17" t="s">
        <v>23</v>
      </c>
      <c r="M738" s="17" t="s">
        <v>229</v>
      </c>
      <c r="N738" s="17">
        <v>202</v>
      </c>
      <c r="O738" s="17">
        <v>202</v>
      </c>
      <c r="P738" s="26">
        <f>(data[[#This Row],[LoadedMiles]]/data[[#This Row],[TotalMiles]])*100</f>
        <v>100</v>
      </c>
      <c r="Q738" s="25">
        <f>data[[#This Row],[ShippingCost]]/data[[#This Row],[TotalMiles]]</f>
        <v>1.8811881188118811</v>
      </c>
      <c r="R738" s="17">
        <v>380</v>
      </c>
      <c r="S738" s="25">
        <f>data[[#This Row],[Revenue]]/data[[#This Row],[TotalMiles]]</f>
        <v>3.9207920792079207</v>
      </c>
      <c r="T738" s="26">
        <f>data[[#This Row],[Revenue]]-data[[#This Row],[ShippingCost]]</f>
        <v>412</v>
      </c>
      <c r="U738" s="17">
        <v>792</v>
      </c>
      <c r="V738" s="17">
        <v>96</v>
      </c>
      <c r="W738" s="17" t="s">
        <v>25</v>
      </c>
      <c r="X738" s="17">
        <v>8</v>
      </c>
      <c r="Y738" s="17">
        <f>data[[#This Row],[DeliveryDate]]-data[[#This Row],[ShipDate]]</f>
        <v>1</v>
      </c>
      <c r="Z738" s="17" t="str">
        <f>IF(data[[#This Row],[Actual Delivery Days]]&gt;AD739,"Yes","No")</f>
        <v>Yes</v>
      </c>
    </row>
    <row r="739" spans="1:26">
      <c r="A739" s="17">
        <v>10722</v>
      </c>
      <c r="B739" s="17">
        <v>2</v>
      </c>
      <c r="C739" s="17">
        <v>5</v>
      </c>
      <c r="D739" s="17" t="s">
        <v>370</v>
      </c>
      <c r="E739" s="17" t="s">
        <v>118</v>
      </c>
      <c r="F739" s="17" t="str">
        <f>TEXT(data[[#This Row],[ShipDate]],"yyyy - mmmm")</f>
        <v>2016 - August</v>
      </c>
      <c r="G739" s="17" t="str">
        <f>data[[#This Row],[OriginCity]] &amp; " - "  &amp; data[[#This Row],[DestinationCity]]</f>
        <v>Naperville - Indianapolis</v>
      </c>
      <c r="H739" s="17" t="s">
        <v>48</v>
      </c>
      <c r="I739" s="17" t="s">
        <v>31</v>
      </c>
      <c r="J739" s="17">
        <v>4</v>
      </c>
      <c r="K739" s="17" t="s">
        <v>43</v>
      </c>
      <c r="L739" s="17" t="s">
        <v>44</v>
      </c>
      <c r="M739" s="17" t="s">
        <v>103</v>
      </c>
      <c r="N739" s="17">
        <v>552</v>
      </c>
      <c r="O739" s="17">
        <v>552</v>
      </c>
      <c r="P739" s="26">
        <f>(data[[#This Row],[LoadedMiles]]/data[[#This Row],[TotalMiles]])*100</f>
        <v>100</v>
      </c>
      <c r="Q739" s="25">
        <f>data[[#This Row],[ShippingCost]]/data[[#This Row],[TotalMiles]]</f>
        <v>5.4981884057971016</v>
      </c>
      <c r="R739" s="17">
        <v>3035</v>
      </c>
      <c r="S739" s="25">
        <f>data[[#This Row],[Revenue]]/data[[#This Row],[TotalMiles]]</f>
        <v>5.6793478260869561</v>
      </c>
      <c r="T739" s="26">
        <f>data[[#This Row],[Revenue]]-data[[#This Row],[ShippingCost]]</f>
        <v>100</v>
      </c>
      <c r="U739" s="17">
        <v>3135</v>
      </c>
      <c r="V739" s="17">
        <v>88</v>
      </c>
      <c r="W739" s="17" t="s">
        <v>25</v>
      </c>
      <c r="X739" s="17">
        <v>9</v>
      </c>
      <c r="Y739" s="17">
        <f>data[[#This Row],[DeliveryDate]]-data[[#This Row],[ShipDate]]</f>
        <v>4</v>
      </c>
      <c r="Z739" s="17" t="str">
        <f>IF(data[[#This Row],[Actual Delivery Days]]&gt;AD740,"Yes","No")</f>
        <v>Yes</v>
      </c>
    </row>
    <row r="740" spans="1:26">
      <c r="A740" s="17">
        <v>10731</v>
      </c>
      <c r="B740" s="17">
        <v>1</v>
      </c>
      <c r="C740" s="17">
        <v>7</v>
      </c>
      <c r="D740" s="17" t="s">
        <v>388</v>
      </c>
      <c r="E740" s="17" t="s">
        <v>413</v>
      </c>
      <c r="F740" s="17" t="str">
        <f>TEXT(data[[#This Row],[ShipDate]],"yyyy - mmmm")</f>
        <v>2016 - April</v>
      </c>
      <c r="G740" s="17" t="str">
        <f>data[[#This Row],[OriginCity]] &amp; " - "  &amp; data[[#This Row],[DestinationCity]]</f>
        <v>Grand Rapids - Toledo</v>
      </c>
      <c r="H740" s="17" t="s">
        <v>20</v>
      </c>
      <c r="I740" s="17" t="s">
        <v>21</v>
      </c>
      <c r="J740" s="17">
        <v>4</v>
      </c>
      <c r="K740" s="17" t="s">
        <v>22</v>
      </c>
      <c r="L740" s="17" t="s">
        <v>23</v>
      </c>
      <c r="M740" s="17" t="s">
        <v>47</v>
      </c>
      <c r="N740" s="17">
        <v>241</v>
      </c>
      <c r="O740" s="17">
        <v>241</v>
      </c>
      <c r="P740" s="26">
        <f>(data[[#This Row],[LoadedMiles]]/data[[#This Row],[TotalMiles]])*100</f>
        <v>100</v>
      </c>
      <c r="Q740" s="25">
        <f>data[[#This Row],[ShippingCost]]/data[[#This Row],[TotalMiles]]</f>
        <v>6.6431535269709547</v>
      </c>
      <c r="R740" s="17">
        <v>1601</v>
      </c>
      <c r="S740" s="25">
        <f>data[[#This Row],[Revenue]]/data[[#This Row],[TotalMiles]]</f>
        <v>10.663900414937759</v>
      </c>
      <c r="T740" s="26">
        <f>data[[#This Row],[Revenue]]-data[[#This Row],[ShippingCost]]</f>
        <v>969</v>
      </c>
      <c r="U740" s="17">
        <v>2570</v>
      </c>
      <c r="V740" s="17">
        <v>94</v>
      </c>
      <c r="W740" s="17" t="s">
        <v>25</v>
      </c>
      <c r="X740" s="17">
        <v>8</v>
      </c>
      <c r="Y740" s="17">
        <f>data[[#This Row],[DeliveryDate]]-data[[#This Row],[ShipDate]]</f>
        <v>4</v>
      </c>
      <c r="Z740" s="17" t="str">
        <f>IF(data[[#This Row],[Actual Delivery Days]]&gt;AD741,"Yes","No")</f>
        <v>Yes</v>
      </c>
    </row>
    <row r="741" spans="1:26">
      <c r="A741" s="17">
        <v>10738</v>
      </c>
      <c r="B741" s="17">
        <v>2</v>
      </c>
      <c r="C741" s="17">
        <v>8</v>
      </c>
      <c r="D741" s="17" t="s">
        <v>401</v>
      </c>
      <c r="E741" s="17" t="s">
        <v>422</v>
      </c>
      <c r="F741" s="17" t="str">
        <f>TEXT(data[[#This Row],[ShipDate]],"yyyy - mmmm")</f>
        <v>2016 - August</v>
      </c>
      <c r="G741" s="17" t="str">
        <f>data[[#This Row],[OriginCity]] &amp; " - "  &amp; data[[#This Row],[DestinationCity]]</f>
        <v>Monon - Lansing</v>
      </c>
      <c r="H741" s="17" t="s">
        <v>53</v>
      </c>
      <c r="I741" s="17" t="s">
        <v>44</v>
      </c>
      <c r="J741" s="17">
        <v>4</v>
      </c>
      <c r="K741" s="17" t="s">
        <v>66</v>
      </c>
      <c r="L741" s="17" t="s">
        <v>21</v>
      </c>
      <c r="M741" s="17" t="s">
        <v>212</v>
      </c>
      <c r="N741" s="17">
        <v>369</v>
      </c>
      <c r="O741" s="17">
        <v>339</v>
      </c>
      <c r="P741" s="26">
        <f>(data[[#This Row],[LoadedMiles]]/data[[#This Row],[TotalMiles]])*100</f>
        <v>91.869918699186996</v>
      </c>
      <c r="Q741" s="25">
        <f>data[[#This Row],[ShippingCost]]/data[[#This Row],[TotalMiles]]</f>
        <v>14.715447154471544</v>
      </c>
      <c r="R741" s="17">
        <v>5430</v>
      </c>
      <c r="S741" s="25">
        <f>data[[#This Row],[Revenue]]/data[[#This Row],[TotalMiles]]</f>
        <v>15.588075880758808</v>
      </c>
      <c r="T741" s="26">
        <f>data[[#This Row],[Revenue]]-data[[#This Row],[ShippingCost]]</f>
        <v>322</v>
      </c>
      <c r="U741" s="17">
        <v>5752</v>
      </c>
      <c r="V741" s="17">
        <v>76</v>
      </c>
      <c r="W741" s="17" t="s">
        <v>25</v>
      </c>
      <c r="X741" s="17">
        <v>8</v>
      </c>
      <c r="Y741" s="17">
        <f>data[[#This Row],[DeliveryDate]]-data[[#This Row],[ShipDate]]</f>
        <v>4</v>
      </c>
      <c r="Z741" s="17" t="str">
        <f>IF(data[[#This Row],[Actual Delivery Days]]&gt;AD742,"Yes","No")</f>
        <v>Yes</v>
      </c>
    </row>
    <row r="742" spans="1:26">
      <c r="A742" s="17">
        <v>10741</v>
      </c>
      <c r="B742" s="17">
        <v>2</v>
      </c>
      <c r="C742" s="17">
        <v>5</v>
      </c>
      <c r="D742" s="17" t="s">
        <v>406</v>
      </c>
      <c r="E742" s="17" t="s">
        <v>498</v>
      </c>
      <c r="F742" s="17" t="str">
        <f>TEXT(data[[#This Row],[ShipDate]],"yyyy - mmmm")</f>
        <v>2016 - July</v>
      </c>
      <c r="G742" s="17" t="str">
        <f>data[[#This Row],[OriginCity]] &amp; " - "  &amp; data[[#This Row],[DestinationCity]]</f>
        <v>Naperville - Indianapolis</v>
      </c>
      <c r="H742" s="17" t="s">
        <v>48</v>
      </c>
      <c r="I742" s="17" t="s">
        <v>31</v>
      </c>
      <c r="J742" s="17">
        <v>4</v>
      </c>
      <c r="K742" s="17" t="s">
        <v>43</v>
      </c>
      <c r="L742" s="17" t="s">
        <v>44</v>
      </c>
      <c r="M742" s="17" t="s">
        <v>299</v>
      </c>
      <c r="N742" s="17">
        <v>1086</v>
      </c>
      <c r="O742" s="17">
        <v>305</v>
      </c>
      <c r="P742" s="26">
        <f>(data[[#This Row],[LoadedMiles]]/data[[#This Row],[TotalMiles]])*100</f>
        <v>28.084714548802946</v>
      </c>
      <c r="Q742" s="25">
        <f>data[[#This Row],[ShippingCost]]/data[[#This Row],[TotalMiles]]</f>
        <v>5.6298342541436464</v>
      </c>
      <c r="R742" s="17">
        <v>6114</v>
      </c>
      <c r="S742" s="25">
        <f>data[[#This Row],[Revenue]]/data[[#This Row],[TotalMiles]]</f>
        <v>6.2034990791896867</v>
      </c>
      <c r="T742" s="26">
        <f>data[[#This Row],[Revenue]]-data[[#This Row],[ShippingCost]]</f>
        <v>623</v>
      </c>
      <c r="U742" s="17">
        <v>6737</v>
      </c>
      <c r="V742" s="17">
        <v>95</v>
      </c>
      <c r="W742" s="17" t="s">
        <v>25</v>
      </c>
      <c r="X742" s="17">
        <v>1</v>
      </c>
      <c r="Y742" s="17">
        <f>data[[#This Row],[DeliveryDate]]-data[[#This Row],[ShipDate]]</f>
        <v>2</v>
      </c>
      <c r="Z742" s="17" t="str">
        <f>IF(data[[#This Row],[Actual Delivery Days]]&gt;AD743,"Yes","No")</f>
        <v>Yes</v>
      </c>
    </row>
    <row r="743" spans="1:26">
      <c r="A743" s="17">
        <v>10751</v>
      </c>
      <c r="B743" s="17">
        <v>1</v>
      </c>
      <c r="C743" s="17">
        <v>5</v>
      </c>
      <c r="D743" s="17" t="s">
        <v>427</v>
      </c>
      <c r="E743" s="17" t="s">
        <v>81</v>
      </c>
      <c r="F743" s="17" t="str">
        <f>TEXT(data[[#This Row],[ShipDate]],"yyyy - mmmm")</f>
        <v>2016 - March</v>
      </c>
      <c r="G743" s="17" t="str">
        <f>data[[#This Row],[OriginCity]] &amp; " - "  &amp; data[[#This Row],[DestinationCity]]</f>
        <v>Grand Rapids - Toledo</v>
      </c>
      <c r="H743" s="17" t="s">
        <v>20</v>
      </c>
      <c r="I743" s="17" t="s">
        <v>21</v>
      </c>
      <c r="J743" s="17">
        <v>4</v>
      </c>
      <c r="K743" s="17" t="s">
        <v>22</v>
      </c>
      <c r="L743" s="17" t="s">
        <v>23</v>
      </c>
      <c r="M743" s="17" t="s">
        <v>129</v>
      </c>
      <c r="N743" s="17">
        <v>1076</v>
      </c>
      <c r="O743" s="17">
        <v>798</v>
      </c>
      <c r="P743" s="26">
        <f>(data[[#This Row],[LoadedMiles]]/data[[#This Row],[TotalMiles]])*100</f>
        <v>74.163568773234203</v>
      </c>
      <c r="Q743" s="25">
        <f>data[[#This Row],[ShippingCost]]/data[[#This Row],[TotalMiles]]</f>
        <v>3.3085501858736062</v>
      </c>
      <c r="R743" s="17">
        <v>3560</v>
      </c>
      <c r="S743" s="25">
        <f>data[[#This Row],[Revenue]]/data[[#This Row],[TotalMiles]]</f>
        <v>3.6366171003717471</v>
      </c>
      <c r="T743" s="26">
        <f>data[[#This Row],[Revenue]]-data[[#This Row],[ShippingCost]]</f>
        <v>353</v>
      </c>
      <c r="U743" s="17">
        <v>3913</v>
      </c>
      <c r="V743" s="17">
        <v>57</v>
      </c>
      <c r="W743" s="17" t="s">
        <v>25</v>
      </c>
      <c r="X743" s="17">
        <v>5</v>
      </c>
      <c r="Y743" s="17">
        <f>data[[#This Row],[DeliveryDate]]-data[[#This Row],[ShipDate]]</f>
        <v>2</v>
      </c>
      <c r="Z743" s="17" t="str">
        <f>IF(data[[#This Row],[Actual Delivery Days]]&gt;AD744,"Yes","No")</f>
        <v>Yes</v>
      </c>
    </row>
    <row r="744" spans="1:26">
      <c r="A744" s="17">
        <v>10753</v>
      </c>
      <c r="B744" s="17">
        <v>2</v>
      </c>
      <c r="C744" s="17">
        <v>6</v>
      </c>
      <c r="D744" s="17" t="s">
        <v>431</v>
      </c>
      <c r="E744" s="17" t="s">
        <v>282</v>
      </c>
      <c r="F744" s="17" t="str">
        <f>TEXT(data[[#This Row],[ShipDate]],"yyyy - mmmm")</f>
        <v>2016 - June</v>
      </c>
      <c r="G744" s="17" t="str">
        <f>data[[#This Row],[OriginCity]] &amp; " - "  &amp; data[[#This Row],[DestinationCity]]</f>
        <v>Chicago - Rockford</v>
      </c>
      <c r="H744" s="17" t="s">
        <v>39</v>
      </c>
      <c r="I744" s="17" t="s">
        <v>31</v>
      </c>
      <c r="J744" s="17">
        <v>4</v>
      </c>
      <c r="K744" s="17" t="s">
        <v>40</v>
      </c>
      <c r="L744" s="17" t="s">
        <v>31</v>
      </c>
      <c r="M744" s="17" t="s">
        <v>410</v>
      </c>
      <c r="N744" s="17">
        <v>558</v>
      </c>
      <c r="O744" s="17">
        <v>558</v>
      </c>
      <c r="P744" s="26">
        <f>(data[[#This Row],[LoadedMiles]]/data[[#This Row],[TotalMiles]])*100</f>
        <v>100</v>
      </c>
      <c r="Q744" s="25">
        <f>data[[#This Row],[ShippingCost]]/data[[#This Row],[TotalMiles]]</f>
        <v>10.650537634408602</v>
      </c>
      <c r="R744" s="17">
        <v>5943</v>
      </c>
      <c r="S744" s="25">
        <f>data[[#This Row],[Revenue]]/data[[#This Row],[TotalMiles]]</f>
        <v>12.10752688172043</v>
      </c>
      <c r="T744" s="26">
        <f>data[[#This Row],[Revenue]]-data[[#This Row],[ShippingCost]]</f>
        <v>813</v>
      </c>
      <c r="U744" s="17">
        <v>6756</v>
      </c>
      <c r="V744" s="17">
        <v>70</v>
      </c>
      <c r="W744" s="17" t="s">
        <v>25</v>
      </c>
      <c r="X744" s="17">
        <v>1</v>
      </c>
      <c r="Y744" s="17">
        <f>data[[#This Row],[DeliveryDate]]-data[[#This Row],[ShipDate]]</f>
        <v>4</v>
      </c>
      <c r="Z744" s="17" t="str">
        <f>IF(data[[#This Row],[Actual Delivery Days]]&gt;AD745,"Yes","No")</f>
        <v>Yes</v>
      </c>
    </row>
    <row r="745" spans="1:26">
      <c r="A745" s="17">
        <v>10754</v>
      </c>
      <c r="B745" s="17">
        <v>2</v>
      </c>
      <c r="C745" s="17">
        <v>6</v>
      </c>
      <c r="D745" s="17" t="s">
        <v>432</v>
      </c>
      <c r="E745" s="17" t="s">
        <v>226</v>
      </c>
      <c r="F745" s="17" t="str">
        <f>TEXT(data[[#This Row],[ShipDate]],"yyyy - mmmm")</f>
        <v>2016 - May</v>
      </c>
      <c r="G745" s="17" t="str">
        <f>data[[#This Row],[OriginCity]] &amp; " - "  &amp; data[[#This Row],[DestinationCity]]</f>
        <v>Indianapolis - Northbrook</v>
      </c>
      <c r="H745" s="17" t="s">
        <v>43</v>
      </c>
      <c r="I745" s="17" t="s">
        <v>44</v>
      </c>
      <c r="J745" s="17">
        <v>4</v>
      </c>
      <c r="K745" s="17" t="s">
        <v>45</v>
      </c>
      <c r="L745" s="17" t="s">
        <v>31</v>
      </c>
      <c r="M745" s="17" t="s">
        <v>261</v>
      </c>
      <c r="N745" s="17">
        <v>533</v>
      </c>
      <c r="O745" s="17">
        <v>429</v>
      </c>
      <c r="P745" s="26">
        <f>(data[[#This Row],[LoadedMiles]]/data[[#This Row],[TotalMiles]])*100</f>
        <v>80.487804878048792</v>
      </c>
      <c r="Q745" s="25">
        <f>data[[#This Row],[ShippingCost]]/data[[#This Row],[TotalMiles]]</f>
        <v>11.165103189493433</v>
      </c>
      <c r="R745" s="17">
        <v>5951</v>
      </c>
      <c r="S745" s="25">
        <f>data[[#This Row],[Revenue]]/data[[#This Row],[TotalMiles]]</f>
        <v>12.76360225140713</v>
      </c>
      <c r="T745" s="26">
        <f>data[[#This Row],[Revenue]]-data[[#This Row],[ShippingCost]]</f>
        <v>852</v>
      </c>
      <c r="U745" s="17">
        <v>6803</v>
      </c>
      <c r="V745" s="17">
        <v>73</v>
      </c>
      <c r="W745" s="17" t="s">
        <v>25</v>
      </c>
      <c r="X745" s="17">
        <v>7</v>
      </c>
      <c r="Y745" s="17">
        <f>data[[#This Row],[DeliveryDate]]-data[[#This Row],[ShipDate]]</f>
        <v>4</v>
      </c>
      <c r="Z745" s="17" t="str">
        <f>IF(data[[#This Row],[Actual Delivery Days]]&gt;AD746,"Yes","No")</f>
        <v>Yes</v>
      </c>
    </row>
    <row r="746" spans="1:26">
      <c r="A746" s="17">
        <v>10757</v>
      </c>
      <c r="B746" s="17">
        <v>2</v>
      </c>
      <c r="C746" s="17">
        <v>4</v>
      </c>
      <c r="D746" s="17" t="s">
        <v>436</v>
      </c>
      <c r="E746" s="17" t="s">
        <v>141</v>
      </c>
      <c r="F746" s="17" t="str">
        <f>TEXT(data[[#This Row],[ShipDate]],"yyyy - mmmm")</f>
        <v>2016 - August</v>
      </c>
      <c r="G746" s="17" t="str">
        <f>data[[#This Row],[OriginCity]] &amp; " - "  &amp; data[[#This Row],[DestinationCity]]</f>
        <v>Gary - Milwaukee</v>
      </c>
      <c r="H746" s="17" t="s">
        <v>57</v>
      </c>
      <c r="I746" s="17" t="s">
        <v>44</v>
      </c>
      <c r="J746" s="17">
        <v>4</v>
      </c>
      <c r="K746" s="17" t="s">
        <v>28</v>
      </c>
      <c r="L746" s="17" t="s">
        <v>29</v>
      </c>
      <c r="M746" s="17" t="s">
        <v>387</v>
      </c>
      <c r="N746" s="17">
        <v>735</v>
      </c>
      <c r="O746" s="17">
        <v>587</v>
      </c>
      <c r="P746" s="26">
        <f>(data[[#This Row],[LoadedMiles]]/data[[#This Row],[TotalMiles]])*100</f>
        <v>79.863945578231295</v>
      </c>
      <c r="Q746" s="25">
        <f>data[[#This Row],[ShippingCost]]/data[[#This Row],[TotalMiles]]</f>
        <v>10.357823129251701</v>
      </c>
      <c r="R746" s="17">
        <v>7613</v>
      </c>
      <c r="S746" s="25">
        <f>data[[#This Row],[Revenue]]/data[[#This Row],[TotalMiles]]</f>
        <v>7.7183673469387752</v>
      </c>
      <c r="T746" s="26">
        <f>data[[#This Row],[Revenue]]-data[[#This Row],[ShippingCost]]</f>
        <v>-1940</v>
      </c>
      <c r="U746" s="17">
        <v>5673</v>
      </c>
      <c r="V746" s="17">
        <v>89</v>
      </c>
      <c r="W746" s="17" t="s">
        <v>25</v>
      </c>
      <c r="X746" s="17">
        <v>6</v>
      </c>
      <c r="Y746" s="17">
        <f>data[[#This Row],[DeliveryDate]]-data[[#This Row],[ShipDate]]</f>
        <v>4</v>
      </c>
      <c r="Z746" s="17" t="str">
        <f>IF(data[[#This Row],[Actual Delivery Days]]&gt;AD747,"Yes","No")</f>
        <v>Yes</v>
      </c>
    </row>
    <row r="747" spans="1:26">
      <c r="A747" s="17">
        <v>10770</v>
      </c>
      <c r="B747" s="17">
        <v>1</v>
      </c>
      <c r="C747" s="17">
        <v>4</v>
      </c>
      <c r="D747" s="17" t="s">
        <v>456</v>
      </c>
      <c r="E747" s="17" t="s">
        <v>473</v>
      </c>
      <c r="F747" s="17" t="str">
        <f>TEXT(data[[#This Row],[ShipDate]],"yyyy - mmmm")</f>
        <v>2016 - June</v>
      </c>
      <c r="G747" s="17" t="str">
        <f>data[[#This Row],[OriginCity]] &amp; " - "  &amp; data[[#This Row],[DestinationCity]]</f>
        <v>Elgin - Cincinnati</v>
      </c>
      <c r="H747" s="17" t="s">
        <v>94</v>
      </c>
      <c r="I747" s="17" t="s">
        <v>31</v>
      </c>
      <c r="J747" s="17">
        <v>4</v>
      </c>
      <c r="K747" s="17" t="s">
        <v>89</v>
      </c>
      <c r="L747" s="17" t="s">
        <v>23</v>
      </c>
      <c r="M747" s="17" t="s">
        <v>607</v>
      </c>
      <c r="N747" s="17">
        <v>536</v>
      </c>
      <c r="O747" s="17">
        <v>416</v>
      </c>
      <c r="P747" s="26">
        <f>(data[[#This Row],[LoadedMiles]]/data[[#This Row],[TotalMiles]])*100</f>
        <v>77.611940298507463</v>
      </c>
      <c r="Q747" s="25">
        <f>data[[#This Row],[ShippingCost]]/data[[#This Row],[TotalMiles]]</f>
        <v>13.236940298507463</v>
      </c>
      <c r="R747" s="17">
        <v>7095</v>
      </c>
      <c r="S747" s="25">
        <f>data[[#This Row],[Revenue]]/data[[#This Row],[TotalMiles]]</f>
        <v>8.8675373134328357</v>
      </c>
      <c r="T747" s="26">
        <f>data[[#This Row],[Revenue]]-data[[#This Row],[ShippingCost]]</f>
        <v>-2342</v>
      </c>
      <c r="U747" s="17">
        <v>4753</v>
      </c>
      <c r="V747" s="17">
        <v>50</v>
      </c>
      <c r="W747" s="17" t="s">
        <v>25</v>
      </c>
      <c r="X747" s="17">
        <v>7</v>
      </c>
      <c r="Y747" s="17">
        <f>data[[#This Row],[DeliveryDate]]-data[[#This Row],[ShipDate]]</f>
        <v>3</v>
      </c>
      <c r="Z747" s="17" t="str">
        <f>IF(data[[#This Row],[Actual Delivery Days]]&gt;AD748,"Yes","No")</f>
        <v>Yes</v>
      </c>
    </row>
    <row r="748" spans="1:26">
      <c r="A748" s="17">
        <v>10773</v>
      </c>
      <c r="B748" s="17">
        <v>2</v>
      </c>
      <c r="C748" s="17">
        <v>7</v>
      </c>
      <c r="D748" s="17" t="s">
        <v>459</v>
      </c>
      <c r="E748" s="17" t="s">
        <v>362</v>
      </c>
      <c r="F748" s="17" t="str">
        <f>TEXT(data[[#This Row],[ShipDate]],"yyyy - mmmm")</f>
        <v>2016 - February</v>
      </c>
      <c r="G748" s="17" t="str">
        <f>data[[#This Row],[OriginCity]] &amp; " - "  &amp; data[[#This Row],[DestinationCity]]</f>
        <v>Davenport - Appleton</v>
      </c>
      <c r="H748" s="17" t="s">
        <v>105</v>
      </c>
      <c r="I748" s="17" t="s">
        <v>106</v>
      </c>
      <c r="J748" s="17">
        <v>4</v>
      </c>
      <c r="K748" s="17" t="s">
        <v>85</v>
      </c>
      <c r="L748" s="17" t="s">
        <v>29</v>
      </c>
      <c r="M748" s="17" t="s">
        <v>363</v>
      </c>
      <c r="N748" s="17">
        <v>620</v>
      </c>
      <c r="O748" s="17">
        <v>458</v>
      </c>
      <c r="P748" s="26">
        <f>(data[[#This Row],[LoadedMiles]]/data[[#This Row],[TotalMiles]])*100</f>
        <v>73.870967741935488</v>
      </c>
      <c r="Q748" s="25">
        <f>data[[#This Row],[ShippingCost]]/data[[#This Row],[TotalMiles]]</f>
        <v>4.2241935483870972</v>
      </c>
      <c r="R748" s="17">
        <v>2619</v>
      </c>
      <c r="S748" s="25">
        <f>data[[#This Row],[Revenue]]/data[[#This Row],[TotalMiles]]</f>
        <v>4.5790322580645162</v>
      </c>
      <c r="T748" s="26">
        <f>data[[#This Row],[Revenue]]-data[[#This Row],[ShippingCost]]</f>
        <v>220</v>
      </c>
      <c r="U748" s="17">
        <v>2839</v>
      </c>
      <c r="V748" s="17">
        <v>66</v>
      </c>
      <c r="W748" s="17" t="s">
        <v>25</v>
      </c>
      <c r="X748" s="17">
        <v>2</v>
      </c>
      <c r="Y748" s="17">
        <f>data[[#This Row],[DeliveryDate]]-data[[#This Row],[ShipDate]]</f>
        <v>4</v>
      </c>
      <c r="Z748" s="17" t="str">
        <f>IF(data[[#This Row],[Actual Delivery Days]]&gt;AD749,"Yes","No")</f>
        <v>Yes</v>
      </c>
    </row>
    <row r="749" spans="1:26">
      <c r="A749" s="17">
        <v>10777</v>
      </c>
      <c r="B749" s="17">
        <v>2</v>
      </c>
      <c r="C749" s="17">
        <v>8</v>
      </c>
      <c r="D749" s="17" t="s">
        <v>465</v>
      </c>
      <c r="E749" s="17" t="s">
        <v>118</v>
      </c>
      <c r="F749" s="17" t="str">
        <f>TEXT(data[[#This Row],[ShipDate]],"yyyy - mmmm")</f>
        <v>2016 - August</v>
      </c>
      <c r="G749" s="17" t="str">
        <f>data[[#This Row],[OriginCity]] &amp; " - "  &amp; data[[#This Row],[DestinationCity]]</f>
        <v>Chicago - Rockford</v>
      </c>
      <c r="H749" s="17" t="s">
        <v>39</v>
      </c>
      <c r="I749" s="17" t="s">
        <v>31</v>
      </c>
      <c r="J749" s="17">
        <v>4</v>
      </c>
      <c r="K749" s="17" t="s">
        <v>40</v>
      </c>
      <c r="L749" s="17" t="s">
        <v>31</v>
      </c>
      <c r="M749" s="17" t="s">
        <v>103</v>
      </c>
      <c r="N749" s="17">
        <v>1020</v>
      </c>
      <c r="O749" s="17">
        <v>320</v>
      </c>
      <c r="P749" s="26">
        <f>(data[[#This Row],[LoadedMiles]]/data[[#This Row],[TotalMiles]])*100</f>
        <v>31.372549019607842</v>
      </c>
      <c r="Q749" s="25">
        <f>data[[#This Row],[ShippingCost]]/data[[#This Row],[TotalMiles]]</f>
        <v>7.9137254901960787</v>
      </c>
      <c r="R749" s="17">
        <v>8072</v>
      </c>
      <c r="S749" s="25">
        <f>data[[#This Row],[Revenue]]/data[[#This Row],[TotalMiles]]</f>
        <v>8.7480392156862745</v>
      </c>
      <c r="T749" s="26">
        <f>data[[#This Row],[Revenue]]-data[[#This Row],[ShippingCost]]</f>
        <v>851</v>
      </c>
      <c r="U749" s="17">
        <v>8923</v>
      </c>
      <c r="V749" s="17">
        <v>64</v>
      </c>
      <c r="W749" s="17" t="s">
        <v>25</v>
      </c>
      <c r="X749" s="17">
        <v>4</v>
      </c>
      <c r="Y749" s="17">
        <f>data[[#This Row],[DeliveryDate]]-data[[#This Row],[ShipDate]]</f>
        <v>4</v>
      </c>
      <c r="Z749" s="17" t="str">
        <f>IF(data[[#This Row],[Actual Delivery Days]]&gt;AD750,"Yes","No")</f>
        <v>Yes</v>
      </c>
    </row>
    <row r="750" spans="1:26">
      <c r="A750" s="17">
        <v>10793</v>
      </c>
      <c r="B750" s="17">
        <v>1</v>
      </c>
      <c r="C750" s="17">
        <v>6</v>
      </c>
      <c r="D750" s="17" t="s">
        <v>488</v>
      </c>
      <c r="E750" s="17" t="s">
        <v>332</v>
      </c>
      <c r="F750" s="17" t="str">
        <f>TEXT(data[[#This Row],[ShipDate]],"yyyy - mmmm")</f>
        <v>2016 - February</v>
      </c>
      <c r="G750" s="17" t="str">
        <f>data[[#This Row],[OriginCity]] &amp; " - "  &amp; data[[#This Row],[DestinationCity]]</f>
        <v>Skokie - Chicago</v>
      </c>
      <c r="H750" s="17" t="s">
        <v>35</v>
      </c>
      <c r="I750" s="17" t="s">
        <v>31</v>
      </c>
      <c r="J750" s="17">
        <v>4</v>
      </c>
      <c r="K750" s="17" t="s">
        <v>39</v>
      </c>
      <c r="L750" s="17" t="s">
        <v>31</v>
      </c>
      <c r="M750" s="17" t="s">
        <v>333</v>
      </c>
      <c r="N750" s="17">
        <v>490</v>
      </c>
      <c r="O750" s="17">
        <v>490</v>
      </c>
      <c r="P750" s="26">
        <f>(data[[#This Row],[LoadedMiles]]/data[[#This Row],[TotalMiles]])*100</f>
        <v>100</v>
      </c>
      <c r="Q750" s="25">
        <f>data[[#This Row],[ShippingCost]]/data[[#This Row],[TotalMiles]]</f>
        <v>2.7938775510204081</v>
      </c>
      <c r="R750" s="17">
        <v>1369</v>
      </c>
      <c r="S750" s="25">
        <f>data[[#This Row],[Revenue]]/data[[#This Row],[TotalMiles]]</f>
        <v>4.2897959183673473</v>
      </c>
      <c r="T750" s="26">
        <f>data[[#This Row],[Revenue]]-data[[#This Row],[ShippingCost]]</f>
        <v>733</v>
      </c>
      <c r="U750" s="17">
        <v>2102</v>
      </c>
      <c r="V750" s="17">
        <v>90</v>
      </c>
      <c r="W750" s="17" t="s">
        <v>25</v>
      </c>
      <c r="X750" s="17">
        <v>1</v>
      </c>
      <c r="Y750" s="17">
        <f>data[[#This Row],[DeliveryDate]]-data[[#This Row],[ShipDate]]</f>
        <v>4</v>
      </c>
      <c r="Z750" s="17" t="str">
        <f>IF(data[[#This Row],[Actual Delivery Days]]&gt;AD751,"Yes","No")</f>
        <v>Yes</v>
      </c>
    </row>
    <row r="751" spans="1:26">
      <c r="A751" s="17">
        <v>10794</v>
      </c>
      <c r="B751" s="17">
        <v>1</v>
      </c>
      <c r="C751" s="17">
        <v>4</v>
      </c>
      <c r="D751" s="17" t="s">
        <v>490</v>
      </c>
      <c r="E751" s="17" t="s">
        <v>214</v>
      </c>
      <c r="F751" s="17" t="str">
        <f>TEXT(data[[#This Row],[ShipDate]],"yyyy - mmmm")</f>
        <v>2016 - August</v>
      </c>
      <c r="G751" s="17" t="str">
        <f>data[[#This Row],[OriginCity]] &amp; " - "  &amp; data[[#This Row],[DestinationCity]]</f>
        <v>Davenport - Appleton</v>
      </c>
      <c r="H751" s="17" t="s">
        <v>105</v>
      </c>
      <c r="I751" s="17" t="s">
        <v>106</v>
      </c>
      <c r="J751" s="17">
        <v>4</v>
      </c>
      <c r="K751" s="17" t="s">
        <v>85</v>
      </c>
      <c r="L751" s="17" t="s">
        <v>29</v>
      </c>
      <c r="M751" s="17" t="s">
        <v>597</v>
      </c>
      <c r="N751" s="17">
        <v>868</v>
      </c>
      <c r="O751" s="17">
        <v>249</v>
      </c>
      <c r="P751" s="26">
        <f>(data[[#This Row],[LoadedMiles]]/data[[#This Row],[TotalMiles]])*100</f>
        <v>28.686635944700463</v>
      </c>
      <c r="Q751" s="25">
        <f>data[[#This Row],[ShippingCost]]/data[[#This Row],[TotalMiles]]</f>
        <v>8.0794930875576032</v>
      </c>
      <c r="R751" s="17">
        <v>7013</v>
      </c>
      <c r="S751" s="25">
        <f>data[[#This Row],[Revenue]]/data[[#This Row],[TotalMiles]]</f>
        <v>5.5207373271889404</v>
      </c>
      <c r="T751" s="26">
        <f>data[[#This Row],[Revenue]]-data[[#This Row],[ShippingCost]]</f>
        <v>-2221</v>
      </c>
      <c r="U751" s="17">
        <v>4792</v>
      </c>
      <c r="V751" s="17">
        <v>82</v>
      </c>
      <c r="W751" s="17" t="s">
        <v>25</v>
      </c>
      <c r="X751" s="17">
        <v>2</v>
      </c>
      <c r="Y751" s="17">
        <f>data[[#This Row],[DeliveryDate]]-data[[#This Row],[ShipDate]]</f>
        <v>4</v>
      </c>
      <c r="Z751" s="17" t="str">
        <f>IF(data[[#This Row],[Actual Delivery Days]]&gt;AD752,"Yes","No")</f>
        <v>Yes</v>
      </c>
    </row>
    <row r="752" spans="1:26">
      <c r="A752" s="17">
        <v>10802</v>
      </c>
      <c r="B752" s="17">
        <v>2</v>
      </c>
      <c r="C752" s="17">
        <v>7</v>
      </c>
      <c r="D752" s="17" t="s">
        <v>501</v>
      </c>
      <c r="E752" s="17" t="s">
        <v>240</v>
      </c>
      <c r="F752" s="17" t="str">
        <f>TEXT(data[[#This Row],[ShipDate]],"yyyy - mmmm")</f>
        <v>2016 - August</v>
      </c>
      <c r="G752" s="17" t="str">
        <f>data[[#This Row],[OriginCity]] &amp; " - "  &amp; data[[#This Row],[DestinationCity]]</f>
        <v>Gary - Milwaukee</v>
      </c>
      <c r="H752" s="17" t="s">
        <v>57</v>
      </c>
      <c r="I752" s="17" t="s">
        <v>44</v>
      </c>
      <c r="J752" s="17">
        <v>4</v>
      </c>
      <c r="K752" s="17" t="s">
        <v>28</v>
      </c>
      <c r="L752" s="17" t="s">
        <v>29</v>
      </c>
      <c r="M752" s="17" t="s">
        <v>241</v>
      </c>
      <c r="N752" s="17">
        <v>1099</v>
      </c>
      <c r="O752" s="17">
        <v>433</v>
      </c>
      <c r="P752" s="26">
        <f>(data[[#This Row],[LoadedMiles]]/data[[#This Row],[TotalMiles]])*100</f>
        <v>39.399454049135578</v>
      </c>
      <c r="Q752" s="25">
        <f>data[[#This Row],[ShippingCost]]/data[[#This Row],[TotalMiles]]</f>
        <v>4.8334849863512286</v>
      </c>
      <c r="R752" s="17">
        <v>5312</v>
      </c>
      <c r="S752" s="25">
        <f>data[[#This Row],[Revenue]]/data[[#This Row],[TotalMiles]]</f>
        <v>5.5022747952684261</v>
      </c>
      <c r="T752" s="26">
        <f>data[[#This Row],[Revenue]]-data[[#This Row],[ShippingCost]]</f>
        <v>735</v>
      </c>
      <c r="U752" s="17">
        <v>6047</v>
      </c>
      <c r="V752" s="17">
        <v>80</v>
      </c>
      <c r="W752" s="17" t="s">
        <v>25</v>
      </c>
      <c r="X752" s="17">
        <v>3</v>
      </c>
      <c r="Y752" s="17">
        <f>data[[#This Row],[DeliveryDate]]-data[[#This Row],[ShipDate]]</f>
        <v>4</v>
      </c>
      <c r="Z752" s="17" t="str">
        <f>IF(data[[#This Row],[Actual Delivery Days]]&gt;AD753,"Yes","No")</f>
        <v>Yes</v>
      </c>
    </row>
    <row r="753" spans="1:26">
      <c r="A753" s="17">
        <v>10804</v>
      </c>
      <c r="B753" s="17">
        <v>2</v>
      </c>
      <c r="C753" s="17">
        <v>4</v>
      </c>
      <c r="D753" s="17" t="s">
        <v>503</v>
      </c>
      <c r="E753" s="17" t="s">
        <v>236</v>
      </c>
      <c r="F753" s="17" t="str">
        <f>TEXT(data[[#This Row],[ShipDate]],"yyyy - mmmm")</f>
        <v>2016 - January</v>
      </c>
      <c r="G753" s="17" t="str">
        <f>data[[#This Row],[OriginCity]] &amp; " - "  &amp; data[[#This Row],[DestinationCity]]</f>
        <v>Monon - Lansing</v>
      </c>
      <c r="H753" s="17" t="s">
        <v>53</v>
      </c>
      <c r="I753" s="17" t="s">
        <v>44</v>
      </c>
      <c r="J753" s="17">
        <v>4</v>
      </c>
      <c r="K753" s="17" t="s">
        <v>66</v>
      </c>
      <c r="L753" s="17" t="s">
        <v>21</v>
      </c>
      <c r="M753" s="17" t="s">
        <v>92</v>
      </c>
      <c r="N753" s="17">
        <v>905</v>
      </c>
      <c r="O753" s="17">
        <v>681</v>
      </c>
      <c r="P753" s="26">
        <f>(data[[#This Row],[LoadedMiles]]/data[[#This Row],[TotalMiles]])*100</f>
        <v>75.248618784530379</v>
      </c>
      <c r="Q753" s="25">
        <f>data[[#This Row],[ShippingCost]]/data[[#This Row],[TotalMiles]]</f>
        <v>8.4729281767955804</v>
      </c>
      <c r="R753" s="17">
        <v>7668</v>
      </c>
      <c r="S753" s="25">
        <f>data[[#This Row],[Revenue]]/data[[#This Row],[TotalMiles]]</f>
        <v>6.1403314917127068</v>
      </c>
      <c r="T753" s="26">
        <f>data[[#This Row],[Revenue]]-data[[#This Row],[ShippingCost]]</f>
        <v>-2111</v>
      </c>
      <c r="U753" s="17">
        <v>5557</v>
      </c>
      <c r="V753" s="17">
        <v>75</v>
      </c>
      <c r="W753" s="17" t="s">
        <v>25</v>
      </c>
      <c r="X753" s="17">
        <v>2</v>
      </c>
      <c r="Y753" s="17">
        <f>data[[#This Row],[DeliveryDate]]-data[[#This Row],[ShipDate]]</f>
        <v>4</v>
      </c>
      <c r="Z753" s="17" t="str">
        <f>IF(data[[#This Row],[Actual Delivery Days]]&gt;AD754,"Yes","No")</f>
        <v>Yes</v>
      </c>
    </row>
    <row r="754" spans="1:26">
      <c r="A754" s="17">
        <v>10807</v>
      </c>
      <c r="B754" s="17">
        <v>1</v>
      </c>
      <c r="C754" s="17">
        <v>6</v>
      </c>
      <c r="D754" s="17" t="s">
        <v>508</v>
      </c>
      <c r="E754" s="17" t="s">
        <v>116</v>
      </c>
      <c r="F754" s="17" t="str">
        <f>TEXT(data[[#This Row],[ShipDate]],"yyyy - mmmm")</f>
        <v>2016 - July</v>
      </c>
      <c r="G754" s="17" t="str">
        <f>data[[#This Row],[OriginCity]] &amp; " - "  &amp; data[[#This Row],[DestinationCity]]</f>
        <v>Appleton - Grand Rapids</v>
      </c>
      <c r="H754" s="17" t="s">
        <v>85</v>
      </c>
      <c r="I754" s="17" t="s">
        <v>29</v>
      </c>
      <c r="J754" s="17">
        <v>4</v>
      </c>
      <c r="K754" s="17" t="s">
        <v>20</v>
      </c>
      <c r="L754" s="17" t="s">
        <v>21</v>
      </c>
      <c r="M754" s="17" t="s">
        <v>608</v>
      </c>
      <c r="N754" s="17">
        <v>248</v>
      </c>
      <c r="O754" s="17">
        <v>248</v>
      </c>
      <c r="P754" s="26">
        <f>(data[[#This Row],[LoadedMiles]]/data[[#This Row],[TotalMiles]])*100</f>
        <v>100</v>
      </c>
      <c r="Q754" s="25">
        <f>data[[#This Row],[ShippingCost]]/data[[#This Row],[TotalMiles]]</f>
        <v>4.8266129032258061</v>
      </c>
      <c r="R754" s="17">
        <v>1197</v>
      </c>
      <c r="S754" s="25">
        <f>data[[#This Row],[Revenue]]/data[[#This Row],[TotalMiles]]</f>
        <v>8.125</v>
      </c>
      <c r="T754" s="26">
        <f>data[[#This Row],[Revenue]]-data[[#This Row],[ShippingCost]]</f>
        <v>818</v>
      </c>
      <c r="U754" s="17">
        <v>2015</v>
      </c>
      <c r="V754" s="17">
        <v>85</v>
      </c>
      <c r="W754" s="17" t="s">
        <v>25</v>
      </c>
      <c r="X754" s="17">
        <v>2</v>
      </c>
      <c r="Y754" s="17">
        <f>data[[#This Row],[DeliveryDate]]-data[[#This Row],[ShipDate]]</f>
        <v>4</v>
      </c>
      <c r="Z754" s="17" t="str">
        <f>IF(data[[#This Row],[Actual Delivery Days]]&gt;AD755,"Yes","No")</f>
        <v>Yes</v>
      </c>
    </row>
    <row r="755" spans="1:26">
      <c r="A755" s="17">
        <v>10808</v>
      </c>
      <c r="B755" s="17">
        <v>1</v>
      </c>
      <c r="C755" s="17">
        <v>6</v>
      </c>
      <c r="D755" s="17" t="s">
        <v>510</v>
      </c>
      <c r="E755" s="17" t="s">
        <v>291</v>
      </c>
      <c r="F755" s="17" t="str">
        <f>TEXT(data[[#This Row],[ShipDate]],"yyyy - mmmm")</f>
        <v>2016 - February</v>
      </c>
      <c r="G755" s="17" t="str">
        <f>data[[#This Row],[OriginCity]] &amp; " - "  &amp; data[[#This Row],[DestinationCity]]</f>
        <v>Cincinnati - Gary</v>
      </c>
      <c r="H755" s="17" t="s">
        <v>89</v>
      </c>
      <c r="I755" s="17" t="s">
        <v>23</v>
      </c>
      <c r="J755" s="17">
        <v>4</v>
      </c>
      <c r="K755" s="17" t="s">
        <v>57</v>
      </c>
      <c r="L755" s="17" t="s">
        <v>44</v>
      </c>
      <c r="M755" s="17" t="s">
        <v>611</v>
      </c>
      <c r="N755" s="17">
        <v>429</v>
      </c>
      <c r="O755" s="17">
        <v>429</v>
      </c>
      <c r="P755" s="26">
        <f>(data[[#This Row],[LoadedMiles]]/data[[#This Row],[TotalMiles]])*100</f>
        <v>100</v>
      </c>
      <c r="Q755" s="25">
        <f>data[[#This Row],[ShippingCost]]/data[[#This Row],[TotalMiles]]</f>
        <v>4.2191142191142195</v>
      </c>
      <c r="R755" s="17">
        <v>1810</v>
      </c>
      <c r="S755" s="25">
        <f>data[[#This Row],[Revenue]]/data[[#This Row],[TotalMiles]]</f>
        <v>5.5314685314685317</v>
      </c>
      <c r="T755" s="26">
        <f>data[[#This Row],[Revenue]]-data[[#This Row],[ShippingCost]]</f>
        <v>563</v>
      </c>
      <c r="U755" s="17">
        <v>2373</v>
      </c>
      <c r="V755" s="17">
        <v>84</v>
      </c>
      <c r="W755" s="17" t="s">
        <v>25</v>
      </c>
      <c r="X755" s="17">
        <v>3</v>
      </c>
      <c r="Y755" s="17">
        <f>data[[#This Row],[DeliveryDate]]-data[[#This Row],[ShipDate]]</f>
        <v>4</v>
      </c>
      <c r="Z755" s="17" t="str">
        <f>IF(data[[#This Row],[Actual Delivery Days]]&gt;AD756,"Yes","No")</f>
        <v>Yes</v>
      </c>
    </row>
    <row r="756" spans="1:26">
      <c r="A756" s="17">
        <v>10813</v>
      </c>
      <c r="B756" s="17">
        <v>1</v>
      </c>
      <c r="C756" s="17">
        <v>5</v>
      </c>
      <c r="D756" s="17" t="s">
        <v>516</v>
      </c>
      <c r="E756" s="17" t="s">
        <v>98</v>
      </c>
      <c r="F756" s="17" t="str">
        <f>TEXT(data[[#This Row],[ShipDate]],"yyyy - mmmm")</f>
        <v>2016 - April</v>
      </c>
      <c r="G756" s="17" t="str">
        <f>data[[#This Row],[OriginCity]] &amp; " - "  &amp; data[[#This Row],[DestinationCity]]</f>
        <v>Elgin - Cincinnati</v>
      </c>
      <c r="H756" s="17" t="s">
        <v>94</v>
      </c>
      <c r="I756" s="17" t="s">
        <v>31</v>
      </c>
      <c r="J756" s="17">
        <v>4</v>
      </c>
      <c r="K756" s="17" t="s">
        <v>89</v>
      </c>
      <c r="L756" s="17" t="s">
        <v>23</v>
      </c>
      <c r="M756" s="17" t="s">
        <v>47</v>
      </c>
      <c r="N756" s="17">
        <v>1118</v>
      </c>
      <c r="O756" s="17">
        <v>613</v>
      </c>
      <c r="P756" s="26">
        <f>(data[[#This Row],[LoadedMiles]]/data[[#This Row],[TotalMiles]])*100</f>
        <v>54.830053667262966</v>
      </c>
      <c r="Q756" s="25">
        <f>data[[#This Row],[ShippingCost]]/data[[#This Row],[TotalMiles]]</f>
        <v>6.8962432915921292</v>
      </c>
      <c r="R756" s="17">
        <v>7710</v>
      </c>
      <c r="S756" s="25">
        <f>data[[#This Row],[Revenue]]/data[[#This Row],[TotalMiles]]</f>
        <v>7.1189624329159216</v>
      </c>
      <c r="T756" s="26">
        <f>data[[#This Row],[Revenue]]-data[[#This Row],[ShippingCost]]</f>
        <v>249</v>
      </c>
      <c r="U756" s="17">
        <v>7959</v>
      </c>
      <c r="V756" s="17">
        <v>60</v>
      </c>
      <c r="W756" s="17" t="s">
        <v>25</v>
      </c>
      <c r="X756" s="17">
        <v>4</v>
      </c>
      <c r="Y756" s="17">
        <f>data[[#This Row],[DeliveryDate]]-data[[#This Row],[ShipDate]]</f>
        <v>1</v>
      </c>
      <c r="Z756" s="17" t="str">
        <f>IF(data[[#This Row],[Actual Delivery Days]]&gt;AD757,"Yes","No")</f>
        <v>Yes</v>
      </c>
    </row>
    <row r="757" spans="1:26">
      <c r="A757" s="17">
        <v>10820</v>
      </c>
      <c r="B757" s="17">
        <v>1</v>
      </c>
      <c r="C757" s="17">
        <v>4</v>
      </c>
      <c r="D757" s="17" t="s">
        <v>527</v>
      </c>
      <c r="E757" s="17" t="s">
        <v>236</v>
      </c>
      <c r="F757" s="17" t="str">
        <f>TEXT(data[[#This Row],[ShipDate]],"yyyy - mmmm")</f>
        <v>2016 - January</v>
      </c>
      <c r="G757" s="17" t="str">
        <f>data[[#This Row],[OriginCity]] &amp; " - "  &amp; data[[#This Row],[DestinationCity]]</f>
        <v>Northbrook - Naperville</v>
      </c>
      <c r="H757" s="17" t="s">
        <v>45</v>
      </c>
      <c r="I757" s="17" t="s">
        <v>31</v>
      </c>
      <c r="J757" s="17">
        <v>4</v>
      </c>
      <c r="K757" s="17" t="s">
        <v>48</v>
      </c>
      <c r="L757" s="17" t="s">
        <v>31</v>
      </c>
      <c r="M757" s="17" t="s">
        <v>92</v>
      </c>
      <c r="N757" s="17">
        <v>443</v>
      </c>
      <c r="O757" s="17">
        <v>443</v>
      </c>
      <c r="P757" s="26">
        <f>(data[[#This Row],[LoadedMiles]]/data[[#This Row],[TotalMiles]])*100</f>
        <v>100</v>
      </c>
      <c r="Q757" s="25">
        <f>data[[#This Row],[ShippingCost]]/data[[#This Row],[TotalMiles]]</f>
        <v>18.492099322799096</v>
      </c>
      <c r="R757" s="17">
        <v>8192</v>
      </c>
      <c r="S757" s="25">
        <f>data[[#This Row],[Revenue]]/data[[#This Row],[TotalMiles]]</f>
        <v>13.135440180586908</v>
      </c>
      <c r="T757" s="26">
        <f>data[[#This Row],[Revenue]]-data[[#This Row],[ShippingCost]]</f>
        <v>-2373</v>
      </c>
      <c r="U757" s="17">
        <v>5819</v>
      </c>
      <c r="V757" s="17">
        <v>77</v>
      </c>
      <c r="W757" s="17" t="s">
        <v>25</v>
      </c>
      <c r="X757" s="17">
        <v>1</v>
      </c>
      <c r="Y757" s="17">
        <f>data[[#This Row],[DeliveryDate]]-data[[#This Row],[ShipDate]]</f>
        <v>4</v>
      </c>
      <c r="Z757" s="17" t="str">
        <f>IF(data[[#This Row],[Actual Delivery Days]]&gt;AD758,"Yes","No")</f>
        <v>Yes</v>
      </c>
    </row>
    <row r="758" spans="1:26">
      <c r="A758" s="17">
        <v>10830</v>
      </c>
      <c r="B758" s="17">
        <v>2</v>
      </c>
      <c r="C758" s="17">
        <v>6</v>
      </c>
      <c r="D758" s="17" t="s">
        <v>543</v>
      </c>
      <c r="E758" s="17" t="s">
        <v>424</v>
      </c>
      <c r="F758" s="17" t="str">
        <f>TEXT(data[[#This Row],[ShipDate]],"yyyy - mmmm")</f>
        <v>2016 - January</v>
      </c>
      <c r="G758" s="17" t="str">
        <f>data[[#This Row],[OriginCity]] &amp; " - "  &amp; data[[#This Row],[DestinationCity]]</f>
        <v>Cincinnati - Gary</v>
      </c>
      <c r="H758" s="17" t="s">
        <v>89</v>
      </c>
      <c r="I758" s="17" t="s">
        <v>23</v>
      </c>
      <c r="J758" s="17">
        <v>4</v>
      </c>
      <c r="K758" s="17" t="s">
        <v>57</v>
      </c>
      <c r="L758" s="17" t="s">
        <v>44</v>
      </c>
      <c r="M758" s="17" t="s">
        <v>615</v>
      </c>
      <c r="N758" s="17">
        <v>794</v>
      </c>
      <c r="O758" s="17">
        <v>453</v>
      </c>
      <c r="P758" s="26">
        <f>(data[[#This Row],[LoadedMiles]]/data[[#This Row],[TotalMiles]])*100</f>
        <v>57.052896725440803</v>
      </c>
      <c r="Q758" s="25">
        <f>data[[#This Row],[ShippingCost]]/data[[#This Row],[TotalMiles]]</f>
        <v>6.2204030226700251</v>
      </c>
      <c r="R758" s="17">
        <v>4939</v>
      </c>
      <c r="S758" s="25">
        <f>data[[#This Row],[Revenue]]/data[[#This Row],[TotalMiles]]</f>
        <v>7.2707808564231735</v>
      </c>
      <c r="T758" s="26">
        <f>data[[#This Row],[Revenue]]-data[[#This Row],[ShippingCost]]</f>
        <v>834</v>
      </c>
      <c r="U758" s="17">
        <v>5773</v>
      </c>
      <c r="V758" s="17">
        <v>51</v>
      </c>
      <c r="W758" s="17" t="s">
        <v>25</v>
      </c>
      <c r="X758" s="17">
        <v>8</v>
      </c>
      <c r="Y758" s="17">
        <f>data[[#This Row],[DeliveryDate]]-data[[#This Row],[ShipDate]]</f>
        <v>4</v>
      </c>
      <c r="Z758" s="17" t="str">
        <f>IF(data[[#This Row],[Actual Delivery Days]]&gt;AD759,"Yes","No")</f>
        <v>Yes</v>
      </c>
    </row>
    <row r="759" spans="1:26">
      <c r="A759" s="17">
        <v>10831</v>
      </c>
      <c r="B759" s="17">
        <v>2</v>
      </c>
      <c r="C759" s="17">
        <v>8</v>
      </c>
      <c r="D759" s="17" t="s">
        <v>544</v>
      </c>
      <c r="E759" s="17" t="s">
        <v>286</v>
      </c>
      <c r="F759" s="17" t="str">
        <f>TEXT(data[[#This Row],[ShipDate]],"yyyy - mmmm")</f>
        <v>2016 - May</v>
      </c>
      <c r="G759" s="17" t="str">
        <f>data[[#This Row],[OriginCity]] &amp; " - "  &amp; data[[#This Row],[DestinationCity]]</f>
        <v>Dayton - Elgin</v>
      </c>
      <c r="H759" s="17" t="s">
        <v>93</v>
      </c>
      <c r="I759" s="17" t="s">
        <v>23</v>
      </c>
      <c r="J759" s="17">
        <v>4</v>
      </c>
      <c r="K759" s="17" t="s">
        <v>94</v>
      </c>
      <c r="L759" s="17" t="s">
        <v>31</v>
      </c>
      <c r="M759" s="17" t="s">
        <v>626</v>
      </c>
      <c r="N759" s="17">
        <v>491</v>
      </c>
      <c r="O759" s="17">
        <v>491</v>
      </c>
      <c r="P759" s="26">
        <f>(data[[#This Row],[LoadedMiles]]/data[[#This Row],[TotalMiles]])*100</f>
        <v>100</v>
      </c>
      <c r="Q759" s="25">
        <f>data[[#This Row],[ShippingCost]]/data[[#This Row],[TotalMiles]]</f>
        <v>3.1221995926680246</v>
      </c>
      <c r="R759" s="17">
        <v>1533</v>
      </c>
      <c r="S759" s="25">
        <f>data[[#This Row],[Revenue]]/data[[#This Row],[TotalMiles]]</f>
        <v>3.4847250509164969</v>
      </c>
      <c r="T759" s="26">
        <f>data[[#This Row],[Revenue]]-data[[#This Row],[ShippingCost]]</f>
        <v>178</v>
      </c>
      <c r="U759" s="17">
        <v>1711</v>
      </c>
      <c r="V759" s="17">
        <v>71</v>
      </c>
      <c r="W759" s="17" t="s">
        <v>25</v>
      </c>
      <c r="X759" s="17">
        <v>4</v>
      </c>
      <c r="Y759" s="17">
        <f>data[[#This Row],[DeliveryDate]]-data[[#This Row],[ShipDate]]</f>
        <v>1</v>
      </c>
      <c r="Z759" s="17" t="str">
        <f>IF(data[[#This Row],[Actual Delivery Days]]&gt;AD760,"Yes","No")</f>
        <v>Yes</v>
      </c>
    </row>
    <row r="760" spans="1:26">
      <c r="A760" s="17">
        <v>10840</v>
      </c>
      <c r="B760" s="17">
        <v>1</v>
      </c>
      <c r="C760" s="17">
        <v>6</v>
      </c>
      <c r="D760" s="17" t="s">
        <v>554</v>
      </c>
      <c r="E760" s="17" t="s">
        <v>118</v>
      </c>
      <c r="F760" s="17" t="str">
        <f>TEXT(data[[#This Row],[ShipDate]],"yyyy - mmmm")</f>
        <v>2016 - August</v>
      </c>
      <c r="G760" s="17" t="str">
        <f>data[[#This Row],[OriginCity]] &amp; " - "  &amp; data[[#This Row],[DestinationCity]]</f>
        <v>Milwaukee - Springfield</v>
      </c>
      <c r="H760" s="17" t="s">
        <v>28</v>
      </c>
      <c r="I760" s="17" t="s">
        <v>29</v>
      </c>
      <c r="J760" s="17">
        <v>4</v>
      </c>
      <c r="K760" s="17" t="s">
        <v>30</v>
      </c>
      <c r="L760" s="17" t="s">
        <v>31</v>
      </c>
      <c r="M760" s="17" t="s">
        <v>103</v>
      </c>
      <c r="N760" s="17">
        <v>436</v>
      </c>
      <c r="O760" s="17">
        <v>436</v>
      </c>
      <c r="P760" s="26">
        <f>(data[[#This Row],[LoadedMiles]]/data[[#This Row],[TotalMiles]])*100</f>
        <v>100</v>
      </c>
      <c r="Q760" s="25">
        <f>data[[#This Row],[ShippingCost]]/data[[#This Row],[TotalMiles]]</f>
        <v>7.5963302752293576</v>
      </c>
      <c r="R760" s="17">
        <v>3312</v>
      </c>
      <c r="S760" s="25">
        <f>data[[#This Row],[Revenue]]/data[[#This Row],[TotalMiles]]</f>
        <v>8.9472477064220186</v>
      </c>
      <c r="T760" s="26">
        <f>data[[#This Row],[Revenue]]-data[[#This Row],[ShippingCost]]</f>
        <v>589</v>
      </c>
      <c r="U760" s="17">
        <v>3901</v>
      </c>
      <c r="V760" s="17">
        <v>68</v>
      </c>
      <c r="W760" s="17" t="s">
        <v>25</v>
      </c>
      <c r="X760" s="17">
        <v>3</v>
      </c>
      <c r="Y760" s="17">
        <f>data[[#This Row],[DeliveryDate]]-data[[#This Row],[ShipDate]]</f>
        <v>4</v>
      </c>
      <c r="Z760" s="17" t="str">
        <f>IF(data[[#This Row],[Actual Delivery Days]]&gt;AD761,"Yes","No")</f>
        <v>Yes</v>
      </c>
    </row>
    <row r="761" spans="1:26">
      <c r="A761" s="17">
        <v>10846</v>
      </c>
      <c r="B761" s="17">
        <v>2</v>
      </c>
      <c r="C761" s="17">
        <v>6</v>
      </c>
      <c r="D761" s="17" t="s">
        <v>560</v>
      </c>
      <c r="E761" s="17" t="s">
        <v>606</v>
      </c>
      <c r="F761" s="17" t="str">
        <f>TEXT(data[[#This Row],[ShipDate]],"yyyy - mmmm")</f>
        <v>2016 - May</v>
      </c>
      <c r="G761" s="17" t="str">
        <f>data[[#This Row],[OriginCity]] &amp; " - "  &amp; data[[#This Row],[DestinationCity]]</f>
        <v>Gary - Milwaukee</v>
      </c>
      <c r="H761" s="17" t="s">
        <v>57</v>
      </c>
      <c r="I761" s="17" t="s">
        <v>44</v>
      </c>
      <c r="J761" s="17">
        <v>4</v>
      </c>
      <c r="K761" s="17" t="s">
        <v>28</v>
      </c>
      <c r="L761" s="17" t="s">
        <v>29</v>
      </c>
      <c r="M761" s="17" t="s">
        <v>226</v>
      </c>
      <c r="N761" s="17">
        <v>558</v>
      </c>
      <c r="O761" s="17">
        <v>480</v>
      </c>
      <c r="P761" s="26">
        <f>(data[[#This Row],[LoadedMiles]]/data[[#This Row],[TotalMiles]])*100</f>
        <v>86.021505376344081</v>
      </c>
      <c r="Q761" s="25">
        <f>data[[#This Row],[ShippingCost]]/data[[#This Row],[TotalMiles]]</f>
        <v>7.1648745519713257</v>
      </c>
      <c r="R761" s="17">
        <v>3998</v>
      </c>
      <c r="S761" s="25">
        <f>data[[#This Row],[Revenue]]/data[[#This Row],[TotalMiles]]</f>
        <v>7.870967741935484</v>
      </c>
      <c r="T761" s="26">
        <f>data[[#This Row],[Revenue]]-data[[#This Row],[ShippingCost]]</f>
        <v>394</v>
      </c>
      <c r="U761" s="17">
        <v>4392</v>
      </c>
      <c r="V761" s="17">
        <v>80</v>
      </c>
      <c r="W761" s="17" t="s">
        <v>25</v>
      </c>
      <c r="X761" s="17">
        <v>3</v>
      </c>
      <c r="Y761" s="17">
        <f>data[[#This Row],[DeliveryDate]]-data[[#This Row],[ShipDate]]</f>
        <v>4</v>
      </c>
      <c r="Z761" s="17" t="str">
        <f>IF(data[[#This Row],[Actual Delivery Days]]&gt;AD762,"Yes","No")</f>
        <v>Yes</v>
      </c>
    </row>
    <row r="762" spans="1:26">
      <c r="A762" s="17">
        <v>10850</v>
      </c>
      <c r="B762" s="17">
        <v>2</v>
      </c>
      <c r="C762" s="17">
        <v>2</v>
      </c>
      <c r="D762" s="17" t="s">
        <v>564</v>
      </c>
      <c r="E762" s="17" t="s">
        <v>298</v>
      </c>
      <c r="F762" s="17" t="str">
        <f>TEXT(data[[#This Row],[ShipDate]],"yyyy - mmmm")</f>
        <v>2016 - July</v>
      </c>
      <c r="G762" s="17" t="str">
        <f>data[[#This Row],[OriginCity]] &amp; " - "  &amp; data[[#This Row],[DestinationCity]]</f>
        <v>Green Bay - Joliet</v>
      </c>
      <c r="H762" s="17" t="s">
        <v>75</v>
      </c>
      <c r="I762" s="17" t="s">
        <v>29</v>
      </c>
      <c r="J762" s="17">
        <v>4</v>
      </c>
      <c r="K762" s="17" t="s">
        <v>61</v>
      </c>
      <c r="L762" s="17" t="s">
        <v>31</v>
      </c>
      <c r="M762" s="17" t="s">
        <v>499</v>
      </c>
      <c r="N762" s="17">
        <v>1180</v>
      </c>
      <c r="O762" s="17">
        <v>446</v>
      </c>
      <c r="P762" s="26">
        <f>(data[[#This Row],[LoadedMiles]]/data[[#This Row],[TotalMiles]])*100</f>
        <v>37.796610169491522</v>
      </c>
      <c r="Q762" s="25">
        <f>data[[#This Row],[ShippingCost]]/data[[#This Row],[TotalMiles]]</f>
        <v>4.1694915254237293</v>
      </c>
      <c r="R762" s="17">
        <v>4920</v>
      </c>
      <c r="S762" s="25">
        <f>data[[#This Row],[Revenue]]/data[[#This Row],[TotalMiles]]</f>
        <v>4.4542372881355936</v>
      </c>
      <c r="T762" s="26">
        <f>data[[#This Row],[Revenue]]-data[[#This Row],[ShippingCost]]</f>
        <v>336</v>
      </c>
      <c r="U762" s="17">
        <v>5256</v>
      </c>
      <c r="V762" s="17">
        <v>86</v>
      </c>
      <c r="W762" s="17" t="s">
        <v>25</v>
      </c>
      <c r="X762" s="17">
        <v>3</v>
      </c>
      <c r="Y762" s="17">
        <f>data[[#This Row],[DeliveryDate]]-data[[#This Row],[ShipDate]]</f>
        <v>4</v>
      </c>
      <c r="Z762" s="17" t="str">
        <f>IF(data[[#This Row],[Actual Delivery Days]]&gt;AD763,"Yes","No")</f>
        <v>Yes</v>
      </c>
    </row>
    <row r="763" spans="1:26">
      <c r="A763" s="17">
        <v>10858</v>
      </c>
      <c r="B763" s="17">
        <v>2</v>
      </c>
      <c r="C763" s="17">
        <v>2</v>
      </c>
      <c r="D763" s="17" t="s">
        <v>573</v>
      </c>
      <c r="E763" s="17" t="s">
        <v>155</v>
      </c>
      <c r="F763" s="17" t="str">
        <f>TEXT(data[[#This Row],[ShipDate]],"yyyy - mmmm")</f>
        <v>2016 - July</v>
      </c>
      <c r="G763" s="17" t="str">
        <f>data[[#This Row],[OriginCity]] &amp; " - "  &amp; data[[#This Row],[DestinationCity]]</f>
        <v>Bangor - Davenport</v>
      </c>
      <c r="H763" s="17" t="s">
        <v>104</v>
      </c>
      <c r="I763" s="17" t="s">
        <v>21</v>
      </c>
      <c r="J763" s="17">
        <v>4</v>
      </c>
      <c r="K763" s="17" t="s">
        <v>105</v>
      </c>
      <c r="L763" s="17" t="s">
        <v>106</v>
      </c>
      <c r="M763" s="17" t="s">
        <v>627</v>
      </c>
      <c r="N763" s="17">
        <v>225</v>
      </c>
      <c r="O763" s="17">
        <v>217</v>
      </c>
      <c r="P763" s="26">
        <f>(data[[#This Row],[LoadedMiles]]/data[[#This Row],[TotalMiles]])*100</f>
        <v>96.444444444444443</v>
      </c>
      <c r="Q763" s="25">
        <f>data[[#This Row],[ShippingCost]]/data[[#This Row],[TotalMiles]]</f>
        <v>20.657777777777778</v>
      </c>
      <c r="R763" s="17">
        <v>4648</v>
      </c>
      <c r="S763" s="25">
        <f>data[[#This Row],[Revenue]]/data[[#This Row],[TotalMiles]]</f>
        <v>21.844444444444445</v>
      </c>
      <c r="T763" s="26">
        <f>data[[#This Row],[Revenue]]-data[[#This Row],[ShippingCost]]</f>
        <v>267</v>
      </c>
      <c r="U763" s="17">
        <v>4915</v>
      </c>
      <c r="V763" s="17">
        <v>87</v>
      </c>
      <c r="W763" s="17" t="s">
        <v>25</v>
      </c>
      <c r="X763" s="17">
        <v>9</v>
      </c>
      <c r="Y763" s="17">
        <f>data[[#This Row],[DeliveryDate]]-data[[#This Row],[ShipDate]]</f>
        <v>4</v>
      </c>
      <c r="Z763" s="17" t="str">
        <f>IF(data[[#This Row],[Actual Delivery Days]]&gt;AD764,"Yes","No")</f>
        <v>Yes</v>
      </c>
    </row>
    <row r="764" spans="1:26">
      <c r="A764" s="17">
        <v>10862</v>
      </c>
      <c r="B764" s="17">
        <v>1</v>
      </c>
      <c r="C764" s="17">
        <v>2</v>
      </c>
      <c r="D764" s="17" t="s">
        <v>579</v>
      </c>
      <c r="E764" s="17" t="s">
        <v>221</v>
      </c>
      <c r="F764" s="17" t="str">
        <f>TEXT(data[[#This Row],[ShipDate]],"yyyy - mmmm")</f>
        <v>2016 - April</v>
      </c>
      <c r="G764" s="17" t="str">
        <f>data[[#This Row],[OriginCity]] &amp; " - "  &amp; data[[#This Row],[DestinationCity]]</f>
        <v>Grand Rapids - Toledo</v>
      </c>
      <c r="H764" s="17" t="s">
        <v>20</v>
      </c>
      <c r="I764" s="17" t="s">
        <v>21</v>
      </c>
      <c r="J764" s="17">
        <v>4</v>
      </c>
      <c r="K764" s="17" t="s">
        <v>22</v>
      </c>
      <c r="L764" s="17" t="s">
        <v>23</v>
      </c>
      <c r="M764" s="17" t="s">
        <v>623</v>
      </c>
      <c r="N764" s="17">
        <v>498</v>
      </c>
      <c r="O764" s="17">
        <v>498</v>
      </c>
      <c r="P764" s="26">
        <f>(data[[#This Row],[LoadedMiles]]/data[[#This Row],[TotalMiles]])*100</f>
        <v>100</v>
      </c>
      <c r="Q764" s="25">
        <f>data[[#This Row],[ShippingCost]]/data[[#This Row],[TotalMiles]]</f>
        <v>8.0662650602409638</v>
      </c>
      <c r="R764" s="17">
        <v>4017</v>
      </c>
      <c r="S764" s="25">
        <f>data[[#This Row],[Revenue]]/data[[#This Row],[TotalMiles]]</f>
        <v>8.8975903614457827</v>
      </c>
      <c r="T764" s="26">
        <f>data[[#This Row],[Revenue]]-data[[#This Row],[ShippingCost]]</f>
        <v>414</v>
      </c>
      <c r="U764" s="17">
        <v>4431</v>
      </c>
      <c r="V764" s="17">
        <v>78</v>
      </c>
      <c r="W764" s="17" t="s">
        <v>25</v>
      </c>
      <c r="X764" s="17">
        <v>3</v>
      </c>
      <c r="Y764" s="17">
        <f>data[[#This Row],[DeliveryDate]]-data[[#This Row],[ShipDate]]</f>
        <v>1</v>
      </c>
      <c r="Z764" s="17" t="str">
        <f>IF(data[[#This Row],[Actual Delivery Days]]&gt;AD765,"Yes","No")</f>
        <v>Yes</v>
      </c>
    </row>
    <row r="765" spans="1:26">
      <c r="A765" s="17">
        <v>10866</v>
      </c>
      <c r="B765" s="17">
        <v>2</v>
      </c>
      <c r="C765" s="17">
        <v>6</v>
      </c>
      <c r="D765" s="17" t="s">
        <v>584</v>
      </c>
      <c r="E765" s="17" t="s">
        <v>399</v>
      </c>
      <c r="F765" s="17" t="str">
        <f>TEXT(data[[#This Row],[ShipDate]],"yyyy - mmmm")</f>
        <v>2016 - July</v>
      </c>
      <c r="G765" s="17" t="str">
        <f>data[[#This Row],[OriginCity]] &amp; " - "  &amp; data[[#This Row],[DestinationCity]]</f>
        <v>Indianapolis - Northbrook</v>
      </c>
      <c r="H765" s="17" t="s">
        <v>43</v>
      </c>
      <c r="I765" s="17" t="s">
        <v>44</v>
      </c>
      <c r="J765" s="17">
        <v>4</v>
      </c>
      <c r="K765" s="17" t="s">
        <v>45</v>
      </c>
      <c r="L765" s="17" t="s">
        <v>31</v>
      </c>
      <c r="M765" s="17" t="s">
        <v>299</v>
      </c>
      <c r="N765" s="17">
        <v>685</v>
      </c>
      <c r="O765" s="17">
        <v>568</v>
      </c>
      <c r="P765" s="26">
        <f>(data[[#This Row],[LoadedMiles]]/data[[#This Row],[TotalMiles]])*100</f>
        <v>82.919708029197082</v>
      </c>
      <c r="Q765" s="25">
        <f>data[[#This Row],[ShippingCost]]/data[[#This Row],[TotalMiles]]</f>
        <v>6.7547445255474452</v>
      </c>
      <c r="R765" s="17">
        <v>4627</v>
      </c>
      <c r="S765" s="25">
        <f>data[[#This Row],[Revenue]]/data[[#This Row],[TotalMiles]]</f>
        <v>7.7693430656934304</v>
      </c>
      <c r="T765" s="26">
        <f>data[[#This Row],[Revenue]]-data[[#This Row],[ShippingCost]]</f>
        <v>695</v>
      </c>
      <c r="U765" s="17">
        <v>5322</v>
      </c>
      <c r="V765" s="17">
        <v>68</v>
      </c>
      <c r="W765" s="17" t="s">
        <v>25</v>
      </c>
      <c r="X765" s="17">
        <v>5</v>
      </c>
      <c r="Y765" s="17">
        <f>data[[#This Row],[DeliveryDate]]-data[[#This Row],[ShipDate]]</f>
        <v>4</v>
      </c>
      <c r="Z765" s="17" t="str">
        <f>IF(data[[#This Row],[Actual Delivery Days]]&gt;AD766,"Yes","No")</f>
        <v>Yes</v>
      </c>
    </row>
    <row r="766" spans="1:26">
      <c r="A766" s="17">
        <v>10868</v>
      </c>
      <c r="B766" s="17">
        <v>1</v>
      </c>
      <c r="C766" s="17">
        <v>5</v>
      </c>
      <c r="D766" s="17" t="s">
        <v>586</v>
      </c>
      <c r="E766" s="17" t="s">
        <v>332</v>
      </c>
      <c r="F766" s="17" t="str">
        <f>TEXT(data[[#This Row],[ShipDate]],"yyyy - mmmm")</f>
        <v>2016 - February</v>
      </c>
      <c r="G766" s="17" t="str">
        <f>data[[#This Row],[OriginCity]] &amp; " - "  &amp; data[[#This Row],[DestinationCity]]</f>
        <v>Detriot - Monon</v>
      </c>
      <c r="H766" s="17" t="s">
        <v>52</v>
      </c>
      <c r="I766" s="17" t="s">
        <v>21</v>
      </c>
      <c r="J766" s="17">
        <v>4</v>
      </c>
      <c r="K766" s="17" t="s">
        <v>53</v>
      </c>
      <c r="L766" s="17" t="s">
        <v>44</v>
      </c>
      <c r="M766" s="17" t="s">
        <v>333</v>
      </c>
      <c r="N766" s="17">
        <v>500</v>
      </c>
      <c r="O766" s="17">
        <v>500</v>
      </c>
      <c r="P766" s="26">
        <f>(data[[#This Row],[LoadedMiles]]/data[[#This Row],[TotalMiles]])*100</f>
        <v>100</v>
      </c>
      <c r="Q766" s="25">
        <f>data[[#This Row],[ShippingCost]]/data[[#This Row],[TotalMiles]]</f>
        <v>4.4400000000000004</v>
      </c>
      <c r="R766" s="17">
        <v>2220</v>
      </c>
      <c r="S766" s="25">
        <f>data[[#This Row],[Revenue]]/data[[#This Row],[TotalMiles]]</f>
        <v>6.3319999999999999</v>
      </c>
      <c r="T766" s="26">
        <f>data[[#This Row],[Revenue]]-data[[#This Row],[ShippingCost]]</f>
        <v>946</v>
      </c>
      <c r="U766" s="17">
        <v>3166</v>
      </c>
      <c r="V766" s="17">
        <v>87</v>
      </c>
      <c r="W766" s="17" t="s">
        <v>25</v>
      </c>
      <c r="X766" s="17">
        <v>6</v>
      </c>
      <c r="Y766" s="17">
        <f>data[[#This Row],[DeliveryDate]]-data[[#This Row],[ShipDate]]</f>
        <v>4</v>
      </c>
      <c r="Z766" s="17" t="str">
        <f>IF(data[[#This Row],[Actual Delivery Days]]&gt;AD767,"Yes","No")</f>
        <v>Yes</v>
      </c>
    </row>
    <row r="767" spans="1:26">
      <c r="A767" s="17">
        <v>10881</v>
      </c>
      <c r="B767" s="17">
        <v>1</v>
      </c>
      <c r="C767" s="17">
        <v>4</v>
      </c>
      <c r="D767" s="17" t="s">
        <v>602</v>
      </c>
      <c r="E767" s="17" t="s">
        <v>211</v>
      </c>
      <c r="F767" s="17" t="str">
        <f>TEXT(data[[#This Row],[ShipDate]],"yyyy - mmmm")</f>
        <v>2016 - August</v>
      </c>
      <c r="G767" s="17" t="str">
        <f>data[[#This Row],[OriginCity]] &amp; " - "  &amp; data[[#This Row],[DestinationCity]]</f>
        <v>Elgin - Cincinnati</v>
      </c>
      <c r="H767" s="17" t="s">
        <v>94</v>
      </c>
      <c r="I767" s="17" t="s">
        <v>31</v>
      </c>
      <c r="J767" s="17">
        <v>4</v>
      </c>
      <c r="K767" s="17" t="s">
        <v>89</v>
      </c>
      <c r="L767" s="17" t="s">
        <v>23</v>
      </c>
      <c r="M767" s="17" t="s">
        <v>142</v>
      </c>
      <c r="N767" s="17">
        <v>1175</v>
      </c>
      <c r="O767" s="17">
        <v>582</v>
      </c>
      <c r="P767" s="26">
        <f>(data[[#This Row],[LoadedMiles]]/data[[#This Row],[TotalMiles]])*100</f>
        <v>49.531914893617021</v>
      </c>
      <c r="Q767" s="25">
        <f>data[[#This Row],[ShippingCost]]/data[[#This Row],[TotalMiles]]</f>
        <v>4.0936170212765957</v>
      </c>
      <c r="R767" s="17">
        <v>4810</v>
      </c>
      <c r="S767" s="25">
        <f>data[[#This Row],[Revenue]]/data[[#This Row],[TotalMiles]]</f>
        <v>2.6706382978723404</v>
      </c>
      <c r="T767" s="26">
        <f>data[[#This Row],[Revenue]]-data[[#This Row],[ShippingCost]]</f>
        <v>-1672</v>
      </c>
      <c r="U767" s="17">
        <v>3138</v>
      </c>
      <c r="V767" s="17">
        <v>51</v>
      </c>
      <c r="W767" s="17" t="s">
        <v>25</v>
      </c>
      <c r="X767" s="17">
        <v>3</v>
      </c>
      <c r="Y767" s="17">
        <f>data[[#This Row],[DeliveryDate]]-data[[#This Row],[ShipDate]]</f>
        <v>1</v>
      </c>
      <c r="Z767" s="17" t="str">
        <f>IF(data[[#This Row],[Actual Delivery Days]]&gt;AD768,"Yes","No")</f>
        <v>Yes</v>
      </c>
    </row>
    <row r="768" spans="1:26">
      <c r="A768" s="17">
        <v>10882</v>
      </c>
      <c r="B768" s="17">
        <v>2</v>
      </c>
      <c r="C768" s="17">
        <v>1</v>
      </c>
      <c r="D768" s="17" t="s">
        <v>603</v>
      </c>
      <c r="E768" s="17" t="s">
        <v>608</v>
      </c>
      <c r="F768" s="17" t="str">
        <f>TEXT(data[[#This Row],[ShipDate]],"yyyy - mmmm")</f>
        <v>2016 - July</v>
      </c>
      <c r="G768" s="17" t="str">
        <f>data[[#This Row],[OriginCity]] &amp; " - "  &amp; data[[#This Row],[DestinationCity]]</f>
        <v>Skokie - Chicago</v>
      </c>
      <c r="H768" s="17" t="s">
        <v>35</v>
      </c>
      <c r="I768" s="17" t="s">
        <v>31</v>
      </c>
      <c r="J768" s="17">
        <v>4</v>
      </c>
      <c r="K768" s="17" t="s">
        <v>39</v>
      </c>
      <c r="L768" s="17" t="s">
        <v>31</v>
      </c>
      <c r="M768" s="17" t="s">
        <v>614</v>
      </c>
      <c r="N768" s="17">
        <v>968</v>
      </c>
      <c r="O768" s="17">
        <v>560</v>
      </c>
      <c r="P768" s="26">
        <f>(data[[#This Row],[LoadedMiles]]/data[[#This Row],[TotalMiles]])*100</f>
        <v>57.851239669421481</v>
      </c>
      <c r="Q768" s="25">
        <f>data[[#This Row],[ShippingCost]]/data[[#This Row],[TotalMiles]]</f>
        <v>5.8522727272727275</v>
      </c>
      <c r="R768" s="17">
        <v>5665</v>
      </c>
      <c r="S768" s="25">
        <f>data[[#This Row],[Revenue]]/data[[#This Row],[TotalMiles]]</f>
        <v>10.12396694214876</v>
      </c>
      <c r="T768" s="26">
        <f>data[[#This Row],[Revenue]]-data[[#This Row],[ShippingCost]]</f>
        <v>4135</v>
      </c>
      <c r="U768" s="17">
        <v>9800</v>
      </c>
      <c r="V768" s="17">
        <v>97</v>
      </c>
      <c r="W768" s="17" t="s">
        <v>25</v>
      </c>
      <c r="X768" s="17">
        <v>8</v>
      </c>
      <c r="Y768" s="17">
        <f>data[[#This Row],[DeliveryDate]]-data[[#This Row],[ShipDate]]</f>
        <v>4</v>
      </c>
      <c r="Z768" s="17" t="str">
        <f>IF(data[[#This Row],[Actual Delivery Days]]&gt;AD769,"Yes","No")</f>
        <v>Yes</v>
      </c>
    </row>
    <row r="769" spans="1:26">
      <c r="A769" s="17">
        <v>10885</v>
      </c>
      <c r="B769" s="17">
        <v>2</v>
      </c>
      <c r="C769" s="17">
        <v>5</v>
      </c>
      <c r="D769" s="17" t="s">
        <v>18</v>
      </c>
      <c r="E769" s="17" t="s">
        <v>530</v>
      </c>
      <c r="F769" s="17" t="str">
        <f>TEXT(data[[#This Row],[ShipDate]],"yyyy - mmmm")</f>
        <v>2016 - January</v>
      </c>
      <c r="G769" s="17" t="str">
        <f>data[[#This Row],[OriginCity]] &amp; " - "  &amp; data[[#This Row],[DestinationCity]]</f>
        <v>Grand Rapids - Toledo</v>
      </c>
      <c r="H769" s="17" t="s">
        <v>20</v>
      </c>
      <c r="I769" s="17" t="s">
        <v>21</v>
      </c>
      <c r="J769" s="17">
        <v>4</v>
      </c>
      <c r="K769" s="17" t="s">
        <v>22</v>
      </c>
      <c r="L769" s="17" t="s">
        <v>23</v>
      </c>
      <c r="M769" s="17" t="s">
        <v>531</v>
      </c>
      <c r="N769" s="17">
        <v>736</v>
      </c>
      <c r="O769" s="17">
        <v>353</v>
      </c>
      <c r="P769" s="26">
        <f>(data[[#This Row],[LoadedMiles]]/data[[#This Row],[TotalMiles]])*100</f>
        <v>47.961956521739133</v>
      </c>
      <c r="Q769" s="25">
        <f>data[[#This Row],[ShippingCost]]/data[[#This Row],[TotalMiles]]</f>
        <v>1.6494565217391304</v>
      </c>
      <c r="R769" s="17">
        <v>1214</v>
      </c>
      <c r="S769" s="25">
        <f>data[[#This Row],[Revenue]]/data[[#This Row],[TotalMiles]]</f>
        <v>2.9252717391304346</v>
      </c>
      <c r="T769" s="26">
        <f>data[[#This Row],[Revenue]]-data[[#This Row],[ShippingCost]]</f>
        <v>939</v>
      </c>
      <c r="U769" s="17">
        <v>2153</v>
      </c>
      <c r="V769" s="17">
        <v>97</v>
      </c>
      <c r="W769" s="17" t="s">
        <v>25</v>
      </c>
      <c r="X769" s="17">
        <v>4</v>
      </c>
      <c r="Y769" s="17">
        <f>data[[#This Row],[DeliveryDate]]-data[[#This Row],[ShipDate]]</f>
        <v>4</v>
      </c>
      <c r="Z769" s="17" t="str">
        <f>IF(data[[#This Row],[Actual Delivery Days]]&gt;AD770,"Yes","No")</f>
        <v>Yes</v>
      </c>
    </row>
    <row r="770" spans="1:26">
      <c r="A770" s="17">
        <v>10895</v>
      </c>
      <c r="B770" s="17">
        <v>1</v>
      </c>
      <c r="C770" s="17">
        <v>6</v>
      </c>
      <c r="D770" s="17" t="s">
        <v>73</v>
      </c>
      <c r="E770" s="17" t="s">
        <v>211</v>
      </c>
      <c r="F770" s="17" t="str">
        <f>TEXT(data[[#This Row],[ShipDate]],"yyyy - mmmm")</f>
        <v>2016 - August</v>
      </c>
      <c r="G770" s="17" t="str">
        <f>data[[#This Row],[OriginCity]] &amp; " - "  &amp; data[[#This Row],[DestinationCity]]</f>
        <v>Green Bay - Joliet</v>
      </c>
      <c r="H770" s="17" t="s">
        <v>75</v>
      </c>
      <c r="I770" s="17" t="s">
        <v>29</v>
      </c>
      <c r="J770" s="17">
        <v>4</v>
      </c>
      <c r="K770" s="17" t="s">
        <v>61</v>
      </c>
      <c r="L770" s="17" t="s">
        <v>31</v>
      </c>
      <c r="M770" s="17" t="s">
        <v>307</v>
      </c>
      <c r="N770" s="17">
        <v>751</v>
      </c>
      <c r="O770" s="17">
        <v>612</v>
      </c>
      <c r="P770" s="26">
        <f>(data[[#This Row],[LoadedMiles]]/data[[#This Row],[TotalMiles]])*100</f>
        <v>81.491344873501987</v>
      </c>
      <c r="Q770" s="25">
        <f>data[[#This Row],[ShippingCost]]/data[[#This Row],[TotalMiles]]</f>
        <v>7.6298268974700401</v>
      </c>
      <c r="R770" s="17">
        <v>5730</v>
      </c>
      <c r="S770" s="25">
        <f>data[[#This Row],[Revenue]]/data[[#This Row],[TotalMiles]]</f>
        <v>8.515312916111851</v>
      </c>
      <c r="T770" s="26">
        <f>data[[#This Row],[Revenue]]-data[[#This Row],[ShippingCost]]</f>
        <v>665</v>
      </c>
      <c r="U770" s="17">
        <v>6395</v>
      </c>
      <c r="V770" s="17">
        <v>98</v>
      </c>
      <c r="W770" s="17" t="s">
        <v>25</v>
      </c>
      <c r="X770" s="17">
        <v>8</v>
      </c>
      <c r="Y770" s="17">
        <f>data[[#This Row],[DeliveryDate]]-data[[#This Row],[ShipDate]]</f>
        <v>4</v>
      </c>
      <c r="Z770" s="17" t="str">
        <f>IF(data[[#This Row],[Actual Delivery Days]]&gt;AD771,"Yes","No")</f>
        <v>Yes</v>
      </c>
    </row>
    <row r="771" spans="1:26">
      <c r="A771" s="17">
        <v>10897</v>
      </c>
      <c r="B771" s="17">
        <v>2</v>
      </c>
      <c r="C771" s="17">
        <v>3</v>
      </c>
      <c r="D771" s="17" t="s">
        <v>80</v>
      </c>
      <c r="E771" s="17" t="s">
        <v>70</v>
      </c>
      <c r="F771" s="17" t="str">
        <f>TEXT(data[[#This Row],[ShipDate]],"yyyy - mmmm")</f>
        <v>2016 - January</v>
      </c>
      <c r="G771" s="17" t="str">
        <f>data[[#This Row],[OriginCity]] &amp; " - "  &amp; data[[#This Row],[DestinationCity]]</f>
        <v>Rockford - Green Bay</v>
      </c>
      <c r="H771" s="17" t="s">
        <v>40</v>
      </c>
      <c r="I771" s="17" t="s">
        <v>31</v>
      </c>
      <c r="J771" s="17">
        <v>4</v>
      </c>
      <c r="K771" s="17" t="s">
        <v>75</v>
      </c>
      <c r="L771" s="17" t="s">
        <v>29</v>
      </c>
      <c r="M771" s="17" t="s">
        <v>257</v>
      </c>
      <c r="N771" s="17">
        <v>954</v>
      </c>
      <c r="O771" s="17">
        <v>515</v>
      </c>
      <c r="P771" s="26">
        <f>(data[[#This Row],[LoadedMiles]]/data[[#This Row],[TotalMiles]])*100</f>
        <v>53.983228511530399</v>
      </c>
      <c r="Q771" s="25">
        <f>data[[#This Row],[ShippingCost]]/data[[#This Row],[TotalMiles]]</f>
        <v>6.1928721174004195</v>
      </c>
      <c r="R771" s="17">
        <v>5908</v>
      </c>
      <c r="S771" s="25">
        <f>data[[#This Row],[Revenue]]/data[[#This Row],[TotalMiles]]</f>
        <v>7.232704402515723</v>
      </c>
      <c r="T771" s="26">
        <f>data[[#This Row],[Revenue]]-data[[#This Row],[ShippingCost]]</f>
        <v>992</v>
      </c>
      <c r="U771" s="17">
        <v>6900</v>
      </c>
      <c r="V771" s="17">
        <v>54</v>
      </c>
      <c r="W771" s="17" t="s">
        <v>25</v>
      </c>
      <c r="X771" s="17">
        <v>4</v>
      </c>
      <c r="Y771" s="17">
        <f>data[[#This Row],[DeliveryDate]]-data[[#This Row],[ShipDate]]</f>
        <v>4</v>
      </c>
      <c r="Z771" s="17" t="str">
        <f>IF(data[[#This Row],[Actual Delivery Days]]&gt;AD772,"Yes","No")</f>
        <v>Yes</v>
      </c>
    </row>
    <row r="772" spans="1:26">
      <c r="A772" s="17">
        <v>10902</v>
      </c>
      <c r="B772" s="17">
        <v>2</v>
      </c>
      <c r="C772" s="17">
        <v>1</v>
      </c>
      <c r="D772" s="17" t="s">
        <v>99</v>
      </c>
      <c r="E772" s="17" t="s">
        <v>337</v>
      </c>
      <c r="F772" s="17" t="str">
        <f>TEXT(data[[#This Row],[ShipDate]],"yyyy - mmmm")</f>
        <v>2016 - March</v>
      </c>
      <c r="G772" s="17" t="str">
        <f>data[[#This Row],[OriginCity]] &amp; " - "  &amp; data[[#This Row],[DestinationCity]]</f>
        <v>Lansing - Dayton</v>
      </c>
      <c r="H772" s="17" t="s">
        <v>66</v>
      </c>
      <c r="I772" s="17" t="s">
        <v>21</v>
      </c>
      <c r="J772" s="17">
        <v>4</v>
      </c>
      <c r="K772" s="17" t="s">
        <v>93</v>
      </c>
      <c r="L772" s="17" t="s">
        <v>23</v>
      </c>
      <c r="M772" s="17" t="s">
        <v>130</v>
      </c>
      <c r="N772" s="17">
        <v>515</v>
      </c>
      <c r="O772" s="17">
        <v>267</v>
      </c>
      <c r="P772" s="26">
        <f>(data[[#This Row],[LoadedMiles]]/data[[#This Row],[TotalMiles]])*100</f>
        <v>51.84466019417475</v>
      </c>
      <c r="Q772" s="25">
        <f>data[[#This Row],[ShippingCost]]/data[[#This Row],[TotalMiles]]</f>
        <v>0.85825242718446604</v>
      </c>
      <c r="R772" s="17">
        <v>442</v>
      </c>
      <c r="S772" s="25">
        <f>data[[#This Row],[Revenue]]/data[[#This Row],[TotalMiles]]</f>
        <v>8.5029126213592239</v>
      </c>
      <c r="T772" s="26">
        <f>data[[#This Row],[Revenue]]-data[[#This Row],[ShippingCost]]</f>
        <v>3937</v>
      </c>
      <c r="U772" s="17">
        <v>4379</v>
      </c>
      <c r="V772" s="17">
        <v>83</v>
      </c>
      <c r="W772" s="17" t="s">
        <v>25</v>
      </c>
      <c r="X772" s="17">
        <v>1</v>
      </c>
      <c r="Y772" s="17">
        <f>data[[#This Row],[DeliveryDate]]-data[[#This Row],[ShipDate]]</f>
        <v>4</v>
      </c>
      <c r="Z772" s="17" t="str">
        <f>IF(data[[#This Row],[Actual Delivery Days]]&gt;AD773,"Yes","No")</f>
        <v>Yes</v>
      </c>
    </row>
    <row r="773" spans="1:26">
      <c r="A773" s="17">
        <v>10922</v>
      </c>
      <c r="B773" s="17">
        <v>3</v>
      </c>
      <c r="C773" s="17">
        <v>2</v>
      </c>
      <c r="D773" s="17" t="s">
        <v>157</v>
      </c>
      <c r="E773" s="17" t="s">
        <v>513</v>
      </c>
      <c r="F773" s="17" t="str">
        <f>TEXT(data[[#This Row],[ShipDate]],"yyyy - mmmm")</f>
        <v>2016 - August</v>
      </c>
      <c r="G773" s="17" t="str">
        <f>data[[#This Row],[OriginCity]] &amp; " - "  &amp; data[[#This Row],[DestinationCity]]</f>
        <v>Appleton - Grand Rapids</v>
      </c>
      <c r="H773" s="17" t="s">
        <v>85</v>
      </c>
      <c r="I773" s="17" t="s">
        <v>29</v>
      </c>
      <c r="J773" s="17">
        <v>4</v>
      </c>
      <c r="K773" s="17" t="s">
        <v>20</v>
      </c>
      <c r="L773" s="17" t="s">
        <v>21</v>
      </c>
      <c r="M773" s="17" t="s">
        <v>141</v>
      </c>
      <c r="N773" s="17">
        <v>504</v>
      </c>
      <c r="O773" s="17">
        <v>504</v>
      </c>
      <c r="P773" s="26">
        <f>(data[[#This Row],[LoadedMiles]]/data[[#This Row],[TotalMiles]])*100</f>
        <v>100</v>
      </c>
      <c r="Q773" s="25">
        <f>data[[#This Row],[ShippingCost]]/data[[#This Row],[TotalMiles]]</f>
        <v>13.952380952380953</v>
      </c>
      <c r="R773" s="17">
        <v>7032</v>
      </c>
      <c r="S773" s="25">
        <f>data[[#This Row],[Revenue]]/data[[#This Row],[TotalMiles]]</f>
        <v>15.172619047619047</v>
      </c>
      <c r="T773" s="26">
        <f>data[[#This Row],[Revenue]]-data[[#This Row],[ShippingCost]]</f>
        <v>615</v>
      </c>
      <c r="U773" s="17">
        <v>7647</v>
      </c>
      <c r="V773" s="17">
        <v>75</v>
      </c>
      <c r="W773" s="17" t="s">
        <v>25</v>
      </c>
      <c r="X773" s="17">
        <v>1</v>
      </c>
      <c r="Y773" s="17">
        <f>data[[#This Row],[DeliveryDate]]-data[[#This Row],[ShipDate]]</f>
        <v>4</v>
      </c>
      <c r="Z773" s="17" t="str">
        <f>IF(data[[#This Row],[Actual Delivery Days]]&gt;AD774,"Yes","No")</f>
        <v>Yes</v>
      </c>
    </row>
    <row r="774" spans="1:26">
      <c r="A774" s="17">
        <v>10924</v>
      </c>
      <c r="B774" s="17">
        <v>2</v>
      </c>
      <c r="C774" s="17">
        <v>4</v>
      </c>
      <c r="D774" s="17" t="s">
        <v>162</v>
      </c>
      <c r="E774" s="17" t="s">
        <v>437</v>
      </c>
      <c r="F774" s="17" t="str">
        <f>TEXT(data[[#This Row],[ShipDate]],"yyyy - mmmm")</f>
        <v>2016 - May</v>
      </c>
      <c r="G774" s="17" t="str">
        <f>data[[#This Row],[OriginCity]] &amp; " - "  &amp; data[[#This Row],[DestinationCity]]</f>
        <v>Dayton - Elgin</v>
      </c>
      <c r="H774" s="17" t="s">
        <v>93</v>
      </c>
      <c r="I774" s="17" t="s">
        <v>23</v>
      </c>
      <c r="J774" s="17">
        <v>4</v>
      </c>
      <c r="K774" s="17" t="s">
        <v>94</v>
      </c>
      <c r="L774" s="17" t="s">
        <v>31</v>
      </c>
      <c r="M774" s="17" t="s">
        <v>365</v>
      </c>
      <c r="N774" s="17">
        <v>1124</v>
      </c>
      <c r="O774" s="17">
        <v>476</v>
      </c>
      <c r="P774" s="26">
        <f>(data[[#This Row],[LoadedMiles]]/data[[#This Row],[TotalMiles]])*100</f>
        <v>42.34875444839858</v>
      </c>
      <c r="Q774" s="25">
        <f>data[[#This Row],[ShippingCost]]/data[[#This Row],[TotalMiles]]</f>
        <v>5.1761565836298935</v>
      </c>
      <c r="R774" s="17">
        <v>5818</v>
      </c>
      <c r="S774" s="25">
        <f>data[[#This Row],[Revenue]]/data[[#This Row],[TotalMiles]]</f>
        <v>3.9172597864768681</v>
      </c>
      <c r="T774" s="26">
        <f>data[[#This Row],[Revenue]]-data[[#This Row],[ShippingCost]]</f>
        <v>-1415</v>
      </c>
      <c r="U774" s="17">
        <v>4403</v>
      </c>
      <c r="V774" s="17">
        <v>71</v>
      </c>
      <c r="W774" s="17" t="s">
        <v>25</v>
      </c>
      <c r="X774" s="17">
        <v>8</v>
      </c>
      <c r="Y774" s="17">
        <f>data[[#This Row],[DeliveryDate]]-data[[#This Row],[ShipDate]]</f>
        <v>4</v>
      </c>
      <c r="Z774" s="17" t="str">
        <f>IF(data[[#This Row],[Actual Delivery Days]]&gt;AD775,"Yes","No")</f>
        <v>Yes</v>
      </c>
    </row>
    <row r="775" spans="1:26">
      <c r="A775" s="17">
        <v>10925</v>
      </c>
      <c r="B775" s="17">
        <v>2</v>
      </c>
      <c r="C775" s="17">
        <v>3</v>
      </c>
      <c r="D775" s="17" t="s">
        <v>165</v>
      </c>
      <c r="E775" s="17" t="s">
        <v>222</v>
      </c>
      <c r="F775" s="17" t="str">
        <f>TEXT(data[[#This Row],[ShipDate]],"yyyy - mmmm")</f>
        <v>2016 - April</v>
      </c>
      <c r="G775" s="17" t="str">
        <f>data[[#This Row],[OriginCity]] &amp; " - "  &amp; data[[#This Row],[DestinationCity]]</f>
        <v>Toledo - Detriot</v>
      </c>
      <c r="H775" s="17" t="s">
        <v>22</v>
      </c>
      <c r="I775" s="17" t="s">
        <v>23</v>
      </c>
      <c r="J775" s="17">
        <v>4</v>
      </c>
      <c r="K775" s="17" t="s">
        <v>52</v>
      </c>
      <c r="L775" s="17" t="s">
        <v>21</v>
      </c>
      <c r="M775" s="17" t="s">
        <v>100</v>
      </c>
      <c r="N775" s="17">
        <v>822</v>
      </c>
      <c r="O775" s="17">
        <v>367</v>
      </c>
      <c r="P775" s="26">
        <f>(data[[#This Row],[LoadedMiles]]/data[[#This Row],[TotalMiles]])*100</f>
        <v>44.647201946472023</v>
      </c>
      <c r="Q775" s="25">
        <f>data[[#This Row],[ShippingCost]]/data[[#This Row],[TotalMiles]]</f>
        <v>9.5559610705596114</v>
      </c>
      <c r="R775" s="17">
        <v>7855</v>
      </c>
      <c r="S775" s="25">
        <f>data[[#This Row],[Revenue]]/data[[#This Row],[TotalMiles]]</f>
        <v>10.104622871046228</v>
      </c>
      <c r="T775" s="26">
        <f>data[[#This Row],[Revenue]]-data[[#This Row],[ShippingCost]]</f>
        <v>451</v>
      </c>
      <c r="U775" s="17">
        <v>8306</v>
      </c>
      <c r="V775" s="17">
        <v>95</v>
      </c>
      <c r="W775" s="17" t="s">
        <v>25</v>
      </c>
      <c r="X775" s="17">
        <v>8</v>
      </c>
      <c r="Y775" s="17">
        <f>data[[#This Row],[DeliveryDate]]-data[[#This Row],[ShipDate]]</f>
        <v>4</v>
      </c>
      <c r="Z775" s="17" t="str">
        <f>IF(data[[#This Row],[Actual Delivery Days]]&gt;AD776,"Yes","No")</f>
        <v>Yes</v>
      </c>
    </row>
    <row r="776" spans="1:26">
      <c r="A776" s="17">
        <v>10928</v>
      </c>
      <c r="B776" s="17">
        <v>3</v>
      </c>
      <c r="C776" s="17">
        <v>2</v>
      </c>
      <c r="D776" s="17" t="s">
        <v>172</v>
      </c>
      <c r="E776" s="17" t="s">
        <v>355</v>
      </c>
      <c r="F776" s="17" t="str">
        <f>TEXT(data[[#This Row],[ShipDate]],"yyyy - mmmm")</f>
        <v>2016 - March</v>
      </c>
      <c r="G776" s="17" t="str">
        <f>data[[#This Row],[OriginCity]] &amp; " - "  &amp; data[[#This Row],[DestinationCity]]</f>
        <v>Elgin - Cincinnati</v>
      </c>
      <c r="H776" s="17" t="s">
        <v>94</v>
      </c>
      <c r="I776" s="17" t="s">
        <v>31</v>
      </c>
      <c r="J776" s="17">
        <v>4</v>
      </c>
      <c r="K776" s="17" t="s">
        <v>89</v>
      </c>
      <c r="L776" s="17" t="s">
        <v>23</v>
      </c>
      <c r="M776" s="17" t="s">
        <v>200</v>
      </c>
      <c r="N776" s="17">
        <v>270</v>
      </c>
      <c r="O776" s="17">
        <v>270</v>
      </c>
      <c r="P776" s="26">
        <f>(data[[#This Row],[LoadedMiles]]/data[[#This Row],[TotalMiles]])*100</f>
        <v>100</v>
      </c>
      <c r="Q776" s="25">
        <f>data[[#This Row],[ShippingCost]]/data[[#This Row],[TotalMiles]]</f>
        <v>18.7</v>
      </c>
      <c r="R776" s="17">
        <v>5049</v>
      </c>
      <c r="S776" s="25">
        <f>data[[#This Row],[Revenue]]/data[[#This Row],[TotalMiles]]</f>
        <v>20.766666666666666</v>
      </c>
      <c r="T776" s="26">
        <f>data[[#This Row],[Revenue]]-data[[#This Row],[ShippingCost]]</f>
        <v>558</v>
      </c>
      <c r="U776" s="17">
        <v>5607</v>
      </c>
      <c r="V776" s="17">
        <v>93</v>
      </c>
      <c r="W776" s="17" t="s">
        <v>25</v>
      </c>
      <c r="X776" s="17">
        <v>10</v>
      </c>
      <c r="Y776" s="17">
        <f>data[[#This Row],[DeliveryDate]]-data[[#This Row],[ShipDate]]</f>
        <v>2</v>
      </c>
      <c r="Z776" s="17" t="str">
        <f>IF(data[[#This Row],[Actual Delivery Days]]&gt;AD777,"Yes","No")</f>
        <v>Yes</v>
      </c>
    </row>
    <row r="777" spans="1:26">
      <c r="A777" s="17">
        <v>10933</v>
      </c>
      <c r="B777" s="17">
        <v>3</v>
      </c>
      <c r="C777" s="17">
        <v>3</v>
      </c>
      <c r="D777" s="17" t="s">
        <v>189</v>
      </c>
      <c r="E777" s="17" t="s">
        <v>379</v>
      </c>
      <c r="F777" s="17" t="str">
        <f>TEXT(data[[#This Row],[ShipDate]],"yyyy - mmmm")</f>
        <v>2016 - February</v>
      </c>
      <c r="G777" s="17" t="str">
        <f>data[[#This Row],[OriginCity]] &amp; " - "  &amp; data[[#This Row],[DestinationCity]]</f>
        <v>Indianapolis - Northbrook</v>
      </c>
      <c r="H777" s="17" t="s">
        <v>43</v>
      </c>
      <c r="I777" s="17" t="s">
        <v>44</v>
      </c>
      <c r="J777" s="17">
        <v>4</v>
      </c>
      <c r="K777" s="17" t="s">
        <v>45</v>
      </c>
      <c r="L777" s="17" t="s">
        <v>31</v>
      </c>
      <c r="M777" s="17" t="s">
        <v>202</v>
      </c>
      <c r="N777" s="17">
        <v>1162</v>
      </c>
      <c r="O777" s="17">
        <v>602</v>
      </c>
      <c r="P777" s="26">
        <f>(data[[#This Row],[LoadedMiles]]/data[[#This Row],[TotalMiles]])*100</f>
        <v>51.807228915662648</v>
      </c>
      <c r="Q777" s="25">
        <f>data[[#This Row],[ShippingCost]]/data[[#This Row],[TotalMiles]]</f>
        <v>1.4165232358003443</v>
      </c>
      <c r="R777" s="17">
        <v>1646</v>
      </c>
      <c r="S777" s="25">
        <f>data[[#This Row],[Revenue]]/data[[#This Row],[TotalMiles]]</f>
        <v>1.7504302925989672</v>
      </c>
      <c r="T777" s="26">
        <f>data[[#This Row],[Revenue]]-data[[#This Row],[ShippingCost]]</f>
        <v>388</v>
      </c>
      <c r="U777" s="17">
        <v>2034</v>
      </c>
      <c r="V777" s="17">
        <v>90</v>
      </c>
      <c r="W777" s="17" t="s">
        <v>25</v>
      </c>
      <c r="X777" s="17">
        <v>5</v>
      </c>
      <c r="Y777" s="17">
        <f>data[[#This Row],[DeliveryDate]]-data[[#This Row],[ShipDate]]</f>
        <v>4</v>
      </c>
      <c r="Z777" s="17" t="str">
        <f>IF(data[[#This Row],[Actual Delivery Days]]&gt;AD778,"Yes","No")</f>
        <v>Yes</v>
      </c>
    </row>
    <row r="778" spans="1:26">
      <c r="A778" s="17">
        <v>10939</v>
      </c>
      <c r="B778" s="17">
        <v>3</v>
      </c>
      <c r="C778" s="17">
        <v>1</v>
      </c>
      <c r="D778" s="17" t="s">
        <v>203</v>
      </c>
      <c r="E778" s="17" t="s">
        <v>231</v>
      </c>
      <c r="F778" s="17" t="str">
        <f>TEXT(data[[#This Row],[ShipDate]],"yyyy - mmmm")</f>
        <v>2016 - May</v>
      </c>
      <c r="G778" s="17" t="str">
        <f>data[[#This Row],[OriginCity]] &amp; " - "  &amp; data[[#This Row],[DestinationCity]]</f>
        <v>Madison - Kalamazoo</v>
      </c>
      <c r="H778" s="17" t="s">
        <v>62</v>
      </c>
      <c r="I778" s="17" t="s">
        <v>29</v>
      </c>
      <c r="J778" s="17">
        <v>4</v>
      </c>
      <c r="K778" s="17" t="s">
        <v>71</v>
      </c>
      <c r="L778" s="17" t="s">
        <v>21</v>
      </c>
      <c r="M778" s="17" t="s">
        <v>42</v>
      </c>
      <c r="N778" s="17">
        <v>281</v>
      </c>
      <c r="O778" s="17">
        <v>281</v>
      </c>
      <c r="P778" s="26">
        <f>(data[[#This Row],[LoadedMiles]]/data[[#This Row],[TotalMiles]])*100</f>
        <v>100</v>
      </c>
      <c r="Q778" s="25">
        <f>data[[#This Row],[ShippingCost]]/data[[#This Row],[TotalMiles]]</f>
        <v>22.430604982206404</v>
      </c>
      <c r="R778" s="17">
        <v>6303</v>
      </c>
      <c r="S778" s="25">
        <f>data[[#This Row],[Revenue]]/data[[#This Row],[TotalMiles]]</f>
        <v>38.665480427046262</v>
      </c>
      <c r="T778" s="26">
        <f>data[[#This Row],[Revenue]]-data[[#This Row],[ShippingCost]]</f>
        <v>4562</v>
      </c>
      <c r="U778" s="17">
        <v>10865</v>
      </c>
      <c r="V778" s="17">
        <v>74</v>
      </c>
      <c r="W778" s="17" t="s">
        <v>25</v>
      </c>
      <c r="X778" s="17">
        <v>1</v>
      </c>
      <c r="Y778" s="17">
        <f>data[[#This Row],[DeliveryDate]]-data[[#This Row],[ShipDate]]</f>
        <v>4</v>
      </c>
      <c r="Z778" s="17" t="str">
        <f>IF(data[[#This Row],[Actual Delivery Days]]&gt;AD779,"Yes","No")</f>
        <v>Yes</v>
      </c>
    </row>
    <row r="779" spans="1:26">
      <c r="A779" s="17">
        <v>10951</v>
      </c>
      <c r="B779" s="17">
        <v>3</v>
      </c>
      <c r="C779" s="17">
        <v>6</v>
      </c>
      <c r="D779" s="17" t="s">
        <v>233</v>
      </c>
      <c r="E779" s="17" t="s">
        <v>156</v>
      </c>
      <c r="F779" s="17" t="str">
        <f>TEXT(data[[#This Row],[ShipDate]],"yyyy - mmmm")</f>
        <v>2016 - July</v>
      </c>
      <c r="G779" s="17" t="str">
        <f>data[[#This Row],[OriginCity]] &amp; " - "  &amp; data[[#This Row],[DestinationCity]]</f>
        <v>Grand Rapids - Toledo</v>
      </c>
      <c r="H779" s="17" t="s">
        <v>20</v>
      </c>
      <c r="I779" s="17" t="s">
        <v>21</v>
      </c>
      <c r="J779" s="17">
        <v>4</v>
      </c>
      <c r="K779" s="17" t="s">
        <v>22</v>
      </c>
      <c r="L779" s="17" t="s">
        <v>23</v>
      </c>
      <c r="M779" s="17" t="s">
        <v>144</v>
      </c>
      <c r="N779" s="17">
        <v>398</v>
      </c>
      <c r="O779" s="17">
        <v>398</v>
      </c>
      <c r="P779" s="26">
        <f>(data[[#This Row],[LoadedMiles]]/data[[#This Row],[TotalMiles]])*100</f>
        <v>100</v>
      </c>
      <c r="Q779" s="25">
        <f>data[[#This Row],[ShippingCost]]/data[[#This Row],[TotalMiles]]</f>
        <v>8.4723618090452266</v>
      </c>
      <c r="R779" s="17">
        <v>3372</v>
      </c>
      <c r="S779" s="25">
        <f>data[[#This Row],[Revenue]]/data[[#This Row],[TotalMiles]]</f>
        <v>9.9296482412060296</v>
      </c>
      <c r="T779" s="26">
        <f>data[[#This Row],[Revenue]]-data[[#This Row],[ShippingCost]]</f>
        <v>580</v>
      </c>
      <c r="U779" s="17">
        <v>3952</v>
      </c>
      <c r="V779" s="17">
        <v>53</v>
      </c>
      <c r="W779" s="17" t="s">
        <v>25</v>
      </c>
      <c r="X779" s="17">
        <v>6</v>
      </c>
      <c r="Y779" s="17">
        <f>data[[#This Row],[DeliveryDate]]-data[[#This Row],[ShipDate]]</f>
        <v>4</v>
      </c>
      <c r="Z779" s="17" t="str">
        <f>IF(data[[#This Row],[Actual Delivery Days]]&gt;AD780,"Yes","No")</f>
        <v>Yes</v>
      </c>
    </row>
    <row r="780" spans="1:26">
      <c r="A780" s="17">
        <v>10954</v>
      </c>
      <c r="B780" s="17">
        <v>3</v>
      </c>
      <c r="C780" s="17">
        <v>5</v>
      </c>
      <c r="D780" s="17" t="s">
        <v>242</v>
      </c>
      <c r="E780" s="17" t="s">
        <v>499</v>
      </c>
      <c r="F780" s="17" t="str">
        <f>TEXT(data[[#This Row],[ShipDate]],"yyyy - mmmm")</f>
        <v>2016 - July</v>
      </c>
      <c r="G780" s="17" t="str">
        <f>data[[#This Row],[OriginCity]] &amp; " - "  &amp; data[[#This Row],[DestinationCity]]</f>
        <v>Indianapolis - Northbrook</v>
      </c>
      <c r="H780" s="17" t="s">
        <v>43</v>
      </c>
      <c r="I780" s="17" t="s">
        <v>44</v>
      </c>
      <c r="J780" s="17">
        <v>4</v>
      </c>
      <c r="K780" s="17" t="s">
        <v>45</v>
      </c>
      <c r="L780" s="17" t="s">
        <v>31</v>
      </c>
      <c r="M780" s="17" t="s">
        <v>19</v>
      </c>
      <c r="N780" s="17">
        <v>977</v>
      </c>
      <c r="O780" s="17">
        <v>350</v>
      </c>
      <c r="P780" s="26">
        <f>(data[[#This Row],[LoadedMiles]]/data[[#This Row],[TotalMiles]])*100</f>
        <v>35.823950870010236</v>
      </c>
      <c r="Q780" s="25">
        <f>data[[#This Row],[ShippingCost]]/data[[#This Row],[TotalMiles]]</f>
        <v>3.4462640736949846</v>
      </c>
      <c r="R780" s="17">
        <v>3367</v>
      </c>
      <c r="S780" s="25">
        <f>data[[#This Row],[Revenue]]/data[[#This Row],[TotalMiles]]</f>
        <v>4.1770726714431934</v>
      </c>
      <c r="T780" s="26">
        <f>data[[#This Row],[Revenue]]-data[[#This Row],[ShippingCost]]</f>
        <v>714</v>
      </c>
      <c r="U780" s="17">
        <v>4081</v>
      </c>
      <c r="V780" s="17">
        <v>57</v>
      </c>
      <c r="W780" s="17" t="s">
        <v>25</v>
      </c>
      <c r="X780" s="17">
        <v>1</v>
      </c>
      <c r="Y780" s="17">
        <f>data[[#This Row],[DeliveryDate]]-data[[#This Row],[ShipDate]]</f>
        <v>2</v>
      </c>
      <c r="Z780" s="17" t="str">
        <f>IF(data[[#This Row],[Actual Delivery Days]]&gt;AD781,"Yes","No")</f>
        <v>Yes</v>
      </c>
    </row>
    <row r="781" spans="1:26">
      <c r="A781" s="17">
        <v>10956</v>
      </c>
      <c r="B781" s="17">
        <v>3</v>
      </c>
      <c r="C781" s="17">
        <v>6</v>
      </c>
      <c r="D781" s="17" t="s">
        <v>247</v>
      </c>
      <c r="E781" s="17" t="s">
        <v>38</v>
      </c>
      <c r="F781" s="17" t="str">
        <f>TEXT(data[[#This Row],[ShipDate]],"yyyy - mmmm")</f>
        <v>2016 - August</v>
      </c>
      <c r="G781" s="17" t="str">
        <f>data[[#This Row],[OriginCity]] &amp; " - "  &amp; data[[#This Row],[DestinationCity]]</f>
        <v>Detriot - Monon</v>
      </c>
      <c r="H781" s="17" t="s">
        <v>52</v>
      </c>
      <c r="I781" s="17" t="s">
        <v>21</v>
      </c>
      <c r="J781" s="17">
        <v>4</v>
      </c>
      <c r="K781" s="17" t="s">
        <v>53</v>
      </c>
      <c r="L781" s="17" t="s">
        <v>44</v>
      </c>
      <c r="M781" s="17" t="s">
        <v>34</v>
      </c>
      <c r="N781" s="17">
        <v>1159</v>
      </c>
      <c r="O781" s="17">
        <v>566</v>
      </c>
      <c r="P781" s="26">
        <f>(data[[#This Row],[LoadedMiles]]/data[[#This Row],[TotalMiles]])*100</f>
        <v>48.835202761000865</v>
      </c>
      <c r="Q781" s="25">
        <f>data[[#This Row],[ShippingCost]]/data[[#This Row],[TotalMiles]]</f>
        <v>5.6540120793787745</v>
      </c>
      <c r="R781" s="17">
        <v>6553</v>
      </c>
      <c r="S781" s="25">
        <f>data[[#This Row],[Revenue]]/data[[#This Row],[TotalMiles]]</f>
        <v>6.2450388265746337</v>
      </c>
      <c r="T781" s="26">
        <f>data[[#This Row],[Revenue]]-data[[#This Row],[ShippingCost]]</f>
        <v>685</v>
      </c>
      <c r="U781" s="17">
        <v>7238</v>
      </c>
      <c r="V781" s="17">
        <v>92</v>
      </c>
      <c r="W781" s="17" t="s">
        <v>25</v>
      </c>
      <c r="X781" s="17">
        <v>9</v>
      </c>
      <c r="Y781" s="17">
        <f>data[[#This Row],[DeliveryDate]]-data[[#This Row],[ShipDate]]</f>
        <v>4</v>
      </c>
      <c r="Z781" s="17" t="str">
        <f>IF(data[[#This Row],[Actual Delivery Days]]&gt;AD782,"Yes","No")</f>
        <v>Yes</v>
      </c>
    </row>
    <row r="782" spans="1:26">
      <c r="A782" s="17">
        <v>10973</v>
      </c>
      <c r="B782" s="17">
        <v>2</v>
      </c>
      <c r="C782" s="17">
        <v>3</v>
      </c>
      <c r="D782" s="17" t="s">
        <v>288</v>
      </c>
      <c r="E782" s="17" t="s">
        <v>608</v>
      </c>
      <c r="F782" s="17" t="str">
        <f>TEXT(data[[#This Row],[ShipDate]],"yyyy - mmmm")</f>
        <v>2016 - July</v>
      </c>
      <c r="G782" s="17" t="str">
        <f>data[[#This Row],[OriginCity]] &amp; " - "  &amp; data[[#This Row],[DestinationCity]]</f>
        <v>Indianapolis - Northbrook</v>
      </c>
      <c r="H782" s="17" t="s">
        <v>43</v>
      </c>
      <c r="I782" s="17" t="s">
        <v>44</v>
      </c>
      <c r="J782" s="17">
        <v>4</v>
      </c>
      <c r="K782" s="17" t="s">
        <v>45</v>
      </c>
      <c r="L782" s="17" t="s">
        <v>31</v>
      </c>
      <c r="M782" s="17" t="s">
        <v>614</v>
      </c>
      <c r="N782" s="17">
        <v>248</v>
      </c>
      <c r="O782" s="17">
        <v>248</v>
      </c>
      <c r="P782" s="26">
        <f>(data[[#This Row],[LoadedMiles]]/data[[#This Row],[TotalMiles]])*100</f>
        <v>100</v>
      </c>
      <c r="Q782" s="25">
        <f>data[[#This Row],[ShippingCost]]/data[[#This Row],[TotalMiles]]</f>
        <v>27.032258064516128</v>
      </c>
      <c r="R782" s="17">
        <v>6704</v>
      </c>
      <c r="S782" s="25">
        <f>data[[#This Row],[Revenue]]/data[[#This Row],[TotalMiles]]</f>
        <v>29.72983870967742</v>
      </c>
      <c r="T782" s="26">
        <f>data[[#This Row],[Revenue]]-data[[#This Row],[ShippingCost]]</f>
        <v>669</v>
      </c>
      <c r="U782" s="17">
        <v>7373</v>
      </c>
      <c r="V782" s="17">
        <v>100</v>
      </c>
      <c r="W782" s="17" t="s">
        <v>25</v>
      </c>
      <c r="X782" s="17">
        <v>6</v>
      </c>
      <c r="Y782" s="17">
        <f>data[[#This Row],[DeliveryDate]]-data[[#This Row],[ShipDate]]</f>
        <v>4</v>
      </c>
      <c r="Z782" s="17" t="str">
        <f>IF(data[[#This Row],[Actual Delivery Days]]&gt;AD783,"Yes","No")</f>
        <v>Yes</v>
      </c>
    </row>
    <row r="783" spans="1:26">
      <c r="A783" s="17">
        <v>10975</v>
      </c>
      <c r="B783" s="17">
        <v>3</v>
      </c>
      <c r="C783" s="17">
        <v>6</v>
      </c>
      <c r="D783" s="17" t="s">
        <v>292</v>
      </c>
      <c r="E783" s="17" t="s">
        <v>396</v>
      </c>
      <c r="F783" s="17" t="str">
        <f>TEXT(data[[#This Row],[ShipDate]],"yyyy - mmmm")</f>
        <v>2016 - January</v>
      </c>
      <c r="G783" s="17" t="str">
        <f>data[[#This Row],[OriginCity]] &amp; " - "  &amp; data[[#This Row],[DestinationCity]]</f>
        <v>Detriot - Monon</v>
      </c>
      <c r="H783" s="17" t="s">
        <v>52</v>
      </c>
      <c r="I783" s="17" t="s">
        <v>21</v>
      </c>
      <c r="J783" s="17">
        <v>4</v>
      </c>
      <c r="K783" s="17" t="s">
        <v>53</v>
      </c>
      <c r="L783" s="17" t="s">
        <v>44</v>
      </c>
      <c r="M783" s="17" t="s">
        <v>259</v>
      </c>
      <c r="N783" s="17">
        <v>306</v>
      </c>
      <c r="O783" s="17">
        <v>306</v>
      </c>
      <c r="P783" s="26">
        <f>(data[[#This Row],[LoadedMiles]]/data[[#This Row],[TotalMiles]])*100</f>
        <v>100</v>
      </c>
      <c r="Q783" s="25">
        <f>data[[#This Row],[ShippingCost]]/data[[#This Row],[TotalMiles]]</f>
        <v>0.86928104575163401</v>
      </c>
      <c r="R783" s="17">
        <v>266</v>
      </c>
      <c r="S783" s="25">
        <f>data[[#This Row],[Revenue]]/data[[#This Row],[TotalMiles]]</f>
        <v>3.8169934640522878</v>
      </c>
      <c r="T783" s="26">
        <f>data[[#This Row],[Revenue]]-data[[#This Row],[ShippingCost]]</f>
        <v>902</v>
      </c>
      <c r="U783" s="17">
        <v>1168</v>
      </c>
      <c r="V783" s="17">
        <v>78</v>
      </c>
      <c r="W783" s="17" t="s">
        <v>25</v>
      </c>
      <c r="X783" s="17">
        <v>8</v>
      </c>
      <c r="Y783" s="17">
        <f>data[[#This Row],[DeliveryDate]]-data[[#This Row],[ShipDate]]</f>
        <v>4</v>
      </c>
      <c r="Z783" s="17" t="str">
        <f>IF(data[[#This Row],[Actual Delivery Days]]&gt;AD784,"Yes","No")</f>
        <v>Yes</v>
      </c>
    </row>
    <row r="784" spans="1:26">
      <c r="A784" s="17">
        <v>10977</v>
      </c>
      <c r="B784" s="17">
        <v>3</v>
      </c>
      <c r="C784" s="17">
        <v>1</v>
      </c>
      <c r="D784" s="17" t="s">
        <v>295</v>
      </c>
      <c r="E784" s="17" t="s">
        <v>231</v>
      </c>
      <c r="F784" s="17" t="str">
        <f>TEXT(data[[#This Row],[ShipDate]],"yyyy - mmmm")</f>
        <v>2016 - May</v>
      </c>
      <c r="G784" s="17" t="str">
        <f>data[[#This Row],[OriginCity]] &amp; " - "  &amp; data[[#This Row],[DestinationCity]]</f>
        <v>Joliet - Madison</v>
      </c>
      <c r="H784" s="17" t="s">
        <v>61</v>
      </c>
      <c r="I784" s="17" t="s">
        <v>31</v>
      </c>
      <c r="J784" s="17">
        <v>4</v>
      </c>
      <c r="K784" s="17" t="s">
        <v>62</v>
      </c>
      <c r="L784" s="17" t="s">
        <v>29</v>
      </c>
      <c r="M784" s="17" t="s">
        <v>350</v>
      </c>
      <c r="N784" s="17">
        <v>397</v>
      </c>
      <c r="O784" s="17">
        <v>397</v>
      </c>
      <c r="P784" s="26">
        <f>(data[[#This Row],[LoadedMiles]]/data[[#This Row],[TotalMiles]])*100</f>
        <v>100</v>
      </c>
      <c r="Q784" s="25">
        <f>data[[#This Row],[ShippingCost]]/data[[#This Row],[TotalMiles]]</f>
        <v>18.055415617128464</v>
      </c>
      <c r="R784" s="17">
        <v>7168</v>
      </c>
      <c r="S784" s="25">
        <f>data[[#This Row],[Revenue]]/data[[#This Row],[TotalMiles]]</f>
        <v>28.41309823677582</v>
      </c>
      <c r="T784" s="26">
        <f>data[[#This Row],[Revenue]]-data[[#This Row],[ShippingCost]]</f>
        <v>4112</v>
      </c>
      <c r="U784" s="17">
        <v>11280</v>
      </c>
      <c r="V784" s="17">
        <v>90</v>
      </c>
      <c r="W784" s="17" t="s">
        <v>25</v>
      </c>
      <c r="X784" s="17">
        <v>5</v>
      </c>
      <c r="Y784" s="17">
        <f>data[[#This Row],[DeliveryDate]]-data[[#This Row],[ShipDate]]</f>
        <v>1</v>
      </c>
      <c r="Z784" s="17" t="str">
        <f>IF(data[[#This Row],[Actual Delivery Days]]&gt;AD785,"Yes","No")</f>
        <v>Yes</v>
      </c>
    </row>
    <row r="785" spans="1:26">
      <c r="A785" s="17">
        <v>10985</v>
      </c>
      <c r="B785" s="17">
        <v>3</v>
      </c>
      <c r="C785" s="17">
        <v>6</v>
      </c>
      <c r="D785" s="17" t="s">
        <v>249</v>
      </c>
      <c r="E785" s="17" t="s">
        <v>625</v>
      </c>
      <c r="F785" s="17" t="str">
        <f>TEXT(data[[#This Row],[ShipDate]],"yyyy - mmmm")</f>
        <v>2016 - January</v>
      </c>
      <c r="G785" s="17" t="str">
        <f>data[[#This Row],[OriginCity]] &amp; " - "  &amp; data[[#This Row],[DestinationCity]]</f>
        <v>Dayton - Elgin</v>
      </c>
      <c r="H785" s="17" t="s">
        <v>93</v>
      </c>
      <c r="I785" s="17" t="s">
        <v>23</v>
      </c>
      <c r="J785" s="17">
        <v>4</v>
      </c>
      <c r="K785" s="17" t="s">
        <v>94</v>
      </c>
      <c r="L785" s="17" t="s">
        <v>31</v>
      </c>
      <c r="M785" s="17" t="s">
        <v>424</v>
      </c>
      <c r="N785" s="17">
        <v>866</v>
      </c>
      <c r="O785" s="17">
        <v>474</v>
      </c>
      <c r="P785" s="26">
        <f>(data[[#This Row],[LoadedMiles]]/data[[#This Row],[TotalMiles]])*100</f>
        <v>54.734411085450354</v>
      </c>
      <c r="Q785" s="25">
        <f>data[[#This Row],[ShippingCost]]/data[[#This Row],[TotalMiles]]</f>
        <v>9.5046189376443415</v>
      </c>
      <c r="R785" s="17">
        <v>8231</v>
      </c>
      <c r="S785" s="25">
        <f>data[[#This Row],[Revenue]]/data[[#This Row],[TotalMiles]]</f>
        <v>9.9976905311778292</v>
      </c>
      <c r="T785" s="26">
        <f>data[[#This Row],[Revenue]]-data[[#This Row],[ShippingCost]]</f>
        <v>427</v>
      </c>
      <c r="U785" s="17">
        <v>8658</v>
      </c>
      <c r="V785" s="17">
        <v>75</v>
      </c>
      <c r="W785" s="17" t="s">
        <v>25</v>
      </c>
      <c r="X785" s="17">
        <v>1</v>
      </c>
      <c r="Y785" s="17">
        <f>data[[#This Row],[DeliveryDate]]-data[[#This Row],[ShipDate]]</f>
        <v>4</v>
      </c>
      <c r="Z785" s="17" t="str">
        <f>IF(data[[#This Row],[Actual Delivery Days]]&gt;AD786,"Yes","No")</f>
        <v>Yes</v>
      </c>
    </row>
    <row r="786" spans="1:26">
      <c r="A786" s="17">
        <v>10990</v>
      </c>
      <c r="B786" s="17">
        <v>2</v>
      </c>
      <c r="C786" s="17">
        <v>2</v>
      </c>
      <c r="D786" s="17" t="s">
        <v>321</v>
      </c>
      <c r="E786" s="17" t="s">
        <v>449</v>
      </c>
      <c r="F786" s="17" t="str">
        <f>TEXT(data[[#This Row],[ShipDate]],"yyyy - mmmm")</f>
        <v>2016 - March</v>
      </c>
      <c r="G786" s="17" t="str">
        <f>data[[#This Row],[OriginCity]] &amp; " - "  &amp; data[[#This Row],[DestinationCity]]</f>
        <v>Skokie - Chicago</v>
      </c>
      <c r="H786" s="17" t="s">
        <v>35</v>
      </c>
      <c r="I786" s="17" t="s">
        <v>31</v>
      </c>
      <c r="J786" s="17">
        <v>4</v>
      </c>
      <c r="K786" s="17" t="s">
        <v>39</v>
      </c>
      <c r="L786" s="17" t="s">
        <v>31</v>
      </c>
      <c r="M786" s="17" t="s">
        <v>129</v>
      </c>
      <c r="N786" s="17">
        <v>514</v>
      </c>
      <c r="O786" s="17">
        <v>514</v>
      </c>
      <c r="P786" s="26">
        <f>(data[[#This Row],[LoadedMiles]]/data[[#This Row],[TotalMiles]])*100</f>
        <v>100</v>
      </c>
      <c r="Q786" s="25">
        <f>data[[#This Row],[ShippingCost]]/data[[#This Row],[TotalMiles]]</f>
        <v>10.132295719844358</v>
      </c>
      <c r="R786" s="17">
        <v>5208</v>
      </c>
      <c r="S786" s="25">
        <f>data[[#This Row],[Revenue]]/data[[#This Row],[TotalMiles]]</f>
        <v>10.918287937743191</v>
      </c>
      <c r="T786" s="26">
        <f>data[[#This Row],[Revenue]]-data[[#This Row],[ShippingCost]]</f>
        <v>404</v>
      </c>
      <c r="U786" s="17">
        <v>5612</v>
      </c>
      <c r="V786" s="17">
        <v>50</v>
      </c>
      <c r="W786" s="17" t="s">
        <v>25</v>
      </c>
      <c r="X786" s="17">
        <v>10</v>
      </c>
      <c r="Y786" s="17">
        <f>data[[#This Row],[DeliveryDate]]-data[[#This Row],[ShipDate]]</f>
        <v>4</v>
      </c>
      <c r="Z786" s="17" t="str">
        <f>IF(data[[#This Row],[Actual Delivery Days]]&gt;AD787,"Yes","No")</f>
        <v>Yes</v>
      </c>
    </row>
    <row r="787" spans="1:26">
      <c r="A787" s="17">
        <v>10994</v>
      </c>
      <c r="B787" s="17">
        <v>3</v>
      </c>
      <c r="C787" s="17">
        <v>5</v>
      </c>
      <c r="D787" s="17" t="s">
        <v>329</v>
      </c>
      <c r="E787" s="17" t="s">
        <v>226</v>
      </c>
      <c r="F787" s="17" t="str">
        <f>TEXT(data[[#This Row],[ShipDate]],"yyyy - mmmm")</f>
        <v>2016 - May</v>
      </c>
      <c r="G787" s="17" t="str">
        <f>data[[#This Row],[OriginCity]] &amp; " - "  &amp; data[[#This Row],[DestinationCity]]</f>
        <v>Chicago - Rockford</v>
      </c>
      <c r="H787" s="17" t="s">
        <v>39</v>
      </c>
      <c r="I787" s="17" t="s">
        <v>31</v>
      </c>
      <c r="J787" s="17">
        <v>4</v>
      </c>
      <c r="K787" s="17" t="s">
        <v>40</v>
      </c>
      <c r="L787" s="17" t="s">
        <v>31</v>
      </c>
      <c r="M787" s="17" t="s">
        <v>261</v>
      </c>
      <c r="N787" s="17">
        <v>482</v>
      </c>
      <c r="O787" s="17">
        <v>482</v>
      </c>
      <c r="P787" s="26">
        <f>(data[[#This Row],[LoadedMiles]]/data[[#This Row],[TotalMiles]])*100</f>
        <v>100</v>
      </c>
      <c r="Q787" s="25">
        <f>data[[#This Row],[ShippingCost]]/data[[#This Row],[TotalMiles]]</f>
        <v>9.784232365145229</v>
      </c>
      <c r="R787" s="17">
        <v>4716</v>
      </c>
      <c r="S787" s="25">
        <f>data[[#This Row],[Revenue]]/data[[#This Row],[TotalMiles]]</f>
        <v>10.404564315352697</v>
      </c>
      <c r="T787" s="26">
        <f>data[[#This Row],[Revenue]]-data[[#This Row],[ShippingCost]]</f>
        <v>299</v>
      </c>
      <c r="U787" s="17">
        <v>5015</v>
      </c>
      <c r="V787" s="17">
        <v>71</v>
      </c>
      <c r="W787" s="17" t="s">
        <v>25</v>
      </c>
      <c r="X787" s="17">
        <v>7</v>
      </c>
      <c r="Y787" s="17">
        <f>data[[#This Row],[DeliveryDate]]-data[[#This Row],[ShipDate]]</f>
        <v>4</v>
      </c>
      <c r="Z787" s="17" t="str">
        <f>IF(data[[#This Row],[Actual Delivery Days]]&gt;AD788,"Yes","No")</f>
        <v>Yes</v>
      </c>
    </row>
    <row r="788" spans="1:26">
      <c r="A788" s="17">
        <v>11009</v>
      </c>
      <c r="B788" s="17">
        <v>3</v>
      </c>
      <c r="C788" s="17">
        <v>6</v>
      </c>
      <c r="D788" s="17" t="s">
        <v>357</v>
      </c>
      <c r="E788" s="17" t="s">
        <v>337</v>
      </c>
      <c r="F788" s="17" t="str">
        <f>TEXT(data[[#This Row],[ShipDate]],"yyyy - mmmm")</f>
        <v>2016 - March</v>
      </c>
      <c r="G788" s="17" t="str">
        <f>data[[#This Row],[OriginCity]] &amp; " - "  &amp; data[[#This Row],[DestinationCity]]</f>
        <v>Elgin - Cincinnati</v>
      </c>
      <c r="H788" s="17" t="s">
        <v>94</v>
      </c>
      <c r="I788" s="17" t="s">
        <v>31</v>
      </c>
      <c r="J788" s="17">
        <v>4</v>
      </c>
      <c r="K788" s="17" t="s">
        <v>89</v>
      </c>
      <c r="L788" s="17" t="s">
        <v>23</v>
      </c>
      <c r="M788" s="17" t="s">
        <v>130</v>
      </c>
      <c r="N788" s="17">
        <v>1079</v>
      </c>
      <c r="O788" s="17">
        <v>452</v>
      </c>
      <c r="P788" s="26">
        <f>(data[[#This Row],[LoadedMiles]]/data[[#This Row],[TotalMiles]])*100</f>
        <v>41.890639481000925</v>
      </c>
      <c r="Q788" s="25">
        <f>data[[#This Row],[ShippingCost]]/data[[#This Row],[TotalMiles]]</f>
        <v>7.3345690454124188</v>
      </c>
      <c r="R788" s="17">
        <v>7914</v>
      </c>
      <c r="S788" s="25">
        <f>data[[#This Row],[Revenue]]/data[[#This Row],[TotalMiles]]</f>
        <v>8.1010194624652456</v>
      </c>
      <c r="T788" s="26">
        <f>data[[#This Row],[Revenue]]-data[[#This Row],[ShippingCost]]</f>
        <v>827</v>
      </c>
      <c r="U788" s="17">
        <v>8741</v>
      </c>
      <c r="V788" s="17">
        <v>98</v>
      </c>
      <c r="W788" s="17" t="s">
        <v>25</v>
      </c>
      <c r="X788" s="17">
        <v>2</v>
      </c>
      <c r="Y788" s="17">
        <f>data[[#This Row],[DeliveryDate]]-data[[#This Row],[ShipDate]]</f>
        <v>4</v>
      </c>
      <c r="Z788" s="17" t="str">
        <f>IF(data[[#This Row],[Actual Delivery Days]]&gt;AD789,"Yes","No")</f>
        <v>Yes</v>
      </c>
    </row>
    <row r="789" spans="1:26">
      <c r="A789" s="17">
        <v>11010</v>
      </c>
      <c r="B789" s="17">
        <v>2</v>
      </c>
      <c r="C789" s="17">
        <v>5</v>
      </c>
      <c r="D789" s="17" t="s">
        <v>359</v>
      </c>
      <c r="E789" s="17" t="s">
        <v>567</v>
      </c>
      <c r="F789" s="17" t="str">
        <f>TEXT(data[[#This Row],[ShipDate]],"yyyy - mmmm")</f>
        <v>2016 - February</v>
      </c>
      <c r="G789" s="17" t="str">
        <f>data[[#This Row],[OriginCity]] &amp; " - "  &amp; data[[#This Row],[DestinationCity]]</f>
        <v>Skokie - Chicago</v>
      </c>
      <c r="H789" s="17" t="s">
        <v>35</v>
      </c>
      <c r="I789" s="17" t="s">
        <v>31</v>
      </c>
      <c r="J789" s="17">
        <v>4</v>
      </c>
      <c r="K789" s="17" t="s">
        <v>39</v>
      </c>
      <c r="L789" s="17" t="s">
        <v>31</v>
      </c>
      <c r="M789" s="17" t="s">
        <v>460</v>
      </c>
      <c r="N789" s="17">
        <v>813</v>
      </c>
      <c r="O789" s="17">
        <v>438</v>
      </c>
      <c r="P789" s="26">
        <f>(data[[#This Row],[LoadedMiles]]/data[[#This Row],[TotalMiles]])*100</f>
        <v>53.874538745387454</v>
      </c>
      <c r="Q789" s="25">
        <f>data[[#This Row],[ShippingCost]]/data[[#This Row],[TotalMiles]]</f>
        <v>10.420664206642066</v>
      </c>
      <c r="R789" s="17">
        <v>8472</v>
      </c>
      <c r="S789" s="25">
        <f>data[[#This Row],[Revenue]]/data[[#This Row],[TotalMiles]]</f>
        <v>10.971709717097172</v>
      </c>
      <c r="T789" s="26">
        <f>data[[#This Row],[Revenue]]-data[[#This Row],[ShippingCost]]</f>
        <v>448</v>
      </c>
      <c r="U789" s="17">
        <v>8920</v>
      </c>
      <c r="V789" s="17">
        <v>83</v>
      </c>
      <c r="W789" s="17" t="s">
        <v>25</v>
      </c>
      <c r="X789" s="17">
        <v>7</v>
      </c>
      <c r="Y789" s="17">
        <f>data[[#This Row],[DeliveryDate]]-data[[#This Row],[ShipDate]]</f>
        <v>4</v>
      </c>
      <c r="Z789" s="17" t="str">
        <f>IF(data[[#This Row],[Actual Delivery Days]]&gt;AD790,"Yes","No")</f>
        <v>Yes</v>
      </c>
    </row>
    <row r="790" spans="1:26">
      <c r="A790" s="17">
        <v>11013</v>
      </c>
      <c r="B790" s="17">
        <v>3</v>
      </c>
      <c r="C790" s="17">
        <v>1</v>
      </c>
      <c r="D790" s="17" t="s">
        <v>361</v>
      </c>
      <c r="E790" s="17" t="s">
        <v>227</v>
      </c>
      <c r="F790" s="17" t="str">
        <f>TEXT(data[[#This Row],[ShipDate]],"yyyy - mmmm")</f>
        <v>2016 - May</v>
      </c>
      <c r="G790" s="17" t="str">
        <f>data[[#This Row],[OriginCity]] &amp; " - "  &amp; data[[#This Row],[DestinationCity]]</f>
        <v>Grand Rapids - Toledo</v>
      </c>
      <c r="H790" s="17" t="s">
        <v>20</v>
      </c>
      <c r="I790" s="17" t="s">
        <v>21</v>
      </c>
      <c r="J790" s="17">
        <v>4</v>
      </c>
      <c r="K790" s="17" t="s">
        <v>22</v>
      </c>
      <c r="L790" s="17" t="s">
        <v>23</v>
      </c>
      <c r="M790" s="17" t="s">
        <v>224</v>
      </c>
      <c r="N790" s="17">
        <v>338</v>
      </c>
      <c r="O790" s="17">
        <v>297</v>
      </c>
      <c r="P790" s="26">
        <f>(data[[#This Row],[LoadedMiles]]/data[[#This Row],[TotalMiles]])*100</f>
        <v>87.869822485207109</v>
      </c>
      <c r="Q790" s="25">
        <f>data[[#This Row],[ShippingCost]]/data[[#This Row],[TotalMiles]]</f>
        <v>14.695266272189349</v>
      </c>
      <c r="R790" s="17">
        <v>4967</v>
      </c>
      <c r="S790" s="25">
        <f>data[[#This Row],[Revenue]]/data[[#This Row],[TotalMiles]]</f>
        <v>26.497041420118343</v>
      </c>
      <c r="T790" s="26">
        <f>data[[#This Row],[Revenue]]-data[[#This Row],[ShippingCost]]</f>
        <v>3989</v>
      </c>
      <c r="U790" s="17">
        <v>8956</v>
      </c>
      <c r="V790" s="17">
        <v>54</v>
      </c>
      <c r="W790" s="17" t="s">
        <v>25</v>
      </c>
      <c r="X790" s="17">
        <v>3</v>
      </c>
      <c r="Y790" s="17">
        <f>data[[#This Row],[DeliveryDate]]-data[[#This Row],[ShipDate]]</f>
        <v>2</v>
      </c>
      <c r="Z790" s="17" t="str">
        <f>IF(data[[#This Row],[Actual Delivery Days]]&gt;AD791,"Yes","No")</f>
        <v>Yes</v>
      </c>
    </row>
    <row r="791" spans="1:26">
      <c r="A791" s="17">
        <v>11021</v>
      </c>
      <c r="B791" s="17">
        <v>3</v>
      </c>
      <c r="C791" s="17">
        <v>3</v>
      </c>
      <c r="D791" s="17" t="s">
        <v>375</v>
      </c>
      <c r="E791" s="17" t="s">
        <v>177</v>
      </c>
      <c r="F791" s="17" t="str">
        <f>TEXT(data[[#This Row],[ShipDate]],"yyyy - mmmm")</f>
        <v>2016 - June</v>
      </c>
      <c r="G791" s="17" t="str">
        <f>data[[#This Row],[OriginCity]] &amp; " - "  &amp; data[[#This Row],[DestinationCity]]</f>
        <v>Joliet - Madison</v>
      </c>
      <c r="H791" s="17" t="s">
        <v>61</v>
      </c>
      <c r="I791" s="17" t="s">
        <v>31</v>
      </c>
      <c r="J791" s="17">
        <v>4</v>
      </c>
      <c r="K791" s="17" t="s">
        <v>62</v>
      </c>
      <c r="L791" s="17" t="s">
        <v>29</v>
      </c>
      <c r="M791" s="17" t="s">
        <v>319</v>
      </c>
      <c r="N791" s="17">
        <v>1078</v>
      </c>
      <c r="O791" s="17">
        <v>782</v>
      </c>
      <c r="P791" s="26">
        <f>(data[[#This Row],[LoadedMiles]]/data[[#This Row],[TotalMiles]])*100</f>
        <v>72.541743970315395</v>
      </c>
      <c r="Q791" s="25">
        <f>data[[#This Row],[ShippingCost]]/data[[#This Row],[TotalMiles]]</f>
        <v>5.8794063079777361</v>
      </c>
      <c r="R791" s="17">
        <v>6338</v>
      </c>
      <c r="S791" s="25">
        <f>data[[#This Row],[Revenue]]/data[[#This Row],[TotalMiles]]</f>
        <v>6.1270871985157696</v>
      </c>
      <c r="T791" s="26">
        <f>data[[#This Row],[Revenue]]-data[[#This Row],[ShippingCost]]</f>
        <v>267</v>
      </c>
      <c r="U791" s="17">
        <v>6605</v>
      </c>
      <c r="V791" s="17">
        <v>95</v>
      </c>
      <c r="W791" s="17" t="s">
        <v>25</v>
      </c>
      <c r="X791" s="17">
        <v>8</v>
      </c>
      <c r="Y791" s="17">
        <f>data[[#This Row],[DeliveryDate]]-data[[#This Row],[ShipDate]]</f>
        <v>4</v>
      </c>
      <c r="Z791" s="17" t="str">
        <f>IF(data[[#This Row],[Actual Delivery Days]]&gt;AD792,"Yes","No")</f>
        <v>Yes</v>
      </c>
    </row>
    <row r="792" spans="1:26">
      <c r="A792" s="17">
        <v>11037</v>
      </c>
      <c r="B792" s="17">
        <v>3</v>
      </c>
      <c r="C792" s="17">
        <v>2</v>
      </c>
      <c r="D792" s="17" t="s">
        <v>403</v>
      </c>
      <c r="E792" s="17" t="s">
        <v>396</v>
      </c>
      <c r="F792" s="17" t="str">
        <f>TEXT(data[[#This Row],[ShipDate]],"yyyy - mmmm")</f>
        <v>2016 - January</v>
      </c>
      <c r="G792" s="17" t="str">
        <f>data[[#This Row],[OriginCity]] &amp; " - "  &amp; data[[#This Row],[DestinationCity]]</f>
        <v>Chicago - Rockford</v>
      </c>
      <c r="H792" s="17" t="s">
        <v>39</v>
      </c>
      <c r="I792" s="17" t="s">
        <v>31</v>
      </c>
      <c r="J792" s="17">
        <v>4</v>
      </c>
      <c r="K792" s="17" t="s">
        <v>40</v>
      </c>
      <c r="L792" s="17" t="s">
        <v>31</v>
      </c>
      <c r="M792" s="17" t="s">
        <v>259</v>
      </c>
      <c r="N792" s="17">
        <v>881</v>
      </c>
      <c r="O792" s="17">
        <v>534</v>
      </c>
      <c r="P792" s="26">
        <f>(data[[#This Row],[LoadedMiles]]/data[[#This Row],[TotalMiles]])*100</f>
        <v>60.612939841089677</v>
      </c>
      <c r="Q792" s="25">
        <f>data[[#This Row],[ShippingCost]]/data[[#This Row],[TotalMiles]]</f>
        <v>6.0681044267877411</v>
      </c>
      <c r="R792" s="17">
        <v>5346</v>
      </c>
      <c r="S792" s="25">
        <f>data[[#This Row],[Revenue]]/data[[#This Row],[TotalMiles]]</f>
        <v>6.4347332576617484</v>
      </c>
      <c r="T792" s="26">
        <f>data[[#This Row],[Revenue]]-data[[#This Row],[ShippingCost]]</f>
        <v>323</v>
      </c>
      <c r="U792" s="17">
        <v>5669</v>
      </c>
      <c r="V792" s="17">
        <v>89</v>
      </c>
      <c r="W792" s="17" t="s">
        <v>25</v>
      </c>
      <c r="X792" s="17">
        <v>3</v>
      </c>
      <c r="Y792" s="17">
        <f>data[[#This Row],[DeliveryDate]]-data[[#This Row],[ShipDate]]</f>
        <v>4</v>
      </c>
      <c r="Z792" s="17" t="str">
        <f>IF(data[[#This Row],[Actual Delivery Days]]&gt;AD793,"Yes","No")</f>
        <v>Yes</v>
      </c>
    </row>
    <row r="793" spans="1:26">
      <c r="A793" s="17">
        <v>11065</v>
      </c>
      <c r="B793" s="17">
        <v>3</v>
      </c>
      <c r="C793" s="17">
        <v>4</v>
      </c>
      <c r="D793" s="17" t="s">
        <v>451</v>
      </c>
      <c r="E793" s="17" t="s">
        <v>387</v>
      </c>
      <c r="F793" s="17" t="str">
        <f>TEXT(data[[#This Row],[ShipDate]],"yyyy - mmmm")</f>
        <v>2016 - August</v>
      </c>
      <c r="G793" s="17" t="str">
        <f>data[[#This Row],[OriginCity]] &amp; " - "  &amp; data[[#This Row],[DestinationCity]]</f>
        <v>Monon - Lansing</v>
      </c>
      <c r="H793" s="17" t="s">
        <v>53</v>
      </c>
      <c r="I793" s="17" t="s">
        <v>44</v>
      </c>
      <c r="J793" s="17">
        <v>4</v>
      </c>
      <c r="K793" s="17" t="s">
        <v>66</v>
      </c>
      <c r="L793" s="17" t="s">
        <v>21</v>
      </c>
      <c r="M793" s="17" t="s">
        <v>408</v>
      </c>
      <c r="N793" s="17">
        <v>1010</v>
      </c>
      <c r="O793" s="17">
        <v>724</v>
      </c>
      <c r="P793" s="26">
        <f>(data[[#This Row],[LoadedMiles]]/data[[#This Row],[TotalMiles]])*100</f>
        <v>71.683168316831683</v>
      </c>
      <c r="Q793" s="25">
        <f>data[[#This Row],[ShippingCost]]/data[[#This Row],[TotalMiles]]</f>
        <v>6.6495049504950492</v>
      </c>
      <c r="R793" s="17">
        <v>6716</v>
      </c>
      <c r="S793" s="25">
        <f>data[[#This Row],[Revenue]]/data[[#This Row],[TotalMiles]]</f>
        <v>4.6188118811881189</v>
      </c>
      <c r="T793" s="26">
        <f>data[[#This Row],[Revenue]]-data[[#This Row],[ShippingCost]]</f>
        <v>-2051</v>
      </c>
      <c r="U793" s="17">
        <v>4665</v>
      </c>
      <c r="V793" s="17">
        <v>61</v>
      </c>
      <c r="W793" s="17" t="s">
        <v>25</v>
      </c>
      <c r="X793" s="17">
        <v>1</v>
      </c>
      <c r="Y793" s="17">
        <f>data[[#This Row],[DeliveryDate]]-data[[#This Row],[ShipDate]]</f>
        <v>4</v>
      </c>
      <c r="Z793" s="17" t="str">
        <f>IF(data[[#This Row],[Actual Delivery Days]]&gt;AD794,"Yes","No")</f>
        <v>Yes</v>
      </c>
    </row>
    <row r="794" spans="1:26">
      <c r="A794" s="17">
        <v>11080</v>
      </c>
      <c r="B794" s="17">
        <v>2</v>
      </c>
      <c r="C794" s="17">
        <v>2</v>
      </c>
      <c r="D794" s="17" t="s">
        <v>477</v>
      </c>
      <c r="E794" s="17" t="s">
        <v>608</v>
      </c>
      <c r="F794" s="17" t="str">
        <f>TEXT(data[[#This Row],[ShipDate]],"yyyy - mmmm")</f>
        <v>2016 - July</v>
      </c>
      <c r="G794" s="17" t="str">
        <f>data[[#This Row],[OriginCity]] &amp; " - "  &amp; data[[#This Row],[DestinationCity]]</f>
        <v>Chicago - Rockford</v>
      </c>
      <c r="H794" s="17" t="s">
        <v>39</v>
      </c>
      <c r="I794" s="17" t="s">
        <v>31</v>
      </c>
      <c r="J794" s="17">
        <v>4</v>
      </c>
      <c r="K794" s="17" t="s">
        <v>40</v>
      </c>
      <c r="L794" s="17" t="s">
        <v>31</v>
      </c>
      <c r="M794" s="17" t="s">
        <v>614</v>
      </c>
      <c r="N794" s="17">
        <v>1007</v>
      </c>
      <c r="O794" s="17">
        <v>475</v>
      </c>
      <c r="P794" s="26">
        <f>(data[[#This Row],[LoadedMiles]]/data[[#This Row],[TotalMiles]])*100</f>
        <v>47.169811320754718</v>
      </c>
      <c r="Q794" s="25">
        <f>data[[#This Row],[ShippingCost]]/data[[#This Row],[TotalMiles]]</f>
        <v>2.8649453823237341</v>
      </c>
      <c r="R794" s="17">
        <v>2885</v>
      </c>
      <c r="S794" s="25">
        <f>data[[#This Row],[Revenue]]/data[[#This Row],[TotalMiles]]</f>
        <v>3.644488579940417</v>
      </c>
      <c r="T794" s="26">
        <f>data[[#This Row],[Revenue]]-data[[#This Row],[ShippingCost]]</f>
        <v>785</v>
      </c>
      <c r="U794" s="17">
        <v>3670</v>
      </c>
      <c r="V794" s="17">
        <v>75</v>
      </c>
      <c r="W794" s="17" t="s">
        <v>25</v>
      </c>
      <c r="X794" s="17">
        <v>6</v>
      </c>
      <c r="Y794" s="17">
        <f>data[[#This Row],[DeliveryDate]]-data[[#This Row],[ShipDate]]</f>
        <v>4</v>
      </c>
      <c r="Z794" s="17" t="str">
        <f>IF(data[[#This Row],[Actual Delivery Days]]&gt;AD795,"Yes","No")</f>
        <v>Yes</v>
      </c>
    </row>
    <row r="795" spans="1:26">
      <c r="A795" s="17">
        <v>11082</v>
      </c>
      <c r="B795" s="17">
        <v>2</v>
      </c>
      <c r="C795" s="17">
        <v>3</v>
      </c>
      <c r="D795" s="17" t="s">
        <v>479</v>
      </c>
      <c r="E795" s="17" t="s">
        <v>184</v>
      </c>
      <c r="F795" s="17" t="str">
        <f>TEXT(data[[#This Row],[ShipDate]],"yyyy - mmmm")</f>
        <v>2016 - August</v>
      </c>
      <c r="G795" s="17" t="str">
        <f>data[[#This Row],[OriginCity]] &amp; " - "  &amp; data[[#This Row],[DestinationCity]]</f>
        <v>Northbrook - Naperville</v>
      </c>
      <c r="H795" s="17" t="s">
        <v>45</v>
      </c>
      <c r="I795" s="17" t="s">
        <v>31</v>
      </c>
      <c r="J795" s="17">
        <v>4</v>
      </c>
      <c r="K795" s="17" t="s">
        <v>48</v>
      </c>
      <c r="L795" s="17" t="s">
        <v>31</v>
      </c>
      <c r="M795" s="17" t="s">
        <v>422</v>
      </c>
      <c r="N795" s="17">
        <v>514</v>
      </c>
      <c r="O795" s="17">
        <v>273</v>
      </c>
      <c r="P795" s="26">
        <f>(data[[#This Row],[LoadedMiles]]/data[[#This Row],[TotalMiles]])*100</f>
        <v>53.112840466926073</v>
      </c>
      <c r="Q795" s="25">
        <f>data[[#This Row],[ShippingCost]]/data[[#This Row],[TotalMiles]]</f>
        <v>11.178988326848248</v>
      </c>
      <c r="R795" s="17">
        <v>5746</v>
      </c>
      <c r="S795" s="25">
        <f>data[[#This Row],[Revenue]]/data[[#This Row],[TotalMiles]]</f>
        <v>12.562256809338521</v>
      </c>
      <c r="T795" s="26">
        <f>data[[#This Row],[Revenue]]-data[[#This Row],[ShippingCost]]</f>
        <v>711</v>
      </c>
      <c r="U795" s="17">
        <v>6457</v>
      </c>
      <c r="V795" s="17">
        <v>73</v>
      </c>
      <c r="W795" s="17" t="s">
        <v>25</v>
      </c>
      <c r="X795" s="17">
        <v>9</v>
      </c>
      <c r="Y795" s="17">
        <f>data[[#This Row],[DeliveryDate]]-data[[#This Row],[ShipDate]]</f>
        <v>4</v>
      </c>
      <c r="Z795" s="17" t="str">
        <f>IF(data[[#This Row],[Actual Delivery Days]]&gt;AD796,"Yes","No")</f>
        <v>Yes</v>
      </c>
    </row>
    <row r="796" spans="1:26">
      <c r="A796" s="17">
        <v>11085</v>
      </c>
      <c r="B796" s="17">
        <v>2</v>
      </c>
      <c r="C796" s="17">
        <v>1</v>
      </c>
      <c r="D796" s="17" t="s">
        <v>483</v>
      </c>
      <c r="E796" s="17" t="s">
        <v>177</v>
      </c>
      <c r="F796" s="17" t="str">
        <f>TEXT(data[[#This Row],[ShipDate]],"yyyy - mmmm")</f>
        <v>2016 - June</v>
      </c>
      <c r="G796" s="17" t="str">
        <f>data[[#This Row],[OriginCity]] &amp; " - "  &amp; data[[#This Row],[DestinationCity]]</f>
        <v>Joliet - Madison</v>
      </c>
      <c r="H796" s="17" t="s">
        <v>61</v>
      </c>
      <c r="I796" s="17" t="s">
        <v>31</v>
      </c>
      <c r="J796" s="17">
        <v>4</v>
      </c>
      <c r="K796" s="17" t="s">
        <v>62</v>
      </c>
      <c r="L796" s="17" t="s">
        <v>29</v>
      </c>
      <c r="M796" s="17" t="s">
        <v>542</v>
      </c>
      <c r="N796" s="17">
        <v>794</v>
      </c>
      <c r="O796" s="17">
        <v>706</v>
      </c>
      <c r="P796" s="26">
        <f>(data[[#This Row],[LoadedMiles]]/data[[#This Row],[TotalMiles]])*100</f>
        <v>88.916876574307295</v>
      </c>
      <c r="Q796" s="25">
        <f>data[[#This Row],[ShippingCost]]/data[[#This Row],[TotalMiles]]</f>
        <v>0.48866498740554154</v>
      </c>
      <c r="R796" s="17">
        <v>388</v>
      </c>
      <c r="S796" s="25">
        <f>data[[#This Row],[Revenue]]/data[[#This Row],[TotalMiles]]</f>
        <v>6.2103274559193951</v>
      </c>
      <c r="T796" s="26">
        <f>data[[#This Row],[Revenue]]-data[[#This Row],[ShippingCost]]</f>
        <v>4543</v>
      </c>
      <c r="U796" s="17">
        <v>4931</v>
      </c>
      <c r="V796" s="17">
        <v>77</v>
      </c>
      <c r="W796" s="17" t="s">
        <v>25</v>
      </c>
      <c r="X796" s="17">
        <v>3</v>
      </c>
      <c r="Y796" s="17">
        <f>data[[#This Row],[DeliveryDate]]-data[[#This Row],[ShipDate]]</f>
        <v>3</v>
      </c>
      <c r="Z796" s="17" t="str">
        <f>IF(data[[#This Row],[Actual Delivery Days]]&gt;AD797,"Yes","No")</f>
        <v>Yes</v>
      </c>
    </row>
    <row r="797" spans="1:26">
      <c r="A797" s="17">
        <v>11091</v>
      </c>
      <c r="B797" s="17">
        <v>3</v>
      </c>
      <c r="C797" s="17">
        <v>2</v>
      </c>
      <c r="D797" s="17" t="s">
        <v>490</v>
      </c>
      <c r="E797" s="17" t="s">
        <v>574</v>
      </c>
      <c r="F797" s="17" t="str">
        <f>TEXT(data[[#This Row],[ShipDate]],"yyyy - mmmm")</f>
        <v>2016 - January</v>
      </c>
      <c r="G797" s="17" t="str">
        <f>data[[#This Row],[OriginCity]] &amp; " - "  &amp; data[[#This Row],[DestinationCity]]</f>
        <v>Cincinnati - Gary</v>
      </c>
      <c r="H797" s="17" t="s">
        <v>89</v>
      </c>
      <c r="I797" s="17" t="s">
        <v>23</v>
      </c>
      <c r="J797" s="17">
        <v>4</v>
      </c>
      <c r="K797" s="17" t="s">
        <v>57</v>
      </c>
      <c r="L797" s="17" t="s">
        <v>44</v>
      </c>
      <c r="M797" s="17" t="s">
        <v>204</v>
      </c>
      <c r="N797" s="17">
        <v>1155</v>
      </c>
      <c r="O797" s="17">
        <v>455</v>
      </c>
      <c r="P797" s="26">
        <f>(data[[#This Row],[LoadedMiles]]/data[[#This Row],[TotalMiles]])*100</f>
        <v>39.393939393939391</v>
      </c>
      <c r="Q797" s="25">
        <f>data[[#This Row],[ShippingCost]]/data[[#This Row],[TotalMiles]]</f>
        <v>5.7610389610389614</v>
      </c>
      <c r="R797" s="17">
        <v>6654</v>
      </c>
      <c r="S797" s="25">
        <f>data[[#This Row],[Revenue]]/data[[#This Row],[TotalMiles]]</f>
        <v>6.4987012987012989</v>
      </c>
      <c r="T797" s="26">
        <f>data[[#This Row],[Revenue]]-data[[#This Row],[ShippingCost]]</f>
        <v>852</v>
      </c>
      <c r="U797" s="17">
        <v>7506</v>
      </c>
      <c r="V797" s="17">
        <v>77</v>
      </c>
      <c r="W797" s="17" t="s">
        <v>25</v>
      </c>
      <c r="X797" s="17">
        <v>4</v>
      </c>
      <c r="Y797" s="17">
        <f>data[[#This Row],[DeliveryDate]]-data[[#This Row],[ShipDate]]</f>
        <v>4</v>
      </c>
      <c r="Z797" s="17" t="str">
        <f>IF(data[[#This Row],[Actual Delivery Days]]&gt;AD798,"Yes","No")</f>
        <v>Yes</v>
      </c>
    </row>
    <row r="798" spans="1:26">
      <c r="A798" s="17">
        <v>11099</v>
      </c>
      <c r="B798" s="17">
        <v>2</v>
      </c>
      <c r="C798" s="17">
        <v>2</v>
      </c>
      <c r="D798" s="17" t="s">
        <v>501</v>
      </c>
      <c r="E798" s="17" t="s">
        <v>209</v>
      </c>
      <c r="F798" s="17" t="str">
        <f>TEXT(data[[#This Row],[ShipDate]],"yyyy - mmmm")</f>
        <v>2016 - March</v>
      </c>
      <c r="G798" s="17" t="str">
        <f>data[[#This Row],[OriginCity]] &amp; " - "  &amp; data[[#This Row],[DestinationCity]]</f>
        <v>Davenport - Appleton</v>
      </c>
      <c r="H798" s="17" t="s">
        <v>105</v>
      </c>
      <c r="I798" s="17" t="s">
        <v>106</v>
      </c>
      <c r="J798" s="17">
        <v>4</v>
      </c>
      <c r="K798" s="17" t="s">
        <v>85</v>
      </c>
      <c r="L798" s="17" t="s">
        <v>29</v>
      </c>
      <c r="M798" s="17" t="s">
        <v>353</v>
      </c>
      <c r="N798" s="17">
        <v>704</v>
      </c>
      <c r="O798" s="17">
        <v>468</v>
      </c>
      <c r="P798" s="26">
        <f>(data[[#This Row],[LoadedMiles]]/data[[#This Row],[TotalMiles]])*100</f>
        <v>66.477272727272734</v>
      </c>
      <c r="Q798" s="25">
        <f>data[[#This Row],[ShippingCost]]/data[[#This Row],[TotalMiles]]</f>
        <v>7.4076704545454541</v>
      </c>
      <c r="R798" s="17">
        <v>5215</v>
      </c>
      <c r="S798" s="25">
        <f>data[[#This Row],[Revenue]]/data[[#This Row],[TotalMiles]]</f>
        <v>8.436079545454545</v>
      </c>
      <c r="T798" s="26">
        <f>data[[#This Row],[Revenue]]-data[[#This Row],[ShippingCost]]</f>
        <v>724</v>
      </c>
      <c r="U798" s="17">
        <v>5939</v>
      </c>
      <c r="V798" s="17">
        <v>96</v>
      </c>
      <c r="W798" s="17" t="s">
        <v>25</v>
      </c>
      <c r="X798" s="17">
        <v>8</v>
      </c>
      <c r="Y798" s="17">
        <f>data[[#This Row],[DeliveryDate]]-data[[#This Row],[ShipDate]]</f>
        <v>4</v>
      </c>
      <c r="Z798" s="17" t="str">
        <f>IF(data[[#This Row],[Actual Delivery Days]]&gt;AD799,"Yes","No")</f>
        <v>Yes</v>
      </c>
    </row>
    <row r="799" spans="1:26">
      <c r="A799" s="17">
        <v>11100</v>
      </c>
      <c r="B799" s="17">
        <v>2</v>
      </c>
      <c r="C799" s="17">
        <v>2</v>
      </c>
      <c r="D799" s="17" t="s">
        <v>502</v>
      </c>
      <c r="E799" s="17" t="s">
        <v>252</v>
      </c>
      <c r="F799" s="17" t="str">
        <f>TEXT(data[[#This Row],[ShipDate]],"yyyy - mmmm")</f>
        <v>2016 - March</v>
      </c>
      <c r="G799" s="17" t="str">
        <f>data[[#This Row],[OriginCity]] &amp; " - "  &amp; data[[#This Row],[DestinationCity]]</f>
        <v>Grand Rapids - Toledo</v>
      </c>
      <c r="H799" s="17" t="s">
        <v>20</v>
      </c>
      <c r="I799" s="17" t="s">
        <v>21</v>
      </c>
      <c r="J799" s="17">
        <v>4</v>
      </c>
      <c r="K799" s="17" t="s">
        <v>22</v>
      </c>
      <c r="L799" s="17" t="s">
        <v>23</v>
      </c>
      <c r="M799" s="17" t="s">
        <v>51</v>
      </c>
      <c r="N799" s="17">
        <v>849</v>
      </c>
      <c r="O799" s="17">
        <v>408</v>
      </c>
      <c r="P799" s="26">
        <f>(data[[#This Row],[LoadedMiles]]/data[[#This Row],[TotalMiles]])*100</f>
        <v>48.056537102473499</v>
      </c>
      <c r="Q799" s="25">
        <f>data[[#This Row],[ShippingCost]]/data[[#This Row],[TotalMiles]]</f>
        <v>5.4040047114252063</v>
      </c>
      <c r="R799" s="17">
        <v>4588</v>
      </c>
      <c r="S799" s="25">
        <f>data[[#This Row],[Revenue]]/data[[#This Row],[TotalMiles]]</f>
        <v>5.5229681978798588</v>
      </c>
      <c r="T799" s="26">
        <f>data[[#This Row],[Revenue]]-data[[#This Row],[ShippingCost]]</f>
        <v>101</v>
      </c>
      <c r="U799" s="17">
        <v>4689</v>
      </c>
      <c r="V799" s="17">
        <v>89</v>
      </c>
      <c r="W799" s="17" t="s">
        <v>25</v>
      </c>
      <c r="X799" s="17">
        <v>5</v>
      </c>
      <c r="Y799" s="17">
        <f>data[[#This Row],[DeliveryDate]]-data[[#This Row],[ShipDate]]</f>
        <v>4</v>
      </c>
      <c r="Z799" s="17" t="str">
        <f>IF(data[[#This Row],[Actual Delivery Days]]&gt;AD800,"Yes","No")</f>
        <v>Yes</v>
      </c>
    </row>
    <row r="800" spans="1:26">
      <c r="A800" s="17">
        <v>11109</v>
      </c>
      <c r="B800" s="17">
        <v>2</v>
      </c>
      <c r="C800" s="17">
        <v>3</v>
      </c>
      <c r="D800" s="17" t="s">
        <v>515</v>
      </c>
      <c r="E800" s="17" t="s">
        <v>197</v>
      </c>
      <c r="F800" s="17" t="str">
        <f>TEXT(data[[#This Row],[ShipDate]],"yyyy - mmmm")</f>
        <v>2016 - May</v>
      </c>
      <c r="G800" s="17" t="str">
        <f>data[[#This Row],[OriginCity]] &amp; " - "  &amp; data[[#This Row],[DestinationCity]]</f>
        <v>Green Bay - Joliet</v>
      </c>
      <c r="H800" s="17" t="s">
        <v>75</v>
      </c>
      <c r="I800" s="17" t="s">
        <v>29</v>
      </c>
      <c r="J800" s="17">
        <v>4</v>
      </c>
      <c r="K800" s="17" t="s">
        <v>61</v>
      </c>
      <c r="L800" s="17" t="s">
        <v>31</v>
      </c>
      <c r="M800" s="17" t="s">
        <v>224</v>
      </c>
      <c r="N800" s="17">
        <v>835</v>
      </c>
      <c r="O800" s="17">
        <v>627</v>
      </c>
      <c r="P800" s="26">
        <f>(data[[#This Row],[LoadedMiles]]/data[[#This Row],[TotalMiles]])*100</f>
        <v>75.089820359281433</v>
      </c>
      <c r="Q800" s="25">
        <f>data[[#This Row],[ShippingCost]]/data[[#This Row],[TotalMiles]]</f>
        <v>8.862275449101796E-2</v>
      </c>
      <c r="R800" s="17">
        <v>74</v>
      </c>
      <c r="S800" s="25">
        <f>data[[#This Row],[Revenue]]/data[[#This Row],[TotalMiles]]</f>
        <v>0.43592814371257482</v>
      </c>
      <c r="T800" s="26">
        <f>data[[#This Row],[Revenue]]-data[[#This Row],[ShippingCost]]</f>
        <v>290</v>
      </c>
      <c r="U800" s="17">
        <v>364</v>
      </c>
      <c r="V800" s="17">
        <v>71</v>
      </c>
      <c r="W800" s="17" t="s">
        <v>25</v>
      </c>
      <c r="X800" s="17">
        <v>6</v>
      </c>
      <c r="Y800" s="17">
        <f>data[[#This Row],[DeliveryDate]]-data[[#This Row],[ShipDate]]</f>
        <v>4</v>
      </c>
      <c r="Z800" s="17" t="str">
        <f>IF(data[[#This Row],[Actual Delivery Days]]&gt;AD801,"Yes","No")</f>
        <v>Yes</v>
      </c>
    </row>
    <row r="801" spans="1:26">
      <c r="A801" s="17">
        <v>11115</v>
      </c>
      <c r="B801" s="17">
        <v>3</v>
      </c>
      <c r="C801" s="17">
        <v>6</v>
      </c>
      <c r="D801" s="17" t="s">
        <v>523</v>
      </c>
      <c r="E801" s="17" t="s">
        <v>174</v>
      </c>
      <c r="F801" s="17" t="str">
        <f>TEXT(data[[#This Row],[ShipDate]],"yyyy - mmmm")</f>
        <v>2016 - January</v>
      </c>
      <c r="G801" s="17" t="str">
        <f>data[[#This Row],[OriginCity]] &amp; " - "  &amp; data[[#This Row],[DestinationCity]]</f>
        <v>Toledo - Detriot</v>
      </c>
      <c r="H801" s="17" t="s">
        <v>22</v>
      </c>
      <c r="I801" s="17" t="s">
        <v>23</v>
      </c>
      <c r="J801" s="17">
        <v>4</v>
      </c>
      <c r="K801" s="17" t="s">
        <v>52</v>
      </c>
      <c r="L801" s="17" t="s">
        <v>21</v>
      </c>
      <c r="M801" s="17" t="s">
        <v>70</v>
      </c>
      <c r="N801" s="17">
        <v>509</v>
      </c>
      <c r="O801" s="17">
        <v>218</v>
      </c>
      <c r="P801" s="26">
        <f>(data[[#This Row],[LoadedMiles]]/data[[#This Row],[TotalMiles]])*100</f>
        <v>42.829076620825148</v>
      </c>
      <c r="Q801" s="25">
        <f>data[[#This Row],[ShippingCost]]/data[[#This Row],[TotalMiles]]</f>
        <v>0.7053045186640472</v>
      </c>
      <c r="R801" s="17">
        <v>359</v>
      </c>
      <c r="S801" s="25">
        <f>data[[#This Row],[Revenue]]/data[[#This Row],[TotalMiles]]</f>
        <v>2.1944990176817289</v>
      </c>
      <c r="T801" s="26">
        <f>data[[#This Row],[Revenue]]-data[[#This Row],[ShippingCost]]</f>
        <v>758</v>
      </c>
      <c r="U801" s="17">
        <v>1117</v>
      </c>
      <c r="V801" s="17">
        <v>82</v>
      </c>
      <c r="W801" s="17" t="s">
        <v>25</v>
      </c>
      <c r="X801" s="17">
        <v>2</v>
      </c>
      <c r="Y801" s="17">
        <f>data[[#This Row],[DeliveryDate]]-data[[#This Row],[ShipDate]]</f>
        <v>4</v>
      </c>
      <c r="Z801" s="17" t="str">
        <f>IF(data[[#This Row],[Actual Delivery Days]]&gt;AD802,"Yes","No")</f>
        <v>Yes</v>
      </c>
    </row>
    <row r="802" spans="1:26">
      <c r="A802" s="17">
        <v>11116</v>
      </c>
      <c r="B802" s="17">
        <v>3</v>
      </c>
      <c r="C802" s="17">
        <v>2</v>
      </c>
      <c r="D802" s="17" t="s">
        <v>524</v>
      </c>
      <c r="E802" s="17" t="s">
        <v>163</v>
      </c>
      <c r="F802" s="17" t="str">
        <f>TEXT(data[[#This Row],[ShipDate]],"yyyy - mmmm")</f>
        <v>2016 - February</v>
      </c>
      <c r="G802" s="17" t="str">
        <f>data[[#This Row],[OriginCity]] &amp; " - "  &amp; data[[#This Row],[DestinationCity]]</f>
        <v>Lansing - Dayton</v>
      </c>
      <c r="H802" s="17" t="s">
        <v>66</v>
      </c>
      <c r="I802" s="17" t="s">
        <v>21</v>
      </c>
      <c r="J802" s="17">
        <v>4</v>
      </c>
      <c r="K802" s="17" t="s">
        <v>93</v>
      </c>
      <c r="L802" s="17" t="s">
        <v>23</v>
      </c>
      <c r="M802" s="17" t="s">
        <v>290</v>
      </c>
      <c r="N802" s="17">
        <v>784</v>
      </c>
      <c r="O802" s="17">
        <v>410</v>
      </c>
      <c r="P802" s="26">
        <f>(data[[#This Row],[LoadedMiles]]/data[[#This Row],[TotalMiles]])*100</f>
        <v>52.295918367346935</v>
      </c>
      <c r="Q802" s="25">
        <f>data[[#This Row],[ShippingCost]]/data[[#This Row],[TotalMiles]]</f>
        <v>7.6301020408163263</v>
      </c>
      <c r="R802" s="17">
        <v>5982</v>
      </c>
      <c r="S802" s="25">
        <f>data[[#This Row],[Revenue]]/data[[#This Row],[TotalMiles]]</f>
        <v>8.575255102040817</v>
      </c>
      <c r="T802" s="26">
        <f>data[[#This Row],[Revenue]]-data[[#This Row],[ShippingCost]]</f>
        <v>741</v>
      </c>
      <c r="U802" s="17">
        <v>6723</v>
      </c>
      <c r="V802" s="17">
        <v>66</v>
      </c>
      <c r="W802" s="17" t="s">
        <v>25</v>
      </c>
      <c r="X802" s="17">
        <v>9</v>
      </c>
      <c r="Y802" s="17">
        <f>data[[#This Row],[DeliveryDate]]-data[[#This Row],[ShipDate]]</f>
        <v>4</v>
      </c>
      <c r="Z802" s="17" t="str">
        <f>IF(data[[#This Row],[Actual Delivery Days]]&gt;AD803,"Yes","No")</f>
        <v>Yes</v>
      </c>
    </row>
    <row r="803" spans="1:26">
      <c r="A803" s="17">
        <v>11133</v>
      </c>
      <c r="B803" s="17">
        <v>3</v>
      </c>
      <c r="C803" s="17">
        <v>5</v>
      </c>
      <c r="D803" s="17" t="s">
        <v>548</v>
      </c>
      <c r="E803" s="17" t="s">
        <v>583</v>
      </c>
      <c r="F803" s="17" t="str">
        <f>TEXT(data[[#This Row],[ShipDate]],"yyyy - mmmm")</f>
        <v>2016 - January</v>
      </c>
      <c r="G803" s="17" t="str">
        <f>data[[#This Row],[OriginCity]] &amp; " - "  &amp; data[[#This Row],[DestinationCity]]</f>
        <v>Naperville - Indianapolis</v>
      </c>
      <c r="H803" s="17" t="s">
        <v>48</v>
      </c>
      <c r="I803" s="17" t="s">
        <v>31</v>
      </c>
      <c r="J803" s="17">
        <v>4</v>
      </c>
      <c r="K803" s="17" t="s">
        <v>43</v>
      </c>
      <c r="L803" s="17" t="s">
        <v>44</v>
      </c>
      <c r="M803" s="17" t="s">
        <v>204</v>
      </c>
      <c r="N803" s="17">
        <v>360</v>
      </c>
      <c r="O803" s="17">
        <v>212</v>
      </c>
      <c r="P803" s="26">
        <f>(data[[#This Row],[LoadedMiles]]/data[[#This Row],[TotalMiles]])*100</f>
        <v>58.888888888888893</v>
      </c>
      <c r="Q803" s="25">
        <f>data[[#This Row],[ShippingCost]]/data[[#This Row],[TotalMiles]]</f>
        <v>4.8583333333333334</v>
      </c>
      <c r="R803" s="17">
        <v>1749</v>
      </c>
      <c r="S803" s="25">
        <f>data[[#This Row],[Revenue]]/data[[#This Row],[TotalMiles]]</f>
        <v>6.7722222222222221</v>
      </c>
      <c r="T803" s="26">
        <f>data[[#This Row],[Revenue]]-data[[#This Row],[ShippingCost]]</f>
        <v>689</v>
      </c>
      <c r="U803" s="17">
        <v>2438</v>
      </c>
      <c r="V803" s="17">
        <v>63</v>
      </c>
      <c r="W803" s="17" t="s">
        <v>25</v>
      </c>
      <c r="X803" s="17">
        <v>6</v>
      </c>
      <c r="Y803" s="17">
        <f>data[[#This Row],[DeliveryDate]]-data[[#This Row],[ShipDate]]</f>
        <v>3</v>
      </c>
      <c r="Z803" s="17" t="str">
        <f>IF(data[[#This Row],[Actual Delivery Days]]&gt;AD804,"Yes","No")</f>
        <v>Yes</v>
      </c>
    </row>
    <row r="804" spans="1:26">
      <c r="A804" s="17">
        <v>11134</v>
      </c>
      <c r="B804" s="17">
        <v>3</v>
      </c>
      <c r="C804" s="17">
        <v>6</v>
      </c>
      <c r="D804" s="17" t="s">
        <v>549</v>
      </c>
      <c r="E804" s="17" t="s">
        <v>132</v>
      </c>
      <c r="F804" s="17" t="str">
        <f>TEXT(data[[#This Row],[ShipDate]],"yyyy - mmmm")</f>
        <v>2016 - February</v>
      </c>
      <c r="G804" s="17" t="str">
        <f>data[[#This Row],[OriginCity]] &amp; " - "  &amp; data[[#This Row],[DestinationCity]]</f>
        <v>Rockford - Green Bay</v>
      </c>
      <c r="H804" s="17" t="s">
        <v>40</v>
      </c>
      <c r="I804" s="17" t="s">
        <v>31</v>
      </c>
      <c r="J804" s="17">
        <v>4</v>
      </c>
      <c r="K804" s="17" t="s">
        <v>75</v>
      </c>
      <c r="L804" s="17" t="s">
        <v>29</v>
      </c>
      <c r="M804" s="17" t="s">
        <v>209</v>
      </c>
      <c r="N804" s="17">
        <v>721</v>
      </c>
      <c r="O804" s="17">
        <v>717</v>
      </c>
      <c r="P804" s="26">
        <f>(data[[#This Row],[LoadedMiles]]/data[[#This Row],[TotalMiles]])*100</f>
        <v>99.445214979195555</v>
      </c>
      <c r="Q804" s="25">
        <f>data[[#This Row],[ShippingCost]]/data[[#This Row],[TotalMiles]]</f>
        <v>11.531206657420249</v>
      </c>
      <c r="R804" s="17">
        <v>8314</v>
      </c>
      <c r="S804" s="25">
        <f>data[[#This Row],[Revenue]]/data[[#This Row],[TotalMiles]]</f>
        <v>11.908460471567267</v>
      </c>
      <c r="T804" s="26">
        <f>data[[#This Row],[Revenue]]-data[[#This Row],[ShippingCost]]</f>
        <v>272</v>
      </c>
      <c r="U804" s="17">
        <v>8586</v>
      </c>
      <c r="V804" s="17">
        <v>74</v>
      </c>
      <c r="W804" s="17" t="s">
        <v>25</v>
      </c>
      <c r="X804" s="17">
        <v>7</v>
      </c>
      <c r="Y804" s="17">
        <f>data[[#This Row],[DeliveryDate]]-data[[#This Row],[ShipDate]]</f>
        <v>4</v>
      </c>
      <c r="Z804" s="17" t="str">
        <f>IF(data[[#This Row],[Actual Delivery Days]]&gt;AD805,"Yes","No")</f>
        <v>Yes</v>
      </c>
    </row>
    <row r="805" spans="1:26">
      <c r="A805" s="17">
        <v>11139</v>
      </c>
      <c r="B805" s="17">
        <v>2</v>
      </c>
      <c r="C805" s="17">
        <v>1</v>
      </c>
      <c r="D805" s="17" t="s">
        <v>556</v>
      </c>
      <c r="E805" s="17" t="s">
        <v>410</v>
      </c>
      <c r="F805" s="17" t="str">
        <f>TEXT(data[[#This Row],[ShipDate]],"yyyy - mmmm")</f>
        <v>2016 - June</v>
      </c>
      <c r="G805" s="17" t="str">
        <f>data[[#This Row],[OriginCity]] &amp; " - "  &amp; data[[#This Row],[DestinationCity]]</f>
        <v>Bangor - Davenport</v>
      </c>
      <c r="H805" s="17" t="s">
        <v>104</v>
      </c>
      <c r="I805" s="17" t="s">
        <v>21</v>
      </c>
      <c r="J805" s="17">
        <v>4</v>
      </c>
      <c r="K805" s="17" t="s">
        <v>105</v>
      </c>
      <c r="L805" s="17" t="s">
        <v>106</v>
      </c>
      <c r="M805" s="17" t="s">
        <v>315</v>
      </c>
      <c r="N805" s="17">
        <v>417</v>
      </c>
      <c r="O805" s="17">
        <v>417</v>
      </c>
      <c r="P805" s="26">
        <f>(data[[#This Row],[LoadedMiles]]/data[[#This Row],[TotalMiles]])*100</f>
        <v>100</v>
      </c>
      <c r="Q805" s="25">
        <f>data[[#This Row],[ShippingCost]]/data[[#This Row],[TotalMiles]]</f>
        <v>13.450839328537171</v>
      </c>
      <c r="R805" s="17">
        <v>5609</v>
      </c>
      <c r="S805" s="25">
        <f>data[[#This Row],[Revenue]]/data[[#This Row],[TotalMiles]]</f>
        <v>25.7242206235012</v>
      </c>
      <c r="T805" s="26">
        <f>data[[#This Row],[Revenue]]-data[[#This Row],[ShippingCost]]</f>
        <v>5118</v>
      </c>
      <c r="U805" s="17">
        <v>10727</v>
      </c>
      <c r="V805" s="17">
        <v>63</v>
      </c>
      <c r="W805" s="17" t="s">
        <v>25</v>
      </c>
      <c r="X805" s="17">
        <v>1</v>
      </c>
      <c r="Y805" s="17">
        <f>data[[#This Row],[DeliveryDate]]-data[[#This Row],[ShipDate]]</f>
        <v>4</v>
      </c>
      <c r="Z805" s="17" t="str">
        <f>IF(data[[#This Row],[Actual Delivery Days]]&gt;AD806,"Yes","No")</f>
        <v>Yes</v>
      </c>
    </row>
    <row r="806" spans="1:26">
      <c r="A806" s="17">
        <v>11147</v>
      </c>
      <c r="B806" s="17">
        <v>3</v>
      </c>
      <c r="C806" s="17">
        <v>2</v>
      </c>
      <c r="D806" s="17" t="s">
        <v>565</v>
      </c>
      <c r="E806" s="17" t="s">
        <v>32</v>
      </c>
      <c r="F806" s="17" t="str">
        <f>TEXT(data[[#This Row],[ShipDate]],"yyyy - mmmm")</f>
        <v>2016 - May</v>
      </c>
      <c r="G806" s="17" t="str">
        <f>data[[#This Row],[OriginCity]] &amp; " - "  &amp; data[[#This Row],[DestinationCity]]</f>
        <v>Indianapolis - Northbrook</v>
      </c>
      <c r="H806" s="17" t="s">
        <v>43</v>
      </c>
      <c r="I806" s="17" t="s">
        <v>44</v>
      </c>
      <c r="J806" s="17">
        <v>4</v>
      </c>
      <c r="K806" s="17" t="s">
        <v>45</v>
      </c>
      <c r="L806" s="17" t="s">
        <v>31</v>
      </c>
      <c r="M806" s="17" t="s">
        <v>616</v>
      </c>
      <c r="N806" s="17">
        <v>660</v>
      </c>
      <c r="O806" s="17">
        <v>464</v>
      </c>
      <c r="P806" s="26">
        <f>(data[[#This Row],[LoadedMiles]]/data[[#This Row],[TotalMiles]])*100</f>
        <v>70.303030303030297</v>
      </c>
      <c r="Q806" s="25">
        <f>data[[#This Row],[ShippingCost]]/data[[#This Row],[TotalMiles]]</f>
        <v>6.5454545454545459</v>
      </c>
      <c r="R806" s="17">
        <v>4320</v>
      </c>
      <c r="S806" s="25">
        <f>data[[#This Row],[Revenue]]/data[[#This Row],[TotalMiles]]</f>
        <v>7.1893939393939394</v>
      </c>
      <c r="T806" s="26">
        <f>data[[#This Row],[Revenue]]-data[[#This Row],[ShippingCost]]</f>
        <v>425</v>
      </c>
      <c r="U806" s="17">
        <v>4745</v>
      </c>
      <c r="V806" s="17">
        <v>92</v>
      </c>
      <c r="W806" s="17" t="s">
        <v>25</v>
      </c>
      <c r="X806" s="17">
        <v>7</v>
      </c>
      <c r="Y806" s="17">
        <f>data[[#This Row],[DeliveryDate]]-data[[#This Row],[ShipDate]]</f>
        <v>4</v>
      </c>
      <c r="Z806" s="17" t="str">
        <f>IF(data[[#This Row],[Actual Delivery Days]]&gt;AD807,"Yes","No")</f>
        <v>Yes</v>
      </c>
    </row>
    <row r="807" spans="1:26">
      <c r="A807" s="17">
        <v>11155</v>
      </c>
      <c r="B807" s="17">
        <v>3</v>
      </c>
      <c r="C807" s="17">
        <v>4</v>
      </c>
      <c r="D807" s="17" t="s">
        <v>575</v>
      </c>
      <c r="E807" s="17" t="s">
        <v>136</v>
      </c>
      <c r="F807" s="17" t="str">
        <f>TEXT(data[[#This Row],[ShipDate]],"yyyy - mmmm")</f>
        <v>2016 - June</v>
      </c>
      <c r="G807" s="17" t="str">
        <f>data[[#This Row],[OriginCity]] &amp; " - "  &amp; data[[#This Row],[DestinationCity]]</f>
        <v>Naperville - Indianapolis</v>
      </c>
      <c r="H807" s="17" t="s">
        <v>48</v>
      </c>
      <c r="I807" s="17" t="s">
        <v>31</v>
      </c>
      <c r="J807" s="17">
        <v>4</v>
      </c>
      <c r="K807" s="17" t="s">
        <v>43</v>
      </c>
      <c r="L807" s="17" t="s">
        <v>44</v>
      </c>
      <c r="M807" s="17" t="s">
        <v>278</v>
      </c>
      <c r="N807" s="17">
        <v>1050</v>
      </c>
      <c r="O807" s="17">
        <v>266</v>
      </c>
      <c r="P807" s="26">
        <f>(data[[#This Row],[LoadedMiles]]/data[[#This Row],[TotalMiles]])*100</f>
        <v>25.333333333333336</v>
      </c>
      <c r="Q807" s="25">
        <f>data[[#This Row],[ShippingCost]]/data[[#This Row],[TotalMiles]]</f>
        <v>7.4914285714285711</v>
      </c>
      <c r="R807" s="17">
        <v>7866</v>
      </c>
      <c r="S807" s="25">
        <f>data[[#This Row],[Revenue]]/data[[#This Row],[TotalMiles]]</f>
        <v>5.38</v>
      </c>
      <c r="T807" s="26">
        <f>data[[#This Row],[Revenue]]-data[[#This Row],[ShippingCost]]</f>
        <v>-2217</v>
      </c>
      <c r="U807" s="17">
        <v>5649</v>
      </c>
      <c r="V807" s="17">
        <v>82</v>
      </c>
      <c r="W807" s="17" t="s">
        <v>25</v>
      </c>
      <c r="X807" s="17">
        <v>5</v>
      </c>
      <c r="Y807" s="17">
        <f>data[[#This Row],[DeliveryDate]]-data[[#This Row],[ShipDate]]</f>
        <v>4</v>
      </c>
      <c r="Z807" s="17" t="str">
        <f>IF(data[[#This Row],[Actual Delivery Days]]&gt;AD808,"Yes","No")</f>
        <v>Yes</v>
      </c>
    </row>
    <row r="808" spans="1:26">
      <c r="A808" s="17">
        <v>11209</v>
      </c>
      <c r="B808" s="17">
        <v>3</v>
      </c>
      <c r="C808" s="17">
        <v>5</v>
      </c>
      <c r="D808" s="17" t="s">
        <v>128</v>
      </c>
      <c r="E808" s="17" t="s">
        <v>315</v>
      </c>
      <c r="F808" s="17" t="str">
        <f>TEXT(data[[#This Row],[ShipDate]],"yyyy - mmmm")</f>
        <v>2016 - June</v>
      </c>
      <c r="G808" s="17" t="str">
        <f>data[[#This Row],[OriginCity]] &amp; " - "  &amp; data[[#This Row],[DestinationCity]]</f>
        <v>Elgin - Cincinnati</v>
      </c>
      <c r="H808" s="17" t="s">
        <v>94</v>
      </c>
      <c r="I808" s="17" t="s">
        <v>31</v>
      </c>
      <c r="J808" s="17">
        <v>4</v>
      </c>
      <c r="K808" s="17" t="s">
        <v>89</v>
      </c>
      <c r="L808" s="17" t="s">
        <v>23</v>
      </c>
      <c r="M808" s="17" t="s">
        <v>610</v>
      </c>
      <c r="N808" s="17">
        <v>476</v>
      </c>
      <c r="O808" s="17">
        <v>476</v>
      </c>
      <c r="P808" s="26">
        <f>(data[[#This Row],[LoadedMiles]]/data[[#This Row],[TotalMiles]])*100</f>
        <v>100</v>
      </c>
      <c r="Q808" s="25">
        <f>data[[#This Row],[ShippingCost]]/data[[#This Row],[TotalMiles]]</f>
        <v>15.966386554621849</v>
      </c>
      <c r="R808" s="17">
        <v>7600</v>
      </c>
      <c r="S808" s="25">
        <f>data[[#This Row],[Revenue]]/data[[#This Row],[TotalMiles]]</f>
        <v>16.350840336134453</v>
      </c>
      <c r="T808" s="26">
        <f>data[[#This Row],[Revenue]]-data[[#This Row],[ShippingCost]]</f>
        <v>183</v>
      </c>
      <c r="U808" s="17">
        <v>7783</v>
      </c>
      <c r="V808" s="17">
        <v>93</v>
      </c>
      <c r="W808" s="17" t="s">
        <v>25</v>
      </c>
      <c r="X808" s="17">
        <v>9</v>
      </c>
      <c r="Y808" s="17">
        <f>data[[#This Row],[DeliveryDate]]-data[[#This Row],[ShipDate]]</f>
        <v>3</v>
      </c>
      <c r="Z808" s="17" t="str">
        <f>IF(data[[#This Row],[Actual Delivery Days]]&gt;AD809,"Yes","No")</f>
        <v>Yes</v>
      </c>
    </row>
    <row r="809" spans="1:26">
      <c r="A809" s="17">
        <v>11210</v>
      </c>
      <c r="B809" s="17">
        <v>3</v>
      </c>
      <c r="C809" s="17">
        <v>6</v>
      </c>
      <c r="D809" s="17" t="s">
        <v>131</v>
      </c>
      <c r="E809" s="17" t="s">
        <v>298</v>
      </c>
      <c r="F809" s="17" t="str">
        <f>TEXT(data[[#This Row],[ShipDate]],"yyyy - mmmm")</f>
        <v>2016 - July</v>
      </c>
      <c r="G809" s="17" t="str">
        <f>data[[#This Row],[OriginCity]] &amp; " - "  &amp; data[[#This Row],[DestinationCity]]</f>
        <v>Skokie - Chicago</v>
      </c>
      <c r="H809" s="17" t="s">
        <v>35</v>
      </c>
      <c r="I809" s="17" t="s">
        <v>31</v>
      </c>
      <c r="J809" s="17">
        <v>4</v>
      </c>
      <c r="K809" s="17" t="s">
        <v>39</v>
      </c>
      <c r="L809" s="17" t="s">
        <v>31</v>
      </c>
      <c r="M809" s="17" t="s">
        <v>499</v>
      </c>
      <c r="N809" s="17">
        <v>1069</v>
      </c>
      <c r="O809" s="17">
        <v>416</v>
      </c>
      <c r="P809" s="26">
        <f>(data[[#This Row],[LoadedMiles]]/data[[#This Row],[TotalMiles]])*100</f>
        <v>38.91487371375117</v>
      </c>
      <c r="Q809" s="25">
        <f>data[[#This Row],[ShippingCost]]/data[[#This Row],[TotalMiles]]</f>
        <v>4.7970065481758652</v>
      </c>
      <c r="R809" s="17">
        <v>5128</v>
      </c>
      <c r="S809" s="25">
        <f>data[[#This Row],[Revenue]]/data[[#This Row],[TotalMiles]]</f>
        <v>5.1019644527595887</v>
      </c>
      <c r="T809" s="26">
        <f>data[[#This Row],[Revenue]]-data[[#This Row],[ShippingCost]]</f>
        <v>326</v>
      </c>
      <c r="U809" s="17">
        <v>5454</v>
      </c>
      <c r="V809" s="17">
        <v>68</v>
      </c>
      <c r="W809" s="17" t="s">
        <v>25</v>
      </c>
      <c r="X809" s="17">
        <v>1</v>
      </c>
      <c r="Y809" s="17">
        <f>data[[#This Row],[DeliveryDate]]-data[[#This Row],[ShipDate]]</f>
        <v>4</v>
      </c>
      <c r="Z809" s="17" t="str">
        <f>IF(data[[#This Row],[Actual Delivery Days]]&gt;AD810,"Yes","No")</f>
        <v>Yes</v>
      </c>
    </row>
    <row r="810" spans="1:26">
      <c r="A810" s="17">
        <v>11213</v>
      </c>
      <c r="B810" s="17">
        <v>3</v>
      </c>
      <c r="C810" s="17">
        <v>6</v>
      </c>
      <c r="D810" s="17" t="s">
        <v>140</v>
      </c>
      <c r="E810" s="17" t="s">
        <v>309</v>
      </c>
      <c r="F810" s="17" t="str">
        <f>TEXT(data[[#This Row],[ShipDate]],"yyyy - mmmm")</f>
        <v>2016 - February</v>
      </c>
      <c r="G810" s="17" t="str">
        <f>data[[#This Row],[OriginCity]] &amp; " - "  &amp; data[[#This Row],[DestinationCity]]</f>
        <v>Grand Rapids - Toledo</v>
      </c>
      <c r="H810" s="17" t="s">
        <v>20</v>
      </c>
      <c r="I810" s="17" t="s">
        <v>21</v>
      </c>
      <c r="J810" s="17">
        <v>4</v>
      </c>
      <c r="K810" s="17" t="s">
        <v>22</v>
      </c>
      <c r="L810" s="17" t="s">
        <v>23</v>
      </c>
      <c r="M810" s="17" t="s">
        <v>521</v>
      </c>
      <c r="N810" s="17">
        <v>481</v>
      </c>
      <c r="O810" s="17">
        <v>284</v>
      </c>
      <c r="P810" s="26">
        <f>(data[[#This Row],[LoadedMiles]]/data[[#This Row],[TotalMiles]])*100</f>
        <v>59.043659043659048</v>
      </c>
      <c r="Q810" s="25">
        <f>data[[#This Row],[ShippingCost]]/data[[#This Row],[TotalMiles]]</f>
        <v>4.3659043659043659</v>
      </c>
      <c r="R810" s="17">
        <v>2100</v>
      </c>
      <c r="S810" s="25">
        <f>data[[#This Row],[Revenue]]/data[[#This Row],[TotalMiles]]</f>
        <v>6.2806652806652803</v>
      </c>
      <c r="T810" s="26">
        <f>data[[#This Row],[Revenue]]-data[[#This Row],[ShippingCost]]</f>
        <v>921</v>
      </c>
      <c r="U810" s="17">
        <v>3021</v>
      </c>
      <c r="V810" s="17">
        <v>57</v>
      </c>
      <c r="W810" s="17" t="s">
        <v>25</v>
      </c>
      <c r="X810" s="17">
        <v>8</v>
      </c>
      <c r="Y810" s="17">
        <f>data[[#This Row],[DeliveryDate]]-data[[#This Row],[ShipDate]]</f>
        <v>4</v>
      </c>
      <c r="Z810" s="17" t="str">
        <f>IF(data[[#This Row],[Actual Delivery Days]]&gt;AD811,"Yes","No")</f>
        <v>Yes</v>
      </c>
    </row>
    <row r="811" spans="1:26">
      <c r="A811" s="17">
        <v>11217</v>
      </c>
      <c r="B811" s="17">
        <v>2</v>
      </c>
      <c r="C811" s="17">
        <v>3</v>
      </c>
      <c r="D811" s="17" t="s">
        <v>151</v>
      </c>
      <c r="E811" s="17" t="s">
        <v>531</v>
      </c>
      <c r="F811" s="17" t="str">
        <f>TEXT(data[[#This Row],[ShipDate]],"yyyy - mmmm")</f>
        <v>2016 - January</v>
      </c>
      <c r="G811" s="17" t="str">
        <f>data[[#This Row],[OriginCity]] &amp; " - "  &amp; data[[#This Row],[DestinationCity]]</f>
        <v>Indianapolis - Northbrook</v>
      </c>
      <c r="H811" s="17" t="s">
        <v>43</v>
      </c>
      <c r="I811" s="17" t="s">
        <v>44</v>
      </c>
      <c r="J811" s="17">
        <v>4</v>
      </c>
      <c r="K811" s="17" t="s">
        <v>45</v>
      </c>
      <c r="L811" s="17" t="s">
        <v>31</v>
      </c>
      <c r="M811" s="17" t="s">
        <v>625</v>
      </c>
      <c r="N811" s="17">
        <v>838</v>
      </c>
      <c r="O811" s="17">
        <v>422</v>
      </c>
      <c r="P811" s="26">
        <f>(data[[#This Row],[LoadedMiles]]/data[[#This Row],[TotalMiles]])*100</f>
        <v>50.35799522673031</v>
      </c>
      <c r="Q811" s="25">
        <f>data[[#This Row],[ShippingCost]]/data[[#This Row],[TotalMiles]]</f>
        <v>0.27326968973747018</v>
      </c>
      <c r="R811" s="17">
        <v>229</v>
      </c>
      <c r="S811" s="25">
        <f>data[[#This Row],[Revenue]]/data[[#This Row],[TotalMiles]]</f>
        <v>1.2326968973747017</v>
      </c>
      <c r="T811" s="26">
        <f>data[[#This Row],[Revenue]]-data[[#This Row],[ShippingCost]]</f>
        <v>804</v>
      </c>
      <c r="U811" s="17">
        <v>1033</v>
      </c>
      <c r="V811" s="17">
        <v>52</v>
      </c>
      <c r="W811" s="17" t="s">
        <v>25</v>
      </c>
      <c r="X811" s="17">
        <v>1</v>
      </c>
      <c r="Y811" s="17">
        <f>data[[#This Row],[DeliveryDate]]-data[[#This Row],[ShipDate]]</f>
        <v>1</v>
      </c>
      <c r="Z811" s="17" t="str">
        <f>IF(data[[#This Row],[Actual Delivery Days]]&gt;AD812,"Yes","No")</f>
        <v>Yes</v>
      </c>
    </row>
    <row r="812" spans="1:26">
      <c r="A812" s="17">
        <v>11225</v>
      </c>
      <c r="B812" s="17">
        <v>2</v>
      </c>
      <c r="C812" s="17">
        <v>3</v>
      </c>
      <c r="D812" s="17" t="s">
        <v>173</v>
      </c>
      <c r="E812" s="17" t="s">
        <v>155</v>
      </c>
      <c r="F812" s="17" t="str">
        <f>TEXT(data[[#This Row],[ShipDate]],"yyyy - mmmm")</f>
        <v>2016 - July</v>
      </c>
      <c r="G812" s="17" t="str">
        <f>data[[#This Row],[OriginCity]] &amp; " - "  &amp; data[[#This Row],[DestinationCity]]</f>
        <v>Rockford - Green Bay</v>
      </c>
      <c r="H812" s="17" t="s">
        <v>40</v>
      </c>
      <c r="I812" s="17" t="s">
        <v>31</v>
      </c>
      <c r="J812" s="17">
        <v>4</v>
      </c>
      <c r="K812" s="17" t="s">
        <v>75</v>
      </c>
      <c r="L812" s="17" t="s">
        <v>29</v>
      </c>
      <c r="M812" s="17" t="s">
        <v>627</v>
      </c>
      <c r="N812" s="17">
        <v>650</v>
      </c>
      <c r="O812" s="17">
        <v>432</v>
      </c>
      <c r="P812" s="26">
        <f>(data[[#This Row],[LoadedMiles]]/data[[#This Row],[TotalMiles]])*100</f>
        <v>66.461538461538467</v>
      </c>
      <c r="Q812" s="25">
        <f>data[[#This Row],[ShippingCost]]/data[[#This Row],[TotalMiles]]</f>
        <v>3.1353846153846154</v>
      </c>
      <c r="R812" s="17">
        <v>2038</v>
      </c>
      <c r="S812" s="25">
        <f>data[[#This Row],[Revenue]]/data[[#This Row],[TotalMiles]]</f>
        <v>3.3569230769230769</v>
      </c>
      <c r="T812" s="26">
        <f>data[[#This Row],[Revenue]]-data[[#This Row],[ShippingCost]]</f>
        <v>144</v>
      </c>
      <c r="U812" s="17">
        <v>2182</v>
      </c>
      <c r="V812" s="17">
        <v>94</v>
      </c>
      <c r="W812" s="17" t="s">
        <v>25</v>
      </c>
      <c r="X812" s="17">
        <v>8</v>
      </c>
      <c r="Y812" s="17">
        <f>data[[#This Row],[DeliveryDate]]-data[[#This Row],[ShipDate]]</f>
        <v>4</v>
      </c>
      <c r="Z812" s="17" t="str">
        <f>IF(data[[#This Row],[Actual Delivery Days]]&gt;AD813,"Yes","No")</f>
        <v>Yes</v>
      </c>
    </row>
    <row r="813" spans="1:26">
      <c r="A813" s="17">
        <v>11228</v>
      </c>
      <c r="B813" s="17">
        <v>3</v>
      </c>
      <c r="C813" s="17">
        <v>1</v>
      </c>
      <c r="D813" s="17" t="s">
        <v>181</v>
      </c>
      <c r="E813" s="17" t="s">
        <v>88</v>
      </c>
      <c r="F813" s="17" t="str">
        <f>TEXT(data[[#This Row],[ShipDate]],"yyyy - mmmm")</f>
        <v>2016 - February</v>
      </c>
      <c r="G813" s="17" t="str">
        <f>data[[#This Row],[OriginCity]] &amp; " - "  &amp; data[[#This Row],[DestinationCity]]</f>
        <v>Dayton - Elgin</v>
      </c>
      <c r="H813" s="17" t="s">
        <v>93</v>
      </c>
      <c r="I813" s="17" t="s">
        <v>23</v>
      </c>
      <c r="J813" s="17">
        <v>4</v>
      </c>
      <c r="K813" s="17" t="s">
        <v>94</v>
      </c>
      <c r="L813" s="17" t="s">
        <v>31</v>
      </c>
      <c r="M813" s="17" t="s">
        <v>202</v>
      </c>
      <c r="N813" s="17">
        <v>341</v>
      </c>
      <c r="O813" s="17">
        <v>341</v>
      </c>
      <c r="P813" s="26">
        <f>(data[[#This Row],[LoadedMiles]]/data[[#This Row],[TotalMiles]])*100</f>
        <v>100</v>
      </c>
      <c r="Q813" s="25">
        <f>data[[#This Row],[ShippingCost]]/data[[#This Row],[TotalMiles]]</f>
        <v>3.5689149560117301</v>
      </c>
      <c r="R813" s="17">
        <v>1217</v>
      </c>
      <c r="S813" s="25">
        <f>data[[#This Row],[Revenue]]/data[[#This Row],[TotalMiles]]</f>
        <v>18.589442815249267</v>
      </c>
      <c r="T813" s="26">
        <f>data[[#This Row],[Revenue]]-data[[#This Row],[ShippingCost]]</f>
        <v>5122</v>
      </c>
      <c r="U813" s="17">
        <v>6339</v>
      </c>
      <c r="V813" s="17">
        <v>91</v>
      </c>
      <c r="W813" s="17" t="s">
        <v>25</v>
      </c>
      <c r="X813" s="17">
        <v>4</v>
      </c>
      <c r="Y813" s="17">
        <f>data[[#This Row],[DeliveryDate]]-data[[#This Row],[ShipDate]]</f>
        <v>2</v>
      </c>
      <c r="Z813" s="17" t="str">
        <f>IF(data[[#This Row],[Actual Delivery Days]]&gt;AD814,"Yes","No")</f>
        <v>Yes</v>
      </c>
    </row>
    <row r="814" spans="1:26">
      <c r="A814" s="17">
        <v>11230</v>
      </c>
      <c r="B814" s="17">
        <v>2</v>
      </c>
      <c r="C814" s="17">
        <v>5</v>
      </c>
      <c r="D814" s="17" t="s">
        <v>187</v>
      </c>
      <c r="E814" s="17" t="s">
        <v>60</v>
      </c>
      <c r="F814" s="17" t="str">
        <f>TEXT(data[[#This Row],[ShipDate]],"yyyy - mmmm")</f>
        <v>2016 - July</v>
      </c>
      <c r="G814" s="17" t="str">
        <f>data[[#This Row],[OriginCity]] &amp; " - "  &amp; data[[#This Row],[DestinationCity]]</f>
        <v>Bangor - Davenport</v>
      </c>
      <c r="H814" s="17" t="s">
        <v>104</v>
      </c>
      <c r="I814" s="17" t="s">
        <v>21</v>
      </c>
      <c r="J814" s="17">
        <v>4</v>
      </c>
      <c r="K814" s="17" t="s">
        <v>105</v>
      </c>
      <c r="L814" s="17" t="s">
        <v>106</v>
      </c>
      <c r="M814" s="17" t="s">
        <v>149</v>
      </c>
      <c r="N814" s="17">
        <v>926</v>
      </c>
      <c r="O814" s="17">
        <v>377</v>
      </c>
      <c r="P814" s="26">
        <f>(data[[#This Row],[LoadedMiles]]/data[[#This Row],[TotalMiles]])*100</f>
        <v>40.712742980561558</v>
      </c>
      <c r="Q814" s="25">
        <f>data[[#This Row],[ShippingCost]]/data[[#This Row],[TotalMiles]]</f>
        <v>4.1814254859611228</v>
      </c>
      <c r="R814" s="17">
        <v>3872</v>
      </c>
      <c r="S814" s="25">
        <f>data[[#This Row],[Revenue]]/data[[#This Row],[TotalMiles]]</f>
        <v>4.5518358531317498</v>
      </c>
      <c r="T814" s="26">
        <f>data[[#This Row],[Revenue]]-data[[#This Row],[ShippingCost]]</f>
        <v>343</v>
      </c>
      <c r="U814" s="17">
        <v>4215</v>
      </c>
      <c r="V814" s="17">
        <v>77</v>
      </c>
      <c r="W814" s="17" t="s">
        <v>25</v>
      </c>
      <c r="X814" s="17">
        <v>2</v>
      </c>
      <c r="Y814" s="17">
        <f>data[[#This Row],[DeliveryDate]]-data[[#This Row],[ShipDate]]</f>
        <v>4</v>
      </c>
      <c r="Z814" s="17" t="str">
        <f>IF(data[[#This Row],[Actual Delivery Days]]&gt;AD815,"Yes","No")</f>
        <v>Yes</v>
      </c>
    </row>
    <row r="815" spans="1:26">
      <c r="A815" s="17">
        <v>11234</v>
      </c>
      <c r="B815" s="17">
        <v>3</v>
      </c>
      <c r="C815" s="17">
        <v>3</v>
      </c>
      <c r="D815" s="17" t="s">
        <v>195</v>
      </c>
      <c r="E815" s="17" t="s">
        <v>498</v>
      </c>
      <c r="F815" s="17" t="str">
        <f>TEXT(data[[#This Row],[ShipDate]],"yyyy - mmmm")</f>
        <v>2016 - July</v>
      </c>
      <c r="G815" s="17" t="str">
        <f>data[[#This Row],[OriginCity]] &amp; " - "  &amp; data[[#This Row],[DestinationCity]]</f>
        <v>Davenport - Appleton</v>
      </c>
      <c r="H815" s="17" t="s">
        <v>105</v>
      </c>
      <c r="I815" s="17" t="s">
        <v>106</v>
      </c>
      <c r="J815" s="17">
        <v>4</v>
      </c>
      <c r="K815" s="17" t="s">
        <v>85</v>
      </c>
      <c r="L815" s="17" t="s">
        <v>29</v>
      </c>
      <c r="M815" s="17" t="s">
        <v>116</v>
      </c>
      <c r="N815" s="17">
        <v>424</v>
      </c>
      <c r="O815" s="17">
        <v>424</v>
      </c>
      <c r="P815" s="26">
        <f>(data[[#This Row],[LoadedMiles]]/data[[#This Row],[TotalMiles]])*100</f>
        <v>100</v>
      </c>
      <c r="Q815" s="25">
        <f>data[[#This Row],[ShippingCost]]/data[[#This Row],[TotalMiles]]</f>
        <v>7.1367924528301883</v>
      </c>
      <c r="R815" s="17">
        <v>3026</v>
      </c>
      <c r="S815" s="25">
        <f>data[[#This Row],[Revenue]]/data[[#This Row],[TotalMiles]]</f>
        <v>8.2594339622641506</v>
      </c>
      <c r="T815" s="26">
        <f>data[[#This Row],[Revenue]]-data[[#This Row],[ShippingCost]]</f>
        <v>476</v>
      </c>
      <c r="U815" s="17">
        <v>3502</v>
      </c>
      <c r="V815" s="17">
        <v>57</v>
      </c>
      <c r="W815" s="17" t="s">
        <v>25</v>
      </c>
      <c r="X815" s="17">
        <v>2</v>
      </c>
      <c r="Y815" s="17">
        <f>data[[#This Row],[DeliveryDate]]-data[[#This Row],[ShipDate]]</f>
        <v>4</v>
      </c>
      <c r="Z815" s="17" t="str">
        <f>IF(data[[#This Row],[Actual Delivery Days]]&gt;AD816,"Yes","No")</f>
        <v>Yes</v>
      </c>
    </row>
    <row r="816" spans="1:26">
      <c r="A816" s="17">
        <v>11235</v>
      </c>
      <c r="B816" s="17">
        <v>2</v>
      </c>
      <c r="C816" s="17">
        <v>1</v>
      </c>
      <c r="D816" s="17" t="s">
        <v>198</v>
      </c>
      <c r="E816" s="17" t="s">
        <v>183</v>
      </c>
      <c r="F816" s="17" t="str">
        <f>TEXT(data[[#This Row],[ShipDate]],"yyyy - mmmm")</f>
        <v>2016 - July</v>
      </c>
      <c r="G816" s="17" t="str">
        <f>data[[#This Row],[OriginCity]] &amp; " - "  &amp; data[[#This Row],[DestinationCity]]</f>
        <v>Grand Rapids - Toledo</v>
      </c>
      <c r="H816" s="17" t="s">
        <v>20</v>
      </c>
      <c r="I816" s="17" t="s">
        <v>21</v>
      </c>
      <c r="J816" s="17">
        <v>4</v>
      </c>
      <c r="K816" s="17" t="s">
        <v>22</v>
      </c>
      <c r="L816" s="17" t="s">
        <v>23</v>
      </c>
      <c r="M816" s="17" t="s">
        <v>150</v>
      </c>
      <c r="N816" s="17">
        <v>1005</v>
      </c>
      <c r="O816" s="17">
        <v>634</v>
      </c>
      <c r="P816" s="26">
        <f>(data[[#This Row],[LoadedMiles]]/data[[#This Row],[TotalMiles]])*100</f>
        <v>63.084577114427866</v>
      </c>
      <c r="Q816" s="25">
        <f>data[[#This Row],[ShippingCost]]/data[[#This Row],[TotalMiles]]</f>
        <v>3.2626865671641792</v>
      </c>
      <c r="R816" s="17">
        <v>3279</v>
      </c>
      <c r="S816" s="25">
        <f>data[[#This Row],[Revenue]]/data[[#This Row],[TotalMiles]]</f>
        <v>7.3393034825870647</v>
      </c>
      <c r="T816" s="26">
        <f>data[[#This Row],[Revenue]]-data[[#This Row],[ShippingCost]]</f>
        <v>4097</v>
      </c>
      <c r="U816" s="17">
        <v>7376</v>
      </c>
      <c r="V816" s="17">
        <v>88</v>
      </c>
      <c r="W816" s="17" t="s">
        <v>25</v>
      </c>
      <c r="X816" s="17">
        <v>7</v>
      </c>
      <c r="Y816" s="17">
        <f>data[[#This Row],[DeliveryDate]]-data[[#This Row],[ShipDate]]</f>
        <v>2</v>
      </c>
      <c r="Z816" s="17" t="str">
        <f>IF(data[[#This Row],[Actual Delivery Days]]&gt;AD817,"Yes","No")</f>
        <v>Yes</v>
      </c>
    </row>
    <row r="817" spans="1:26">
      <c r="A817" s="17">
        <v>11243</v>
      </c>
      <c r="B817" s="17">
        <v>2</v>
      </c>
      <c r="C817" s="17">
        <v>2</v>
      </c>
      <c r="D817" s="17" t="s">
        <v>219</v>
      </c>
      <c r="E817" s="17" t="s">
        <v>122</v>
      </c>
      <c r="F817" s="17" t="str">
        <f>TEXT(data[[#This Row],[ShipDate]],"yyyy - mmmm")</f>
        <v>2016 - April</v>
      </c>
      <c r="G817" s="17" t="str">
        <f>data[[#This Row],[OriginCity]] &amp; " - "  &amp; data[[#This Row],[DestinationCity]]</f>
        <v>Monon - Lansing</v>
      </c>
      <c r="H817" s="17" t="s">
        <v>53</v>
      </c>
      <c r="I817" s="17" t="s">
        <v>44</v>
      </c>
      <c r="J817" s="17">
        <v>4</v>
      </c>
      <c r="K817" s="17" t="s">
        <v>66</v>
      </c>
      <c r="L817" s="17" t="s">
        <v>21</v>
      </c>
      <c r="M817" s="17" t="s">
        <v>620</v>
      </c>
      <c r="N817" s="17">
        <v>859</v>
      </c>
      <c r="O817" s="17">
        <v>685</v>
      </c>
      <c r="P817" s="26">
        <f>(data[[#This Row],[LoadedMiles]]/data[[#This Row],[TotalMiles]])*100</f>
        <v>79.74388824214202</v>
      </c>
      <c r="Q817" s="25">
        <f>data[[#This Row],[ShippingCost]]/data[[#This Row],[TotalMiles]]</f>
        <v>9.286379511059371</v>
      </c>
      <c r="R817" s="17">
        <v>7977</v>
      </c>
      <c r="S817" s="25">
        <f>data[[#This Row],[Revenue]]/data[[#This Row],[TotalMiles]]</f>
        <v>9.9173457508731087</v>
      </c>
      <c r="T817" s="26">
        <f>data[[#This Row],[Revenue]]-data[[#This Row],[ShippingCost]]</f>
        <v>542</v>
      </c>
      <c r="U817" s="17">
        <v>8519</v>
      </c>
      <c r="V817" s="17">
        <v>77</v>
      </c>
      <c r="W817" s="17" t="s">
        <v>25</v>
      </c>
      <c r="X817" s="17">
        <v>1</v>
      </c>
      <c r="Y817" s="17">
        <f>data[[#This Row],[DeliveryDate]]-data[[#This Row],[ShipDate]]</f>
        <v>4</v>
      </c>
      <c r="Z817" s="17" t="str">
        <f>IF(data[[#This Row],[Actual Delivery Days]]&gt;AD818,"Yes","No")</f>
        <v>Yes</v>
      </c>
    </row>
    <row r="818" spans="1:26">
      <c r="A818" s="17">
        <v>11263</v>
      </c>
      <c r="B818" s="17">
        <v>2</v>
      </c>
      <c r="C818" s="17">
        <v>6</v>
      </c>
      <c r="D818" s="17" t="s">
        <v>267</v>
      </c>
      <c r="E818" s="17" t="s">
        <v>81</v>
      </c>
      <c r="F818" s="17" t="str">
        <f>TEXT(data[[#This Row],[ShipDate]],"yyyy - mmmm")</f>
        <v>2016 - March</v>
      </c>
      <c r="G818" s="17" t="str">
        <f>data[[#This Row],[OriginCity]] &amp; " - "  &amp; data[[#This Row],[DestinationCity]]</f>
        <v>Monon - Lansing</v>
      </c>
      <c r="H818" s="17" t="s">
        <v>53</v>
      </c>
      <c r="I818" s="17" t="s">
        <v>44</v>
      </c>
      <c r="J818" s="17">
        <v>4</v>
      </c>
      <c r="K818" s="17" t="s">
        <v>66</v>
      </c>
      <c r="L818" s="17" t="s">
        <v>21</v>
      </c>
      <c r="M818" s="17" t="s">
        <v>82</v>
      </c>
      <c r="N818" s="17">
        <v>248</v>
      </c>
      <c r="O818" s="17">
        <v>248</v>
      </c>
      <c r="P818" s="26">
        <f>(data[[#This Row],[LoadedMiles]]/data[[#This Row],[TotalMiles]])*100</f>
        <v>100</v>
      </c>
      <c r="Q818" s="25">
        <f>data[[#This Row],[ShippingCost]]/data[[#This Row],[TotalMiles]]</f>
        <v>12.455645161290322</v>
      </c>
      <c r="R818" s="17">
        <v>3089</v>
      </c>
      <c r="S818" s="25">
        <f>data[[#This Row],[Revenue]]/data[[#This Row],[TotalMiles]]</f>
        <v>16.016129032258064</v>
      </c>
      <c r="T818" s="26">
        <f>data[[#This Row],[Revenue]]-data[[#This Row],[ShippingCost]]</f>
        <v>883</v>
      </c>
      <c r="U818" s="17">
        <v>3972</v>
      </c>
      <c r="V818" s="17">
        <v>64</v>
      </c>
      <c r="W818" s="17" t="s">
        <v>25</v>
      </c>
      <c r="X818" s="17">
        <v>4</v>
      </c>
      <c r="Y818" s="17">
        <f>data[[#This Row],[DeliveryDate]]-data[[#This Row],[ShipDate]]</f>
        <v>4</v>
      </c>
      <c r="Z818" s="17" t="str">
        <f>IF(data[[#This Row],[Actual Delivery Days]]&gt;AD819,"Yes","No")</f>
        <v>Yes</v>
      </c>
    </row>
    <row r="819" spans="1:26">
      <c r="A819" s="17">
        <v>11282</v>
      </c>
      <c r="B819" s="17">
        <v>3</v>
      </c>
      <c r="C819" s="17">
        <v>3</v>
      </c>
      <c r="D819" s="17" t="s">
        <v>306</v>
      </c>
      <c r="E819" s="17" t="s">
        <v>418</v>
      </c>
      <c r="F819" s="17" t="str">
        <f>TEXT(data[[#This Row],[ShipDate]],"yyyy - mmmm")</f>
        <v>2016 - April</v>
      </c>
      <c r="G819" s="17" t="str">
        <f>data[[#This Row],[OriginCity]] &amp; " - "  &amp; data[[#This Row],[DestinationCity]]</f>
        <v>Northbrook - Naperville</v>
      </c>
      <c r="H819" s="17" t="s">
        <v>45</v>
      </c>
      <c r="I819" s="17" t="s">
        <v>31</v>
      </c>
      <c r="J819" s="17">
        <v>4</v>
      </c>
      <c r="K819" s="17" t="s">
        <v>48</v>
      </c>
      <c r="L819" s="17" t="s">
        <v>31</v>
      </c>
      <c r="M819" s="17" t="s">
        <v>170</v>
      </c>
      <c r="N819" s="17">
        <v>1105</v>
      </c>
      <c r="O819" s="17">
        <v>792</v>
      </c>
      <c r="P819" s="26">
        <f>(data[[#This Row],[LoadedMiles]]/data[[#This Row],[TotalMiles]])*100</f>
        <v>71.674208144796381</v>
      </c>
      <c r="Q819" s="25">
        <f>data[[#This Row],[ShippingCost]]/data[[#This Row],[TotalMiles]]</f>
        <v>6.658823529411765</v>
      </c>
      <c r="R819" s="17">
        <v>7358</v>
      </c>
      <c r="S819" s="25">
        <f>data[[#This Row],[Revenue]]/data[[#This Row],[TotalMiles]]</f>
        <v>7.3828054298642538</v>
      </c>
      <c r="T819" s="26">
        <f>data[[#This Row],[Revenue]]-data[[#This Row],[ShippingCost]]</f>
        <v>800</v>
      </c>
      <c r="U819" s="17">
        <v>8158</v>
      </c>
      <c r="V819" s="17">
        <v>69</v>
      </c>
      <c r="W819" s="17" t="s">
        <v>25</v>
      </c>
      <c r="X819" s="17">
        <v>5</v>
      </c>
      <c r="Y819" s="17">
        <f>data[[#This Row],[DeliveryDate]]-data[[#This Row],[ShipDate]]</f>
        <v>4</v>
      </c>
      <c r="Z819" s="17" t="str">
        <f>IF(data[[#This Row],[Actual Delivery Days]]&gt;AD820,"Yes","No")</f>
        <v>Yes</v>
      </c>
    </row>
    <row r="820" spans="1:26">
      <c r="A820" s="17">
        <v>11284</v>
      </c>
      <c r="B820" s="17">
        <v>2</v>
      </c>
      <c r="C820" s="17">
        <v>1</v>
      </c>
      <c r="D820" s="17" t="s">
        <v>311</v>
      </c>
      <c r="E820" s="17" t="s">
        <v>619</v>
      </c>
      <c r="F820" s="17" t="str">
        <f>TEXT(data[[#This Row],[ShipDate]],"yyyy - mmmm")</f>
        <v>2016 - June</v>
      </c>
      <c r="G820" s="17" t="str">
        <f>data[[#This Row],[OriginCity]] &amp; " - "  &amp; data[[#This Row],[DestinationCity]]</f>
        <v>Gary - Milwaukee</v>
      </c>
      <c r="H820" s="17" t="s">
        <v>57</v>
      </c>
      <c r="I820" s="17" t="s">
        <v>44</v>
      </c>
      <c r="J820" s="17">
        <v>4</v>
      </c>
      <c r="K820" s="17" t="s">
        <v>28</v>
      </c>
      <c r="L820" s="17" t="s">
        <v>29</v>
      </c>
      <c r="M820" s="17" t="s">
        <v>542</v>
      </c>
      <c r="N820" s="17">
        <v>365</v>
      </c>
      <c r="O820" s="17">
        <v>365</v>
      </c>
      <c r="P820" s="26">
        <f>(data[[#This Row],[LoadedMiles]]/data[[#This Row],[TotalMiles]])*100</f>
        <v>100</v>
      </c>
      <c r="Q820" s="25">
        <f>data[[#This Row],[ShippingCost]]/data[[#This Row],[TotalMiles]]</f>
        <v>13.898630136986302</v>
      </c>
      <c r="R820" s="17">
        <v>5073</v>
      </c>
      <c r="S820" s="25">
        <f>data[[#This Row],[Revenue]]/data[[#This Row],[TotalMiles]]</f>
        <v>25.052054794520547</v>
      </c>
      <c r="T820" s="26">
        <f>data[[#This Row],[Revenue]]-data[[#This Row],[ShippingCost]]</f>
        <v>4071</v>
      </c>
      <c r="U820" s="17">
        <v>9144</v>
      </c>
      <c r="V820" s="17">
        <v>51</v>
      </c>
      <c r="W820" s="17" t="s">
        <v>25</v>
      </c>
      <c r="X820" s="17">
        <v>1</v>
      </c>
      <c r="Y820" s="17">
        <f>data[[#This Row],[DeliveryDate]]-data[[#This Row],[ShipDate]]</f>
        <v>4</v>
      </c>
      <c r="Z820" s="17" t="str">
        <f>IF(data[[#This Row],[Actual Delivery Days]]&gt;AD821,"Yes","No")</f>
        <v>Yes</v>
      </c>
    </row>
    <row r="821" spans="1:26">
      <c r="A821" s="17">
        <v>11286</v>
      </c>
      <c r="B821" s="17">
        <v>3</v>
      </c>
      <c r="C821" s="17">
        <v>3</v>
      </c>
      <c r="D821" s="17" t="s">
        <v>313</v>
      </c>
      <c r="E821" s="17" t="s">
        <v>139</v>
      </c>
      <c r="F821" s="17" t="str">
        <f>TEXT(data[[#This Row],[ShipDate]],"yyyy - mmmm")</f>
        <v>2016 - August</v>
      </c>
      <c r="G821" s="17" t="str">
        <f>data[[#This Row],[OriginCity]] &amp; " - "  &amp; data[[#This Row],[DestinationCity]]</f>
        <v>Monon - Lansing</v>
      </c>
      <c r="H821" s="17" t="s">
        <v>53</v>
      </c>
      <c r="I821" s="17" t="s">
        <v>44</v>
      </c>
      <c r="J821" s="17">
        <v>4</v>
      </c>
      <c r="K821" s="17" t="s">
        <v>66</v>
      </c>
      <c r="L821" s="17" t="s">
        <v>21</v>
      </c>
      <c r="M821" s="17" t="s">
        <v>240</v>
      </c>
      <c r="N821" s="17">
        <v>410</v>
      </c>
      <c r="O821" s="17">
        <v>410</v>
      </c>
      <c r="P821" s="26">
        <f>(data[[#This Row],[LoadedMiles]]/data[[#This Row],[TotalMiles]])*100</f>
        <v>100</v>
      </c>
      <c r="Q821" s="25">
        <f>data[[#This Row],[ShippingCost]]/data[[#This Row],[TotalMiles]]</f>
        <v>16.990243902439026</v>
      </c>
      <c r="R821" s="17">
        <v>6966</v>
      </c>
      <c r="S821" s="25">
        <f>data[[#This Row],[Revenue]]/data[[#This Row],[TotalMiles]]</f>
        <v>17.34390243902439</v>
      </c>
      <c r="T821" s="26">
        <f>data[[#This Row],[Revenue]]-data[[#This Row],[ShippingCost]]</f>
        <v>145</v>
      </c>
      <c r="U821" s="17">
        <v>7111</v>
      </c>
      <c r="V821" s="17">
        <v>85</v>
      </c>
      <c r="W821" s="17" t="s">
        <v>25</v>
      </c>
      <c r="X821" s="17">
        <v>1</v>
      </c>
      <c r="Y821" s="17">
        <f>data[[#This Row],[DeliveryDate]]-data[[#This Row],[ShipDate]]</f>
        <v>4</v>
      </c>
      <c r="Z821" s="17" t="str">
        <f>IF(data[[#This Row],[Actual Delivery Days]]&gt;AD822,"Yes","No")</f>
        <v>Yes</v>
      </c>
    </row>
    <row r="822" spans="1:26">
      <c r="A822" s="17">
        <v>11289</v>
      </c>
      <c r="B822" s="17">
        <v>3</v>
      </c>
      <c r="C822" s="17">
        <v>6</v>
      </c>
      <c r="D822" s="17" t="s">
        <v>320</v>
      </c>
      <c r="E822" s="17" t="s">
        <v>498</v>
      </c>
      <c r="F822" s="17" t="str">
        <f>TEXT(data[[#This Row],[ShipDate]],"yyyy - mmmm")</f>
        <v>2016 - July</v>
      </c>
      <c r="G822" s="17" t="str">
        <f>data[[#This Row],[OriginCity]] &amp; " - "  &amp; data[[#This Row],[DestinationCity]]</f>
        <v>Naperville - Indianapolis</v>
      </c>
      <c r="H822" s="17" t="s">
        <v>48</v>
      </c>
      <c r="I822" s="17" t="s">
        <v>31</v>
      </c>
      <c r="J822" s="17">
        <v>4</v>
      </c>
      <c r="K822" s="17" t="s">
        <v>43</v>
      </c>
      <c r="L822" s="17" t="s">
        <v>44</v>
      </c>
      <c r="M822" s="17" t="s">
        <v>299</v>
      </c>
      <c r="N822" s="17">
        <v>778</v>
      </c>
      <c r="O822" s="17">
        <v>635</v>
      </c>
      <c r="P822" s="26">
        <f>(data[[#This Row],[LoadedMiles]]/data[[#This Row],[TotalMiles]])*100</f>
        <v>81.619537275064275</v>
      </c>
      <c r="Q822" s="25">
        <f>data[[#This Row],[ShippingCost]]/data[[#This Row],[TotalMiles]]</f>
        <v>5.1349614395886887</v>
      </c>
      <c r="R822" s="17">
        <v>3995</v>
      </c>
      <c r="S822" s="25">
        <f>data[[#This Row],[Revenue]]/data[[#This Row],[TotalMiles]]</f>
        <v>5.5784061696658096</v>
      </c>
      <c r="T822" s="26">
        <f>data[[#This Row],[Revenue]]-data[[#This Row],[ShippingCost]]</f>
        <v>345</v>
      </c>
      <c r="U822" s="17">
        <v>4340</v>
      </c>
      <c r="V822" s="17">
        <v>100</v>
      </c>
      <c r="W822" s="17" t="s">
        <v>25</v>
      </c>
      <c r="X822" s="17">
        <v>1</v>
      </c>
      <c r="Y822" s="17">
        <f>data[[#This Row],[DeliveryDate]]-data[[#This Row],[ShipDate]]</f>
        <v>2</v>
      </c>
      <c r="Z822" s="17" t="str">
        <f>IF(data[[#This Row],[Actual Delivery Days]]&gt;AD823,"Yes","No")</f>
        <v>Yes</v>
      </c>
    </row>
    <row r="823" spans="1:26">
      <c r="A823" s="17">
        <v>11294</v>
      </c>
      <c r="B823" s="17">
        <v>2</v>
      </c>
      <c r="C823" s="17">
        <v>3</v>
      </c>
      <c r="D823" s="17" t="s">
        <v>329</v>
      </c>
      <c r="E823" s="17" t="s">
        <v>163</v>
      </c>
      <c r="F823" s="17" t="str">
        <f>TEXT(data[[#This Row],[ShipDate]],"yyyy - mmmm")</f>
        <v>2016 - February</v>
      </c>
      <c r="G823" s="17" t="str">
        <f>data[[#This Row],[OriginCity]] &amp; " - "  &amp; data[[#This Row],[DestinationCity]]</f>
        <v>Bangor - Davenport</v>
      </c>
      <c r="H823" s="17" t="s">
        <v>104</v>
      </c>
      <c r="I823" s="17" t="s">
        <v>21</v>
      </c>
      <c r="J823" s="17">
        <v>4</v>
      </c>
      <c r="K823" s="17" t="s">
        <v>105</v>
      </c>
      <c r="L823" s="17" t="s">
        <v>106</v>
      </c>
      <c r="M823" s="17" t="s">
        <v>290</v>
      </c>
      <c r="N823" s="17">
        <v>251</v>
      </c>
      <c r="O823" s="17">
        <v>251</v>
      </c>
      <c r="P823" s="26">
        <f>(data[[#This Row],[LoadedMiles]]/data[[#This Row],[TotalMiles]])*100</f>
        <v>100</v>
      </c>
      <c r="Q823" s="25">
        <f>data[[#This Row],[ShippingCost]]/data[[#This Row],[TotalMiles]]</f>
        <v>30.988047808764939</v>
      </c>
      <c r="R823" s="17">
        <v>7778</v>
      </c>
      <c r="S823" s="25">
        <f>data[[#This Row],[Revenue]]/data[[#This Row],[TotalMiles]]</f>
        <v>33.749003984063748</v>
      </c>
      <c r="T823" s="26">
        <f>data[[#This Row],[Revenue]]-data[[#This Row],[ShippingCost]]</f>
        <v>693</v>
      </c>
      <c r="U823" s="17">
        <v>8471</v>
      </c>
      <c r="V823" s="17">
        <v>76</v>
      </c>
      <c r="W823" s="17" t="s">
        <v>25</v>
      </c>
      <c r="X823" s="17">
        <v>6</v>
      </c>
      <c r="Y823" s="17">
        <f>data[[#This Row],[DeliveryDate]]-data[[#This Row],[ShipDate]]</f>
        <v>4</v>
      </c>
      <c r="Z823" s="17" t="str">
        <f>IF(data[[#This Row],[Actual Delivery Days]]&gt;AD824,"Yes","No")</f>
        <v>Yes</v>
      </c>
    </row>
    <row r="824" spans="1:26">
      <c r="A824" s="17">
        <v>11299</v>
      </c>
      <c r="B824" s="17">
        <v>2</v>
      </c>
      <c r="C824" s="17">
        <v>6</v>
      </c>
      <c r="D824" s="17" t="s">
        <v>336</v>
      </c>
      <c r="E824" s="17" t="s">
        <v>88</v>
      </c>
      <c r="F824" s="17" t="str">
        <f>TEXT(data[[#This Row],[ShipDate]],"yyyy - mmmm")</f>
        <v>2016 - February</v>
      </c>
      <c r="G824" s="17" t="str">
        <f>data[[#This Row],[OriginCity]] &amp; " - "  &amp; data[[#This Row],[DestinationCity]]</f>
        <v>Grand Rapids - Toledo</v>
      </c>
      <c r="H824" s="17" t="s">
        <v>20</v>
      </c>
      <c r="I824" s="17" t="s">
        <v>21</v>
      </c>
      <c r="J824" s="17">
        <v>4</v>
      </c>
      <c r="K824" s="17" t="s">
        <v>22</v>
      </c>
      <c r="L824" s="17" t="s">
        <v>23</v>
      </c>
      <c r="M824" s="17" t="s">
        <v>202</v>
      </c>
      <c r="N824" s="17">
        <v>992</v>
      </c>
      <c r="O824" s="17">
        <v>324</v>
      </c>
      <c r="P824" s="26">
        <f>(data[[#This Row],[LoadedMiles]]/data[[#This Row],[TotalMiles]])*100</f>
        <v>32.661290322580641</v>
      </c>
      <c r="Q824" s="25">
        <f>data[[#This Row],[ShippingCost]]/data[[#This Row],[TotalMiles]]</f>
        <v>2.965725806451613</v>
      </c>
      <c r="R824" s="17">
        <v>2942</v>
      </c>
      <c r="S824" s="25">
        <f>data[[#This Row],[Revenue]]/data[[#This Row],[TotalMiles]]</f>
        <v>3.7036290322580645</v>
      </c>
      <c r="T824" s="26">
        <f>data[[#This Row],[Revenue]]-data[[#This Row],[ShippingCost]]</f>
        <v>732</v>
      </c>
      <c r="U824" s="17">
        <v>3674</v>
      </c>
      <c r="V824" s="17">
        <v>55</v>
      </c>
      <c r="W824" s="17" t="s">
        <v>25</v>
      </c>
      <c r="X824" s="17">
        <v>9</v>
      </c>
      <c r="Y824" s="17">
        <f>data[[#This Row],[DeliveryDate]]-data[[#This Row],[ShipDate]]</f>
        <v>2</v>
      </c>
      <c r="Z824" s="17" t="str">
        <f>IF(data[[#This Row],[Actual Delivery Days]]&gt;AD825,"Yes","No")</f>
        <v>Yes</v>
      </c>
    </row>
    <row r="825" spans="1:26">
      <c r="A825" s="17">
        <v>11320</v>
      </c>
      <c r="B825" s="17">
        <v>2</v>
      </c>
      <c r="C825" s="17">
        <v>5</v>
      </c>
      <c r="D825" s="17" t="s">
        <v>372</v>
      </c>
      <c r="E825" s="17" t="s">
        <v>610</v>
      </c>
      <c r="F825" s="17" t="str">
        <f>TEXT(data[[#This Row],[ShipDate]],"yyyy - mmmm")</f>
        <v>2016 - June</v>
      </c>
      <c r="G825" s="17" t="str">
        <f>data[[#This Row],[OriginCity]] &amp; " - "  &amp; data[[#This Row],[DestinationCity]]</f>
        <v>Kalamazoo - Bangor</v>
      </c>
      <c r="H825" s="17" t="s">
        <v>71</v>
      </c>
      <c r="I825" s="17" t="s">
        <v>21</v>
      </c>
      <c r="J825" s="17">
        <v>4</v>
      </c>
      <c r="K825" s="17" t="s">
        <v>104</v>
      </c>
      <c r="L825" s="17" t="s">
        <v>21</v>
      </c>
      <c r="M825" s="17" t="s">
        <v>474</v>
      </c>
      <c r="N825" s="17">
        <v>1037</v>
      </c>
      <c r="O825" s="17">
        <v>378</v>
      </c>
      <c r="P825" s="26">
        <f>(data[[#This Row],[LoadedMiles]]/data[[#This Row],[TotalMiles]])*100</f>
        <v>36.451301832208294</v>
      </c>
      <c r="Q825" s="25">
        <f>data[[#This Row],[ShippingCost]]/data[[#This Row],[TotalMiles]]</f>
        <v>7.3876567020250725</v>
      </c>
      <c r="R825" s="17">
        <v>7661</v>
      </c>
      <c r="S825" s="25">
        <f>data[[#This Row],[Revenue]]/data[[#This Row],[TotalMiles]]</f>
        <v>7.7299903567984574</v>
      </c>
      <c r="T825" s="26">
        <f>data[[#This Row],[Revenue]]-data[[#This Row],[ShippingCost]]</f>
        <v>355</v>
      </c>
      <c r="U825" s="17">
        <v>8016</v>
      </c>
      <c r="V825" s="17">
        <v>66</v>
      </c>
      <c r="W825" s="17" t="s">
        <v>25</v>
      </c>
      <c r="X825" s="17">
        <v>3</v>
      </c>
      <c r="Y825" s="17">
        <f>data[[#This Row],[DeliveryDate]]-data[[#This Row],[ShipDate]]</f>
        <v>4</v>
      </c>
      <c r="Z825" s="17" t="str">
        <f>IF(data[[#This Row],[Actual Delivery Days]]&gt;AD826,"Yes","No")</f>
        <v>Yes</v>
      </c>
    </row>
    <row r="826" spans="1:26">
      <c r="A826" s="17">
        <v>11324</v>
      </c>
      <c r="B826" s="17">
        <v>2</v>
      </c>
      <c r="C826" s="17">
        <v>3</v>
      </c>
      <c r="D826" s="17" t="s">
        <v>378</v>
      </c>
      <c r="E826" s="17" t="s">
        <v>253</v>
      </c>
      <c r="F826" s="17" t="str">
        <f>TEXT(data[[#This Row],[ShipDate]],"yyyy - mmmm")</f>
        <v>2016 - April</v>
      </c>
      <c r="G826" s="17" t="str">
        <f>data[[#This Row],[OriginCity]] &amp; " - "  &amp; data[[#This Row],[DestinationCity]]</f>
        <v>Springfield - Skokie</v>
      </c>
      <c r="H826" s="17" t="s">
        <v>30</v>
      </c>
      <c r="I826" s="17" t="s">
        <v>31</v>
      </c>
      <c r="J826" s="17">
        <v>4</v>
      </c>
      <c r="K826" s="17" t="s">
        <v>35</v>
      </c>
      <c r="L826" s="17" t="s">
        <v>31</v>
      </c>
      <c r="M826" s="17" t="s">
        <v>270</v>
      </c>
      <c r="N826" s="17">
        <v>297</v>
      </c>
      <c r="O826" s="17">
        <v>297</v>
      </c>
      <c r="P826" s="26">
        <f>(data[[#This Row],[LoadedMiles]]/data[[#This Row],[TotalMiles]])*100</f>
        <v>100</v>
      </c>
      <c r="Q826" s="25">
        <f>data[[#This Row],[ShippingCost]]/data[[#This Row],[TotalMiles]]</f>
        <v>1.138047138047138</v>
      </c>
      <c r="R826" s="17">
        <v>338</v>
      </c>
      <c r="S826" s="25">
        <f>data[[#This Row],[Revenue]]/data[[#This Row],[TotalMiles]]</f>
        <v>4.2087542087542085</v>
      </c>
      <c r="T826" s="26">
        <f>data[[#This Row],[Revenue]]-data[[#This Row],[ShippingCost]]</f>
        <v>912</v>
      </c>
      <c r="U826" s="17">
        <v>1250</v>
      </c>
      <c r="V826" s="17">
        <v>89</v>
      </c>
      <c r="W826" s="17" t="s">
        <v>25</v>
      </c>
      <c r="X826" s="17">
        <v>5</v>
      </c>
      <c r="Y826" s="17">
        <f>data[[#This Row],[DeliveryDate]]-data[[#This Row],[ShipDate]]</f>
        <v>4</v>
      </c>
      <c r="Z826" s="17" t="str">
        <f>IF(data[[#This Row],[Actual Delivery Days]]&gt;AD827,"Yes","No")</f>
        <v>Yes</v>
      </c>
    </row>
    <row r="827" spans="1:26">
      <c r="A827" s="17">
        <v>11332</v>
      </c>
      <c r="B827" s="17">
        <v>2</v>
      </c>
      <c r="C827" s="17">
        <v>3</v>
      </c>
      <c r="D827" s="17" t="s">
        <v>393</v>
      </c>
      <c r="E827" s="17" t="s">
        <v>542</v>
      </c>
      <c r="F827" s="17" t="str">
        <f>TEXT(data[[#This Row],[ShipDate]],"yyyy - mmmm")</f>
        <v>2016 - June</v>
      </c>
      <c r="G827" s="17" t="str">
        <f>data[[#This Row],[OriginCity]] &amp; " - "  &amp; data[[#This Row],[DestinationCity]]</f>
        <v>Naperville - Indianapolis</v>
      </c>
      <c r="H827" s="17" t="s">
        <v>48</v>
      </c>
      <c r="I827" s="17" t="s">
        <v>31</v>
      </c>
      <c r="J827" s="17">
        <v>4</v>
      </c>
      <c r="K827" s="17" t="s">
        <v>43</v>
      </c>
      <c r="L827" s="17" t="s">
        <v>44</v>
      </c>
      <c r="M827" s="17" t="s">
        <v>298</v>
      </c>
      <c r="N827" s="17">
        <v>974</v>
      </c>
      <c r="O827" s="17">
        <v>622</v>
      </c>
      <c r="P827" s="26">
        <f>(data[[#This Row],[LoadedMiles]]/data[[#This Row],[TotalMiles]])*100</f>
        <v>63.860369609856264</v>
      </c>
      <c r="Q827" s="25">
        <f>data[[#This Row],[ShippingCost]]/data[[#This Row],[TotalMiles]]</f>
        <v>3.517453798767967</v>
      </c>
      <c r="R827" s="17">
        <v>3426</v>
      </c>
      <c r="S827" s="25">
        <f>data[[#This Row],[Revenue]]/data[[#This Row],[TotalMiles]]</f>
        <v>3.8388090349075976</v>
      </c>
      <c r="T827" s="26">
        <f>data[[#This Row],[Revenue]]-data[[#This Row],[ShippingCost]]</f>
        <v>313</v>
      </c>
      <c r="U827" s="17">
        <v>3739</v>
      </c>
      <c r="V827" s="17">
        <v>53</v>
      </c>
      <c r="W827" s="17" t="s">
        <v>25</v>
      </c>
      <c r="X827" s="17">
        <v>4</v>
      </c>
      <c r="Y827" s="17">
        <f>data[[#This Row],[DeliveryDate]]-data[[#This Row],[ShipDate]]</f>
        <v>4</v>
      </c>
      <c r="Z827" s="17" t="str">
        <f>IF(data[[#This Row],[Actual Delivery Days]]&gt;AD828,"Yes","No")</f>
        <v>Yes</v>
      </c>
    </row>
    <row r="828" spans="1:26">
      <c r="A828" s="17">
        <v>11358</v>
      </c>
      <c r="B828" s="17">
        <v>3</v>
      </c>
      <c r="C828" s="17">
        <v>4</v>
      </c>
      <c r="D828" s="17" t="s">
        <v>434</v>
      </c>
      <c r="E828" s="17" t="s">
        <v>454</v>
      </c>
      <c r="F828" s="17" t="str">
        <f>TEXT(data[[#This Row],[ShipDate]],"yyyy - mmmm")</f>
        <v>2016 - March</v>
      </c>
      <c r="G828" s="17" t="str">
        <f>data[[#This Row],[OriginCity]] &amp; " - "  &amp; data[[#This Row],[DestinationCity]]</f>
        <v>Appleton - Grand Rapids</v>
      </c>
      <c r="H828" s="17" t="s">
        <v>85</v>
      </c>
      <c r="I828" s="17" t="s">
        <v>29</v>
      </c>
      <c r="J828" s="17">
        <v>4</v>
      </c>
      <c r="K828" s="17" t="s">
        <v>20</v>
      </c>
      <c r="L828" s="17" t="s">
        <v>21</v>
      </c>
      <c r="M828" s="17" t="s">
        <v>200</v>
      </c>
      <c r="N828" s="17">
        <v>1048</v>
      </c>
      <c r="O828" s="17">
        <v>594</v>
      </c>
      <c r="P828" s="26">
        <f>(data[[#This Row],[LoadedMiles]]/data[[#This Row],[TotalMiles]])*100</f>
        <v>56.679389312977101</v>
      </c>
      <c r="Q828" s="25">
        <f>data[[#This Row],[ShippingCost]]/data[[#This Row],[TotalMiles]]</f>
        <v>2.9627862595419847</v>
      </c>
      <c r="R828" s="17">
        <v>3105</v>
      </c>
      <c r="S828" s="25">
        <f>data[[#This Row],[Revenue]]/data[[#This Row],[TotalMiles]]</f>
        <v>0.86259541984732824</v>
      </c>
      <c r="T828" s="26">
        <f>data[[#This Row],[Revenue]]-data[[#This Row],[ShippingCost]]</f>
        <v>-2201</v>
      </c>
      <c r="U828" s="17">
        <v>904</v>
      </c>
      <c r="V828" s="17">
        <v>95</v>
      </c>
      <c r="W828" s="17" t="s">
        <v>25</v>
      </c>
      <c r="X828" s="17">
        <v>9</v>
      </c>
      <c r="Y828" s="17">
        <f>data[[#This Row],[DeliveryDate]]-data[[#This Row],[ShipDate]]</f>
        <v>4</v>
      </c>
      <c r="Z828" s="17" t="str">
        <f>IF(data[[#This Row],[Actual Delivery Days]]&gt;AD829,"Yes","No")</f>
        <v>Yes</v>
      </c>
    </row>
    <row r="829" spans="1:26">
      <c r="A829" s="17">
        <v>11364</v>
      </c>
      <c r="B829" s="17">
        <v>2</v>
      </c>
      <c r="C829" s="17">
        <v>1</v>
      </c>
      <c r="D829" s="17" t="s">
        <v>443</v>
      </c>
      <c r="E829" s="17" t="s">
        <v>118</v>
      </c>
      <c r="F829" s="17" t="str">
        <f>TEXT(data[[#This Row],[ShipDate]],"yyyy - mmmm")</f>
        <v>2016 - August</v>
      </c>
      <c r="G829" s="17" t="str">
        <f>data[[#This Row],[OriginCity]] &amp; " - "  &amp; data[[#This Row],[DestinationCity]]</f>
        <v>Elgin - Cincinnati</v>
      </c>
      <c r="H829" s="17" t="s">
        <v>94</v>
      </c>
      <c r="I829" s="17" t="s">
        <v>31</v>
      </c>
      <c r="J829" s="17">
        <v>4</v>
      </c>
      <c r="K829" s="17" t="s">
        <v>89</v>
      </c>
      <c r="L829" s="17" t="s">
        <v>23</v>
      </c>
      <c r="M829" s="17" t="s">
        <v>38</v>
      </c>
      <c r="N829" s="17">
        <v>232</v>
      </c>
      <c r="O829" s="17">
        <v>232</v>
      </c>
      <c r="P829" s="26">
        <f>(data[[#This Row],[LoadedMiles]]/data[[#This Row],[TotalMiles]])*100</f>
        <v>100</v>
      </c>
      <c r="Q829" s="25">
        <f>data[[#This Row],[ShippingCost]]/data[[#This Row],[TotalMiles]]</f>
        <v>30.344827586206897</v>
      </c>
      <c r="R829" s="17">
        <v>7040</v>
      </c>
      <c r="S829" s="25">
        <f>data[[#This Row],[Revenue]]/data[[#This Row],[TotalMiles]]</f>
        <v>46.099137931034484</v>
      </c>
      <c r="T829" s="26">
        <f>data[[#This Row],[Revenue]]-data[[#This Row],[ShippingCost]]</f>
        <v>3655</v>
      </c>
      <c r="U829" s="17">
        <v>10695</v>
      </c>
      <c r="V829" s="17">
        <v>64</v>
      </c>
      <c r="W829" s="17" t="s">
        <v>25</v>
      </c>
      <c r="X829" s="17">
        <v>2</v>
      </c>
      <c r="Y829" s="17">
        <f>data[[#This Row],[DeliveryDate]]-data[[#This Row],[ShipDate]]</f>
        <v>3</v>
      </c>
      <c r="Z829" s="17" t="str">
        <f>IF(data[[#This Row],[Actual Delivery Days]]&gt;AD830,"Yes","No")</f>
        <v>Yes</v>
      </c>
    </row>
    <row r="830" spans="1:26">
      <c r="A830" s="17">
        <v>11382</v>
      </c>
      <c r="B830" s="17">
        <v>3</v>
      </c>
      <c r="C830" s="17">
        <v>4</v>
      </c>
      <c r="D830" s="17" t="s">
        <v>471</v>
      </c>
      <c r="E830" s="17" t="s">
        <v>166</v>
      </c>
      <c r="F830" s="17" t="str">
        <f>TEXT(data[[#This Row],[ShipDate]],"yyyy - mmmm")</f>
        <v>2016 - January</v>
      </c>
      <c r="G830" s="17" t="str">
        <f>data[[#This Row],[OriginCity]] &amp; " - "  &amp; data[[#This Row],[DestinationCity]]</f>
        <v>Cincinnati - Gary</v>
      </c>
      <c r="H830" s="17" t="s">
        <v>89</v>
      </c>
      <c r="I830" s="17" t="s">
        <v>23</v>
      </c>
      <c r="J830" s="17">
        <v>4</v>
      </c>
      <c r="K830" s="17" t="s">
        <v>57</v>
      </c>
      <c r="L830" s="17" t="s">
        <v>44</v>
      </c>
      <c r="M830" s="17" t="s">
        <v>153</v>
      </c>
      <c r="N830" s="17">
        <v>596</v>
      </c>
      <c r="O830" s="17">
        <v>354</v>
      </c>
      <c r="P830" s="26">
        <f>(data[[#This Row],[LoadedMiles]]/data[[#This Row],[TotalMiles]])*100</f>
        <v>59.395973154362416</v>
      </c>
      <c r="Q830" s="25">
        <f>data[[#This Row],[ShippingCost]]/data[[#This Row],[TotalMiles]]</f>
        <v>11.765100671140939</v>
      </c>
      <c r="R830" s="17">
        <v>7012</v>
      </c>
      <c r="S830" s="25">
        <f>data[[#This Row],[Revenue]]/data[[#This Row],[TotalMiles]]</f>
        <v>9.3557046979865763</v>
      </c>
      <c r="T830" s="26">
        <f>data[[#This Row],[Revenue]]-data[[#This Row],[ShippingCost]]</f>
        <v>-1436</v>
      </c>
      <c r="U830" s="17">
        <v>5576</v>
      </c>
      <c r="V830" s="17">
        <v>69</v>
      </c>
      <c r="W830" s="17" t="s">
        <v>25</v>
      </c>
      <c r="X830" s="17">
        <v>9</v>
      </c>
      <c r="Y830" s="17">
        <f>data[[#This Row],[DeliveryDate]]-data[[#This Row],[ShipDate]]</f>
        <v>4</v>
      </c>
      <c r="Z830" s="17" t="str">
        <f>IF(data[[#This Row],[Actual Delivery Days]]&gt;AD831,"Yes","No")</f>
        <v>Yes</v>
      </c>
    </row>
    <row r="831" spans="1:26">
      <c r="A831" s="17">
        <v>11383</v>
      </c>
      <c r="B831" s="17">
        <v>2</v>
      </c>
      <c r="C831" s="17">
        <v>3</v>
      </c>
      <c r="D831" s="17" t="s">
        <v>472</v>
      </c>
      <c r="E831" s="17" t="s">
        <v>207</v>
      </c>
      <c r="F831" s="17" t="str">
        <f>TEXT(data[[#This Row],[ShipDate]],"yyyy - mmmm")</f>
        <v>2016 - March</v>
      </c>
      <c r="G831" s="17" t="str">
        <f>data[[#This Row],[OriginCity]] &amp; " - "  &amp; data[[#This Row],[DestinationCity]]</f>
        <v>Dayton - Elgin</v>
      </c>
      <c r="H831" s="17" t="s">
        <v>93</v>
      </c>
      <c r="I831" s="17" t="s">
        <v>23</v>
      </c>
      <c r="J831" s="17">
        <v>4</v>
      </c>
      <c r="K831" s="17" t="s">
        <v>94</v>
      </c>
      <c r="L831" s="17" t="s">
        <v>31</v>
      </c>
      <c r="M831" s="17" t="s">
        <v>76</v>
      </c>
      <c r="N831" s="17">
        <v>773</v>
      </c>
      <c r="O831" s="17">
        <v>601</v>
      </c>
      <c r="P831" s="26">
        <f>(data[[#This Row],[LoadedMiles]]/data[[#This Row],[TotalMiles]])*100</f>
        <v>77.7490297542044</v>
      </c>
      <c r="Q831" s="25">
        <f>data[[#This Row],[ShippingCost]]/data[[#This Row],[TotalMiles]]</f>
        <v>6.623544631306598</v>
      </c>
      <c r="R831" s="17">
        <v>5120</v>
      </c>
      <c r="S831" s="25">
        <f>data[[#This Row],[Revenue]]/data[[#This Row],[TotalMiles]]</f>
        <v>7.754204398447607</v>
      </c>
      <c r="T831" s="26">
        <f>data[[#This Row],[Revenue]]-data[[#This Row],[ShippingCost]]</f>
        <v>874</v>
      </c>
      <c r="U831" s="17">
        <v>5994</v>
      </c>
      <c r="V831" s="17">
        <v>68</v>
      </c>
      <c r="W831" s="17" t="s">
        <v>25</v>
      </c>
      <c r="X831" s="17">
        <v>9</v>
      </c>
      <c r="Y831" s="17">
        <f>data[[#This Row],[DeliveryDate]]-data[[#This Row],[ShipDate]]</f>
        <v>2</v>
      </c>
      <c r="Z831" s="17" t="str">
        <f>IF(data[[#This Row],[Actual Delivery Days]]&gt;AD832,"Yes","No")</f>
        <v>Yes</v>
      </c>
    </row>
    <row r="832" spans="1:26">
      <c r="A832" s="17">
        <v>11395</v>
      </c>
      <c r="B832" s="17">
        <v>2</v>
      </c>
      <c r="C832" s="17">
        <v>3</v>
      </c>
      <c r="D832" s="17" t="s">
        <v>490</v>
      </c>
      <c r="E832" s="17" t="s">
        <v>608</v>
      </c>
      <c r="F832" s="17" t="str">
        <f>TEXT(data[[#This Row],[ShipDate]],"yyyy - mmmm")</f>
        <v>2016 - July</v>
      </c>
      <c r="G832" s="17" t="str">
        <f>data[[#This Row],[OriginCity]] &amp; " - "  &amp; data[[#This Row],[DestinationCity]]</f>
        <v>Gary - Milwaukee</v>
      </c>
      <c r="H832" s="17" t="s">
        <v>57</v>
      </c>
      <c r="I832" s="17" t="s">
        <v>44</v>
      </c>
      <c r="J832" s="17">
        <v>4</v>
      </c>
      <c r="K832" s="17" t="s">
        <v>28</v>
      </c>
      <c r="L832" s="17" t="s">
        <v>29</v>
      </c>
      <c r="M832" s="17" t="s">
        <v>614</v>
      </c>
      <c r="N832" s="17">
        <v>525</v>
      </c>
      <c r="O832" s="17">
        <v>525</v>
      </c>
      <c r="P832" s="26">
        <f>(data[[#This Row],[LoadedMiles]]/data[[#This Row],[TotalMiles]])*100</f>
        <v>100</v>
      </c>
      <c r="Q832" s="25">
        <f>data[[#This Row],[ShippingCost]]/data[[#This Row],[TotalMiles]]</f>
        <v>12.291428571428572</v>
      </c>
      <c r="R832" s="17">
        <v>6453</v>
      </c>
      <c r="S832" s="25">
        <f>data[[#This Row],[Revenue]]/data[[#This Row],[TotalMiles]]</f>
        <v>13.8</v>
      </c>
      <c r="T832" s="26">
        <f>data[[#This Row],[Revenue]]-data[[#This Row],[ShippingCost]]</f>
        <v>792</v>
      </c>
      <c r="U832" s="17">
        <v>7245</v>
      </c>
      <c r="V832" s="17">
        <v>89</v>
      </c>
      <c r="W832" s="17" t="s">
        <v>25</v>
      </c>
      <c r="X832" s="17">
        <v>7</v>
      </c>
      <c r="Y832" s="17">
        <f>data[[#This Row],[DeliveryDate]]-data[[#This Row],[ShipDate]]</f>
        <v>4</v>
      </c>
      <c r="Z832" s="17" t="str">
        <f>IF(data[[#This Row],[Actual Delivery Days]]&gt;AD833,"Yes","No")</f>
        <v>Yes</v>
      </c>
    </row>
    <row r="833" spans="1:26">
      <c r="A833" s="17">
        <v>11400</v>
      </c>
      <c r="B833" s="17">
        <v>2</v>
      </c>
      <c r="C833" s="17">
        <v>5</v>
      </c>
      <c r="D833" s="17" t="s">
        <v>496</v>
      </c>
      <c r="E833" s="17" t="s">
        <v>542</v>
      </c>
      <c r="F833" s="17" t="str">
        <f>TEXT(data[[#This Row],[ShipDate]],"yyyy - mmmm")</f>
        <v>2016 - June</v>
      </c>
      <c r="G833" s="17" t="str">
        <f>data[[#This Row],[OriginCity]] &amp; " - "  &amp; data[[#This Row],[DestinationCity]]</f>
        <v>Naperville - Indianapolis</v>
      </c>
      <c r="H833" s="17" t="s">
        <v>48</v>
      </c>
      <c r="I833" s="17" t="s">
        <v>31</v>
      </c>
      <c r="J833" s="17">
        <v>4</v>
      </c>
      <c r="K833" s="17" t="s">
        <v>43</v>
      </c>
      <c r="L833" s="17" t="s">
        <v>44</v>
      </c>
      <c r="M833" s="17" t="s">
        <v>319</v>
      </c>
      <c r="N833" s="17">
        <v>1018</v>
      </c>
      <c r="O833" s="17">
        <v>229</v>
      </c>
      <c r="P833" s="26">
        <f>(data[[#This Row],[LoadedMiles]]/data[[#This Row],[TotalMiles]])*100</f>
        <v>22.495088408644399</v>
      </c>
      <c r="Q833" s="25">
        <f>data[[#This Row],[ShippingCost]]/data[[#This Row],[TotalMiles]]</f>
        <v>7.9823182711198433</v>
      </c>
      <c r="R833" s="17">
        <v>8126</v>
      </c>
      <c r="S833" s="25">
        <f>data[[#This Row],[Revenue]]/data[[#This Row],[TotalMiles]]</f>
        <v>8.2612966601178783</v>
      </c>
      <c r="T833" s="26">
        <f>data[[#This Row],[Revenue]]-data[[#This Row],[ShippingCost]]</f>
        <v>284</v>
      </c>
      <c r="U833" s="17">
        <v>8410</v>
      </c>
      <c r="V833" s="17">
        <v>67</v>
      </c>
      <c r="W833" s="17" t="s">
        <v>25</v>
      </c>
      <c r="X833" s="17">
        <v>7</v>
      </c>
      <c r="Y833" s="17">
        <f>data[[#This Row],[DeliveryDate]]-data[[#This Row],[ShipDate]]</f>
        <v>1</v>
      </c>
      <c r="Z833" s="17" t="str">
        <f>IF(data[[#This Row],[Actual Delivery Days]]&gt;AD834,"Yes","No")</f>
        <v>Yes</v>
      </c>
    </row>
    <row r="834" spans="1:26">
      <c r="A834" s="17">
        <v>11429</v>
      </c>
      <c r="B834" s="17">
        <v>3</v>
      </c>
      <c r="C834" s="17">
        <v>5</v>
      </c>
      <c r="D834" s="17" t="s">
        <v>539</v>
      </c>
      <c r="E834" s="17" t="s">
        <v>246</v>
      </c>
      <c r="F834" s="17" t="str">
        <f>TEXT(data[[#This Row],[ShipDate]],"yyyy - mmmm")</f>
        <v>2016 - January</v>
      </c>
      <c r="G834" s="17" t="str">
        <f>data[[#This Row],[OriginCity]] &amp; " - "  &amp; data[[#This Row],[DestinationCity]]</f>
        <v>Skokie - Chicago</v>
      </c>
      <c r="H834" s="17" t="s">
        <v>35</v>
      </c>
      <c r="I834" s="17" t="s">
        <v>31</v>
      </c>
      <c r="J834" s="17">
        <v>4</v>
      </c>
      <c r="K834" s="17" t="s">
        <v>39</v>
      </c>
      <c r="L834" s="17" t="s">
        <v>31</v>
      </c>
      <c r="M834" s="17" t="s">
        <v>327</v>
      </c>
      <c r="N834" s="17">
        <v>316</v>
      </c>
      <c r="O834" s="17">
        <v>316</v>
      </c>
      <c r="P834" s="26">
        <f>(data[[#This Row],[LoadedMiles]]/data[[#This Row],[TotalMiles]])*100</f>
        <v>100</v>
      </c>
      <c r="Q834" s="25">
        <f>data[[#This Row],[ShippingCost]]/data[[#This Row],[TotalMiles]]</f>
        <v>12.572784810126583</v>
      </c>
      <c r="R834" s="17">
        <v>3973</v>
      </c>
      <c r="S834" s="25">
        <f>data[[#This Row],[Revenue]]/data[[#This Row],[TotalMiles]]</f>
        <v>15.693037974683545</v>
      </c>
      <c r="T834" s="26">
        <f>data[[#This Row],[Revenue]]-data[[#This Row],[ShippingCost]]</f>
        <v>986</v>
      </c>
      <c r="U834" s="17">
        <v>4959</v>
      </c>
      <c r="V834" s="17">
        <v>68</v>
      </c>
      <c r="W834" s="17" t="s">
        <v>25</v>
      </c>
      <c r="X834" s="17">
        <v>7</v>
      </c>
      <c r="Y834" s="17">
        <f>data[[#This Row],[DeliveryDate]]-data[[#This Row],[ShipDate]]</f>
        <v>4</v>
      </c>
      <c r="Z834" s="17" t="str">
        <f>IF(data[[#This Row],[Actual Delivery Days]]&gt;AD835,"Yes","No")</f>
        <v>Yes</v>
      </c>
    </row>
    <row r="835" spans="1:26">
      <c r="A835" s="17">
        <v>11431</v>
      </c>
      <c r="B835" s="17">
        <v>3</v>
      </c>
      <c r="C835" s="17">
        <v>2</v>
      </c>
      <c r="D835" s="17" t="s">
        <v>543</v>
      </c>
      <c r="E835" s="17" t="s">
        <v>567</v>
      </c>
      <c r="F835" s="17" t="str">
        <f>TEXT(data[[#This Row],[ShipDate]],"yyyy - mmmm")</f>
        <v>2016 - February</v>
      </c>
      <c r="G835" s="17" t="str">
        <f>data[[#This Row],[OriginCity]] &amp; " - "  &amp; data[[#This Row],[DestinationCity]]</f>
        <v>Davenport - Appleton</v>
      </c>
      <c r="H835" s="17" t="s">
        <v>105</v>
      </c>
      <c r="I835" s="17" t="s">
        <v>106</v>
      </c>
      <c r="J835" s="17">
        <v>4</v>
      </c>
      <c r="K835" s="17" t="s">
        <v>85</v>
      </c>
      <c r="L835" s="17" t="s">
        <v>29</v>
      </c>
      <c r="M835" s="17" t="s">
        <v>460</v>
      </c>
      <c r="N835" s="17">
        <v>291</v>
      </c>
      <c r="O835" s="17">
        <v>291</v>
      </c>
      <c r="P835" s="26">
        <f>(data[[#This Row],[LoadedMiles]]/data[[#This Row],[TotalMiles]])*100</f>
        <v>100</v>
      </c>
      <c r="Q835" s="25">
        <f>data[[#This Row],[ShippingCost]]/data[[#This Row],[TotalMiles]]</f>
        <v>19.934707903780069</v>
      </c>
      <c r="R835" s="17">
        <v>5801</v>
      </c>
      <c r="S835" s="25">
        <f>data[[#This Row],[Revenue]]/data[[#This Row],[TotalMiles]]</f>
        <v>20.398625429553263</v>
      </c>
      <c r="T835" s="26">
        <f>data[[#This Row],[Revenue]]-data[[#This Row],[ShippingCost]]</f>
        <v>135</v>
      </c>
      <c r="U835" s="17">
        <v>5936</v>
      </c>
      <c r="V835" s="17">
        <v>59</v>
      </c>
      <c r="W835" s="17" t="s">
        <v>25</v>
      </c>
      <c r="X835" s="17">
        <v>6</v>
      </c>
      <c r="Y835" s="17">
        <f>data[[#This Row],[DeliveryDate]]-data[[#This Row],[ShipDate]]</f>
        <v>4</v>
      </c>
      <c r="Z835" s="17" t="str">
        <f>IF(data[[#This Row],[Actual Delivery Days]]&gt;AD836,"Yes","No")</f>
        <v>Yes</v>
      </c>
    </row>
    <row r="836" spans="1:26">
      <c r="A836" s="17">
        <v>11432</v>
      </c>
      <c r="B836" s="17">
        <v>3</v>
      </c>
      <c r="C836" s="17">
        <v>1</v>
      </c>
      <c r="D836" s="17" t="s">
        <v>544</v>
      </c>
      <c r="E836" s="17" t="s">
        <v>531</v>
      </c>
      <c r="F836" s="17" t="str">
        <f>TEXT(data[[#This Row],[ShipDate]],"yyyy - mmmm")</f>
        <v>2016 - January</v>
      </c>
      <c r="G836" s="17" t="str">
        <f>data[[#This Row],[OriginCity]] &amp; " - "  &amp; data[[#This Row],[DestinationCity]]</f>
        <v>Grand Rapids - Toledo</v>
      </c>
      <c r="H836" s="17" t="s">
        <v>20</v>
      </c>
      <c r="I836" s="17" t="s">
        <v>21</v>
      </c>
      <c r="J836" s="17">
        <v>4</v>
      </c>
      <c r="K836" s="17" t="s">
        <v>22</v>
      </c>
      <c r="L836" s="17" t="s">
        <v>23</v>
      </c>
      <c r="M836" s="17" t="s">
        <v>263</v>
      </c>
      <c r="N836" s="17">
        <v>505</v>
      </c>
      <c r="O836" s="17">
        <v>346</v>
      </c>
      <c r="P836" s="26">
        <f>(data[[#This Row],[LoadedMiles]]/data[[#This Row],[TotalMiles]])*100</f>
        <v>68.514851485148526</v>
      </c>
      <c r="Q836" s="25">
        <f>data[[#This Row],[ShippingCost]]/data[[#This Row],[TotalMiles]]</f>
        <v>1.0257425742574258</v>
      </c>
      <c r="R836" s="17">
        <v>518</v>
      </c>
      <c r="S836" s="25">
        <f>data[[#This Row],[Revenue]]/data[[#This Row],[TotalMiles]]</f>
        <v>10.895049504950496</v>
      </c>
      <c r="T836" s="26">
        <f>data[[#This Row],[Revenue]]-data[[#This Row],[ShippingCost]]</f>
        <v>4984</v>
      </c>
      <c r="U836" s="17">
        <v>5502</v>
      </c>
      <c r="V836" s="17">
        <v>95</v>
      </c>
      <c r="W836" s="17" t="s">
        <v>25</v>
      </c>
      <c r="X836" s="17">
        <v>10</v>
      </c>
      <c r="Y836" s="17">
        <f>data[[#This Row],[DeliveryDate]]-data[[#This Row],[ShipDate]]</f>
        <v>4</v>
      </c>
      <c r="Z836" s="17" t="str">
        <f>IF(data[[#This Row],[Actual Delivery Days]]&gt;AD837,"Yes","No")</f>
        <v>Yes</v>
      </c>
    </row>
    <row r="837" spans="1:26">
      <c r="A837" s="17">
        <v>11433</v>
      </c>
      <c r="B837" s="17">
        <v>2</v>
      </c>
      <c r="C837" s="17">
        <v>5</v>
      </c>
      <c r="D837" s="17" t="s">
        <v>545</v>
      </c>
      <c r="E837" s="17" t="s">
        <v>100</v>
      </c>
      <c r="F837" s="17" t="str">
        <f>TEXT(data[[#This Row],[ShipDate]],"yyyy - mmmm")</f>
        <v>2016 - April</v>
      </c>
      <c r="G837" s="17" t="str">
        <f>data[[#This Row],[OriginCity]] &amp; " - "  &amp; data[[#This Row],[DestinationCity]]</f>
        <v>Milwaukee - Springfield</v>
      </c>
      <c r="H837" s="17" t="s">
        <v>28</v>
      </c>
      <c r="I837" s="17" t="s">
        <v>29</v>
      </c>
      <c r="J837" s="17">
        <v>4</v>
      </c>
      <c r="K837" s="17" t="s">
        <v>30</v>
      </c>
      <c r="L837" s="17" t="s">
        <v>31</v>
      </c>
      <c r="M837" s="17" t="s">
        <v>171</v>
      </c>
      <c r="N837" s="17">
        <v>833</v>
      </c>
      <c r="O837" s="17">
        <v>461</v>
      </c>
      <c r="P837" s="26">
        <f>(data[[#This Row],[LoadedMiles]]/data[[#This Row],[TotalMiles]])*100</f>
        <v>55.342136854741895</v>
      </c>
      <c r="Q837" s="25">
        <f>data[[#This Row],[ShippingCost]]/data[[#This Row],[TotalMiles]]</f>
        <v>2.1884753901560625</v>
      </c>
      <c r="R837" s="17">
        <v>1823</v>
      </c>
      <c r="S837" s="25">
        <f>data[[#This Row],[Revenue]]/data[[#This Row],[TotalMiles]]</f>
        <v>2.9927971188475389</v>
      </c>
      <c r="T837" s="26">
        <f>data[[#This Row],[Revenue]]-data[[#This Row],[ShippingCost]]</f>
        <v>670</v>
      </c>
      <c r="U837" s="17">
        <v>2493</v>
      </c>
      <c r="V837" s="17">
        <v>77</v>
      </c>
      <c r="W837" s="17" t="s">
        <v>25</v>
      </c>
      <c r="X837" s="17">
        <v>3</v>
      </c>
      <c r="Y837" s="17">
        <f>data[[#This Row],[DeliveryDate]]-data[[#This Row],[ShipDate]]</f>
        <v>4</v>
      </c>
      <c r="Z837" s="17" t="str">
        <f>IF(data[[#This Row],[Actual Delivery Days]]&gt;AD838,"Yes","No")</f>
        <v>Yes</v>
      </c>
    </row>
    <row r="838" spans="1:26">
      <c r="A838" s="17">
        <v>11434</v>
      </c>
      <c r="B838" s="17">
        <v>2</v>
      </c>
      <c r="C838" s="17">
        <v>5</v>
      </c>
      <c r="D838" s="17" t="s">
        <v>546</v>
      </c>
      <c r="E838" s="17" t="s">
        <v>535</v>
      </c>
      <c r="F838" s="17" t="str">
        <f>TEXT(data[[#This Row],[ShipDate]],"yyyy - mmmm")</f>
        <v>2016 - August</v>
      </c>
      <c r="G838" s="17" t="str">
        <f>data[[#This Row],[OriginCity]] &amp; " - "  &amp; data[[#This Row],[DestinationCity]]</f>
        <v>Springfield - Skokie</v>
      </c>
      <c r="H838" s="17" t="s">
        <v>30</v>
      </c>
      <c r="I838" s="17" t="s">
        <v>31</v>
      </c>
      <c r="J838" s="17">
        <v>4</v>
      </c>
      <c r="K838" s="17" t="s">
        <v>35</v>
      </c>
      <c r="L838" s="17" t="s">
        <v>31</v>
      </c>
      <c r="M838" s="17" t="s">
        <v>415</v>
      </c>
      <c r="N838" s="17">
        <v>946</v>
      </c>
      <c r="O838" s="17">
        <v>461</v>
      </c>
      <c r="P838" s="26">
        <f>(data[[#This Row],[LoadedMiles]]/data[[#This Row],[TotalMiles]])*100</f>
        <v>48.731501057082454</v>
      </c>
      <c r="Q838" s="25">
        <f>data[[#This Row],[ShippingCost]]/data[[#This Row],[TotalMiles]]</f>
        <v>0.34249471458773784</v>
      </c>
      <c r="R838" s="17">
        <v>324</v>
      </c>
      <c r="S838" s="25">
        <f>data[[#This Row],[Revenue]]/data[[#This Row],[TotalMiles]]</f>
        <v>0.85306553911205074</v>
      </c>
      <c r="T838" s="26">
        <f>data[[#This Row],[Revenue]]-data[[#This Row],[ShippingCost]]</f>
        <v>483</v>
      </c>
      <c r="U838" s="17">
        <v>807</v>
      </c>
      <c r="V838" s="17">
        <v>96</v>
      </c>
      <c r="W838" s="17" t="s">
        <v>25</v>
      </c>
      <c r="X838" s="17">
        <v>9</v>
      </c>
      <c r="Y838" s="17">
        <f>data[[#This Row],[DeliveryDate]]-data[[#This Row],[ShipDate]]</f>
        <v>4</v>
      </c>
      <c r="Z838" s="17" t="str">
        <f>IF(data[[#This Row],[Actual Delivery Days]]&gt;AD839,"Yes","No")</f>
        <v>Yes</v>
      </c>
    </row>
    <row r="839" spans="1:26">
      <c r="A839" s="17">
        <v>11436</v>
      </c>
      <c r="B839" s="17">
        <v>2</v>
      </c>
      <c r="C839" s="17">
        <v>3</v>
      </c>
      <c r="D839" s="17" t="s">
        <v>548</v>
      </c>
      <c r="E839" s="17" t="s">
        <v>34</v>
      </c>
      <c r="F839" s="17" t="str">
        <f>TEXT(data[[#This Row],[ShipDate]],"yyyy - mmmm")</f>
        <v>2016 - August</v>
      </c>
      <c r="G839" s="17" t="str">
        <f>data[[#This Row],[OriginCity]] &amp; " - "  &amp; data[[#This Row],[DestinationCity]]</f>
        <v>Indianapolis - Northbrook</v>
      </c>
      <c r="H839" s="17" t="s">
        <v>43</v>
      </c>
      <c r="I839" s="17" t="s">
        <v>44</v>
      </c>
      <c r="J839" s="17">
        <v>4</v>
      </c>
      <c r="K839" s="17" t="s">
        <v>45</v>
      </c>
      <c r="L839" s="17" t="s">
        <v>31</v>
      </c>
      <c r="M839" s="17" t="s">
        <v>240</v>
      </c>
      <c r="N839" s="17">
        <v>607</v>
      </c>
      <c r="O839" s="17">
        <v>495</v>
      </c>
      <c r="P839" s="26">
        <f>(data[[#This Row],[LoadedMiles]]/data[[#This Row],[TotalMiles]])*100</f>
        <v>81.548599670510711</v>
      </c>
      <c r="Q839" s="25">
        <f>data[[#This Row],[ShippingCost]]/data[[#This Row],[TotalMiles]]</f>
        <v>3.069192751235585</v>
      </c>
      <c r="R839" s="17">
        <v>1863</v>
      </c>
      <c r="S839" s="25">
        <f>data[[#This Row],[Revenue]]/data[[#This Row],[TotalMiles]]</f>
        <v>4.6161449752883028</v>
      </c>
      <c r="T839" s="26">
        <f>data[[#This Row],[Revenue]]-data[[#This Row],[ShippingCost]]</f>
        <v>939</v>
      </c>
      <c r="U839" s="17">
        <v>2802</v>
      </c>
      <c r="V839" s="17">
        <v>59</v>
      </c>
      <c r="W839" s="17" t="s">
        <v>25</v>
      </c>
      <c r="X839" s="17">
        <v>1</v>
      </c>
      <c r="Y839" s="17">
        <f>data[[#This Row],[DeliveryDate]]-data[[#This Row],[ShipDate]]</f>
        <v>2</v>
      </c>
      <c r="Z839" s="17" t="str">
        <f>IF(data[[#This Row],[Actual Delivery Days]]&gt;AD840,"Yes","No")</f>
        <v>Yes</v>
      </c>
    </row>
    <row r="840" spans="1:26">
      <c r="A840" s="17">
        <v>11462</v>
      </c>
      <c r="B840" s="17">
        <v>3</v>
      </c>
      <c r="C840" s="17">
        <v>1</v>
      </c>
      <c r="D840" s="17" t="s">
        <v>579</v>
      </c>
      <c r="E840" s="17" t="s">
        <v>171</v>
      </c>
      <c r="F840" s="17" t="str">
        <f>TEXT(data[[#This Row],[ShipDate]],"yyyy - mmmm")</f>
        <v>2016 - April</v>
      </c>
      <c r="G840" s="17" t="str">
        <f>data[[#This Row],[OriginCity]] &amp; " - "  &amp; data[[#This Row],[DestinationCity]]</f>
        <v>Joliet - Madison</v>
      </c>
      <c r="H840" s="17" t="s">
        <v>61</v>
      </c>
      <c r="I840" s="17" t="s">
        <v>31</v>
      </c>
      <c r="J840" s="17">
        <v>4</v>
      </c>
      <c r="K840" s="17" t="s">
        <v>62</v>
      </c>
      <c r="L840" s="17" t="s">
        <v>29</v>
      </c>
      <c r="M840" s="17" t="s">
        <v>114</v>
      </c>
      <c r="N840" s="17">
        <v>971</v>
      </c>
      <c r="O840" s="17">
        <v>795</v>
      </c>
      <c r="P840" s="26">
        <f>(data[[#This Row],[LoadedMiles]]/data[[#This Row],[TotalMiles]])*100</f>
        <v>81.87435633367663</v>
      </c>
      <c r="Q840" s="25">
        <f>data[[#This Row],[ShippingCost]]/data[[#This Row],[TotalMiles]]</f>
        <v>5.2966014418125642</v>
      </c>
      <c r="R840" s="17">
        <v>5143</v>
      </c>
      <c r="S840" s="25">
        <f>data[[#This Row],[Revenue]]/data[[#This Row],[TotalMiles]]</f>
        <v>9.890834191555097</v>
      </c>
      <c r="T840" s="26">
        <f>data[[#This Row],[Revenue]]-data[[#This Row],[ShippingCost]]</f>
        <v>4461</v>
      </c>
      <c r="U840" s="17">
        <v>9604</v>
      </c>
      <c r="V840" s="17">
        <v>60</v>
      </c>
      <c r="W840" s="17" t="s">
        <v>25</v>
      </c>
      <c r="X840" s="17">
        <v>6</v>
      </c>
      <c r="Y840" s="17">
        <f>data[[#This Row],[DeliveryDate]]-data[[#This Row],[ShipDate]]</f>
        <v>4</v>
      </c>
      <c r="Z840" s="17" t="str">
        <f>IF(data[[#This Row],[Actual Delivery Days]]&gt;AD841,"Yes","No")</f>
        <v>Yes</v>
      </c>
    </row>
    <row r="841" spans="1:26">
      <c r="A841" s="17">
        <v>11480</v>
      </c>
      <c r="B841" s="17">
        <v>3</v>
      </c>
      <c r="C841" s="17">
        <v>6</v>
      </c>
      <c r="D841" s="17" t="s">
        <v>602</v>
      </c>
      <c r="E841" s="17" t="s">
        <v>499</v>
      </c>
      <c r="F841" s="17" t="str">
        <f>TEXT(data[[#This Row],[ShipDate]],"yyyy - mmmm")</f>
        <v>2016 - July</v>
      </c>
      <c r="G841" s="17" t="str">
        <f>data[[#This Row],[OriginCity]] &amp; " - "  &amp; data[[#This Row],[DestinationCity]]</f>
        <v>Indianapolis - Northbrook</v>
      </c>
      <c r="H841" s="17" t="s">
        <v>43</v>
      </c>
      <c r="I841" s="17" t="s">
        <v>44</v>
      </c>
      <c r="J841" s="17">
        <v>4</v>
      </c>
      <c r="K841" s="17" t="s">
        <v>45</v>
      </c>
      <c r="L841" s="17" t="s">
        <v>31</v>
      </c>
      <c r="M841" s="17" t="s">
        <v>622</v>
      </c>
      <c r="N841" s="17">
        <v>1191</v>
      </c>
      <c r="O841" s="17">
        <v>540</v>
      </c>
      <c r="P841" s="26">
        <f>(data[[#This Row],[LoadedMiles]]/data[[#This Row],[TotalMiles]])*100</f>
        <v>45.340050377833748</v>
      </c>
      <c r="Q841" s="25">
        <f>data[[#This Row],[ShippingCost]]/data[[#This Row],[TotalMiles]]</f>
        <v>2.4450041981528128</v>
      </c>
      <c r="R841" s="17">
        <v>2912</v>
      </c>
      <c r="S841" s="25">
        <f>data[[#This Row],[Revenue]]/data[[#This Row],[TotalMiles]]</f>
        <v>3.0696893366918556</v>
      </c>
      <c r="T841" s="26">
        <f>data[[#This Row],[Revenue]]-data[[#This Row],[ShippingCost]]</f>
        <v>744</v>
      </c>
      <c r="U841" s="17">
        <v>3656</v>
      </c>
      <c r="V841" s="17">
        <v>51</v>
      </c>
      <c r="W841" s="17" t="s">
        <v>25</v>
      </c>
      <c r="X841" s="17">
        <v>1</v>
      </c>
      <c r="Y841" s="17">
        <f>data[[#This Row],[DeliveryDate]]-data[[#This Row],[ShipDate]]</f>
        <v>4</v>
      </c>
      <c r="Z841" s="17" t="str">
        <f>IF(data[[#This Row],[Actual Delivery Days]]&gt;AD842,"Yes","No")</f>
        <v>Yes</v>
      </c>
    </row>
    <row r="842" spans="1:26">
      <c r="A842" s="17">
        <v>11481</v>
      </c>
      <c r="B842" s="17">
        <v>2</v>
      </c>
      <c r="C842" s="17">
        <v>4</v>
      </c>
      <c r="D842" s="17" t="s">
        <v>603</v>
      </c>
      <c r="E842" s="17" t="s">
        <v>34</v>
      </c>
      <c r="F842" s="17" t="str">
        <f>TEXT(data[[#This Row],[ShipDate]],"yyyy - mmmm")</f>
        <v>2016 - August</v>
      </c>
      <c r="G842" s="17" t="str">
        <f>data[[#This Row],[OriginCity]] &amp; " - "  &amp; data[[#This Row],[DestinationCity]]</f>
        <v>Northbrook - Naperville</v>
      </c>
      <c r="H842" s="17" t="s">
        <v>45</v>
      </c>
      <c r="I842" s="17" t="s">
        <v>31</v>
      </c>
      <c r="J842" s="17">
        <v>4</v>
      </c>
      <c r="K842" s="17" t="s">
        <v>48</v>
      </c>
      <c r="L842" s="17" t="s">
        <v>31</v>
      </c>
      <c r="M842" s="17" t="s">
        <v>339</v>
      </c>
      <c r="N842" s="17">
        <v>975</v>
      </c>
      <c r="O842" s="17">
        <v>760</v>
      </c>
      <c r="P842" s="26">
        <f>(data[[#This Row],[LoadedMiles]]/data[[#This Row],[TotalMiles]])*100</f>
        <v>77.948717948717956</v>
      </c>
      <c r="Q842" s="25">
        <f>data[[#This Row],[ShippingCost]]/data[[#This Row],[TotalMiles]]</f>
        <v>4.8984615384615386</v>
      </c>
      <c r="R842" s="17">
        <v>4776</v>
      </c>
      <c r="S842" s="25">
        <f>data[[#This Row],[Revenue]]/data[[#This Row],[TotalMiles]]</f>
        <v>2.9651282051282051</v>
      </c>
      <c r="T842" s="26">
        <f>data[[#This Row],[Revenue]]-data[[#This Row],[ShippingCost]]</f>
        <v>-1885</v>
      </c>
      <c r="U842" s="17">
        <v>2891</v>
      </c>
      <c r="V842" s="17">
        <v>61</v>
      </c>
      <c r="W842" s="17" t="s">
        <v>25</v>
      </c>
      <c r="X842" s="17">
        <v>7</v>
      </c>
      <c r="Y842" s="17">
        <f>data[[#This Row],[DeliveryDate]]-data[[#This Row],[ShipDate]]</f>
        <v>4</v>
      </c>
      <c r="Z842" s="17" t="str">
        <f>IF(data[[#This Row],[Actual Delivery Days]]&gt;AD843,"Yes","No")</f>
        <v>Yes</v>
      </c>
    </row>
    <row r="843" spans="1:26">
      <c r="A843" s="17">
        <v>11484</v>
      </c>
      <c r="B843" s="17">
        <v>2</v>
      </c>
      <c r="C843" s="17">
        <v>4</v>
      </c>
      <c r="D843" s="17" t="s">
        <v>18</v>
      </c>
      <c r="E843" s="17" t="s">
        <v>111</v>
      </c>
      <c r="F843" s="17" t="str">
        <f>TEXT(data[[#This Row],[ShipDate]],"yyyy - mmmm")</f>
        <v>2016 - January</v>
      </c>
      <c r="G843" s="17" t="str">
        <f>data[[#This Row],[OriginCity]] &amp; " - "  &amp; data[[#This Row],[DestinationCity]]</f>
        <v>Joliet - Madison</v>
      </c>
      <c r="H843" s="17" t="s">
        <v>61</v>
      </c>
      <c r="I843" s="17" t="s">
        <v>31</v>
      </c>
      <c r="J843" s="17">
        <v>4</v>
      </c>
      <c r="K843" s="17" t="s">
        <v>62</v>
      </c>
      <c r="L843" s="17" t="s">
        <v>29</v>
      </c>
      <c r="M843" s="17" t="s">
        <v>112</v>
      </c>
      <c r="N843" s="17">
        <v>803</v>
      </c>
      <c r="O843" s="17">
        <v>707</v>
      </c>
      <c r="P843" s="26">
        <f>(data[[#This Row],[LoadedMiles]]/data[[#This Row],[TotalMiles]])*100</f>
        <v>88.044831880448314</v>
      </c>
      <c r="Q843" s="25">
        <f>data[[#This Row],[ShippingCost]]/data[[#This Row],[TotalMiles]]</f>
        <v>8.7621419676214192</v>
      </c>
      <c r="R843" s="17">
        <v>7036</v>
      </c>
      <c r="S843" s="25">
        <f>data[[#This Row],[Revenue]]/data[[#This Row],[TotalMiles]]</f>
        <v>6.0535491905354917</v>
      </c>
      <c r="T843" s="26">
        <f>data[[#This Row],[Revenue]]-data[[#This Row],[ShippingCost]]</f>
        <v>-2175</v>
      </c>
      <c r="U843" s="17">
        <v>4861</v>
      </c>
      <c r="V843" s="17">
        <v>52</v>
      </c>
      <c r="W843" s="17" t="s">
        <v>25</v>
      </c>
      <c r="X843" s="17">
        <v>2</v>
      </c>
      <c r="Y843" s="17">
        <f>data[[#This Row],[DeliveryDate]]-data[[#This Row],[ShipDate]]</f>
        <v>2</v>
      </c>
      <c r="Z843" s="17" t="str">
        <f>IF(data[[#This Row],[Actual Delivery Days]]&gt;AD844,"Yes","No")</f>
        <v>Yes</v>
      </c>
    </row>
    <row r="844" spans="1:26">
      <c r="A844" s="17">
        <v>11489</v>
      </c>
      <c r="B844" s="17">
        <v>3</v>
      </c>
      <c r="C844" s="17">
        <v>2</v>
      </c>
      <c r="D844" s="17" t="s">
        <v>46</v>
      </c>
      <c r="E844" s="17" t="s">
        <v>56</v>
      </c>
      <c r="F844" s="17" t="str">
        <f>TEXT(data[[#This Row],[ShipDate]],"yyyy - mmmm")</f>
        <v>2016 - May</v>
      </c>
      <c r="G844" s="17" t="str">
        <f>data[[#This Row],[OriginCity]] &amp; " - "  &amp; data[[#This Row],[DestinationCity]]</f>
        <v>Rockford - Green Bay</v>
      </c>
      <c r="H844" s="17" t="s">
        <v>40</v>
      </c>
      <c r="I844" s="17" t="s">
        <v>31</v>
      </c>
      <c r="J844" s="17">
        <v>4</v>
      </c>
      <c r="K844" s="17" t="s">
        <v>75</v>
      </c>
      <c r="L844" s="17" t="s">
        <v>29</v>
      </c>
      <c r="M844" s="17" t="s">
        <v>58</v>
      </c>
      <c r="N844" s="17">
        <v>991</v>
      </c>
      <c r="O844" s="17">
        <v>684</v>
      </c>
      <c r="P844" s="26">
        <f>(data[[#This Row],[LoadedMiles]]/data[[#This Row],[TotalMiles]])*100</f>
        <v>69.021190716448032</v>
      </c>
      <c r="Q844" s="25">
        <f>data[[#This Row],[ShippingCost]]/data[[#This Row],[TotalMiles]]</f>
        <v>1.2048435923309788</v>
      </c>
      <c r="R844" s="17">
        <v>1194</v>
      </c>
      <c r="S844" s="25">
        <f>data[[#This Row],[Revenue]]/data[[#This Row],[TotalMiles]]</f>
        <v>1.77598385469223</v>
      </c>
      <c r="T844" s="26">
        <f>data[[#This Row],[Revenue]]-data[[#This Row],[ShippingCost]]</f>
        <v>566</v>
      </c>
      <c r="U844" s="17">
        <v>1760</v>
      </c>
      <c r="V844" s="17">
        <v>57</v>
      </c>
      <c r="W844" s="17" t="s">
        <v>25</v>
      </c>
      <c r="X844" s="17">
        <v>1</v>
      </c>
      <c r="Y844" s="17">
        <f>data[[#This Row],[DeliveryDate]]-data[[#This Row],[ShipDate]]</f>
        <v>4</v>
      </c>
      <c r="Z844" s="17" t="str">
        <f>IF(data[[#This Row],[Actual Delivery Days]]&gt;AD845,"Yes","No")</f>
        <v>Yes</v>
      </c>
    </row>
    <row r="845" spans="1:26">
      <c r="A845" s="17">
        <v>11505</v>
      </c>
      <c r="B845" s="17">
        <v>3</v>
      </c>
      <c r="C845" s="17">
        <v>5</v>
      </c>
      <c r="D845" s="17" t="s">
        <v>115</v>
      </c>
      <c r="E845" s="17" t="s">
        <v>430</v>
      </c>
      <c r="F845" s="17" t="str">
        <f>TEXT(data[[#This Row],[ShipDate]],"yyyy - mmmm")</f>
        <v>2016 - March</v>
      </c>
      <c r="G845" s="17" t="str">
        <f>data[[#This Row],[OriginCity]] &amp; " - "  &amp; data[[#This Row],[DestinationCity]]</f>
        <v>Gary - Milwaukee</v>
      </c>
      <c r="H845" s="17" t="s">
        <v>57</v>
      </c>
      <c r="I845" s="17" t="s">
        <v>44</v>
      </c>
      <c r="J845" s="17">
        <v>4</v>
      </c>
      <c r="K845" s="17" t="s">
        <v>28</v>
      </c>
      <c r="L845" s="17" t="s">
        <v>29</v>
      </c>
      <c r="M845" s="17" t="s">
        <v>454</v>
      </c>
      <c r="N845" s="17">
        <v>944</v>
      </c>
      <c r="O845" s="17">
        <v>522</v>
      </c>
      <c r="P845" s="26">
        <f>(data[[#This Row],[LoadedMiles]]/data[[#This Row],[TotalMiles]])*100</f>
        <v>55.296610169491522</v>
      </c>
      <c r="Q845" s="25">
        <f>data[[#This Row],[ShippingCost]]/data[[#This Row],[TotalMiles]]</f>
        <v>1.7552966101694916</v>
      </c>
      <c r="R845" s="17">
        <v>1657</v>
      </c>
      <c r="S845" s="25">
        <f>data[[#This Row],[Revenue]]/data[[#This Row],[TotalMiles]]</f>
        <v>2.0444915254237288</v>
      </c>
      <c r="T845" s="26">
        <f>data[[#This Row],[Revenue]]-data[[#This Row],[ShippingCost]]</f>
        <v>273</v>
      </c>
      <c r="U845" s="17">
        <v>1930</v>
      </c>
      <c r="V845" s="17">
        <v>62</v>
      </c>
      <c r="W845" s="17" t="s">
        <v>25</v>
      </c>
      <c r="X845" s="17">
        <v>3</v>
      </c>
      <c r="Y845" s="17">
        <f>data[[#This Row],[DeliveryDate]]-data[[#This Row],[ShipDate]]</f>
        <v>4</v>
      </c>
      <c r="Z845" s="17" t="str">
        <f>IF(data[[#This Row],[Actual Delivery Days]]&gt;AD846,"Yes","No")</f>
        <v>Yes</v>
      </c>
    </row>
    <row r="846" spans="1:26">
      <c r="A846" s="17">
        <v>11517</v>
      </c>
      <c r="B846" s="17">
        <v>3</v>
      </c>
      <c r="C846" s="17">
        <v>6</v>
      </c>
      <c r="D846" s="17" t="s">
        <v>148</v>
      </c>
      <c r="E846" s="17" t="s">
        <v>298</v>
      </c>
      <c r="F846" s="17" t="str">
        <f>TEXT(data[[#This Row],[ShipDate]],"yyyy - mmmm")</f>
        <v>2016 - July</v>
      </c>
      <c r="G846" s="17" t="str">
        <f>data[[#This Row],[OriginCity]] &amp; " - "  &amp; data[[#This Row],[DestinationCity]]</f>
        <v>Bangor - Davenport</v>
      </c>
      <c r="H846" s="17" t="s">
        <v>104</v>
      </c>
      <c r="I846" s="17" t="s">
        <v>21</v>
      </c>
      <c r="J846" s="17">
        <v>4</v>
      </c>
      <c r="K846" s="17" t="s">
        <v>105</v>
      </c>
      <c r="L846" s="17" t="s">
        <v>106</v>
      </c>
      <c r="M846" s="17" t="s">
        <v>499</v>
      </c>
      <c r="N846" s="17">
        <v>694</v>
      </c>
      <c r="O846" s="17">
        <v>331</v>
      </c>
      <c r="P846" s="26">
        <f>(data[[#This Row],[LoadedMiles]]/data[[#This Row],[TotalMiles]])*100</f>
        <v>47.694524495677229</v>
      </c>
      <c r="Q846" s="25">
        <f>data[[#This Row],[ShippingCost]]/data[[#This Row],[TotalMiles]]</f>
        <v>0.76801152737752165</v>
      </c>
      <c r="R846" s="17">
        <v>533</v>
      </c>
      <c r="S846" s="25">
        <f>data[[#This Row],[Revenue]]/data[[#This Row],[TotalMiles]]</f>
        <v>1.1974063400576369</v>
      </c>
      <c r="T846" s="26">
        <f>data[[#This Row],[Revenue]]-data[[#This Row],[ShippingCost]]</f>
        <v>298</v>
      </c>
      <c r="U846" s="17">
        <v>831</v>
      </c>
      <c r="V846" s="17">
        <v>89</v>
      </c>
      <c r="W846" s="17" t="s">
        <v>25</v>
      </c>
      <c r="X846" s="17">
        <v>2</v>
      </c>
      <c r="Y846" s="17">
        <f>data[[#This Row],[DeliveryDate]]-data[[#This Row],[ShipDate]]</f>
        <v>4</v>
      </c>
      <c r="Z846" s="17" t="str">
        <f>IF(data[[#This Row],[Actual Delivery Days]]&gt;AD847,"Yes","No")</f>
        <v>Yes</v>
      </c>
    </row>
    <row r="847" spans="1:26">
      <c r="A847" s="17">
        <v>11539</v>
      </c>
      <c r="B847" s="17">
        <v>2</v>
      </c>
      <c r="C847" s="17">
        <v>3</v>
      </c>
      <c r="D847" s="17" t="s">
        <v>201</v>
      </c>
      <c r="E847" s="17" t="s">
        <v>272</v>
      </c>
      <c r="F847" s="17" t="str">
        <f>TEXT(data[[#This Row],[ShipDate]],"yyyy - mmmm")</f>
        <v>2016 - March</v>
      </c>
      <c r="G847" s="17" t="str">
        <f>data[[#This Row],[OriginCity]] &amp; " - "  &amp; data[[#This Row],[DestinationCity]]</f>
        <v>Toledo - Detriot</v>
      </c>
      <c r="H847" s="17" t="s">
        <v>22</v>
      </c>
      <c r="I847" s="17" t="s">
        <v>23</v>
      </c>
      <c r="J847" s="17">
        <v>4</v>
      </c>
      <c r="K847" s="17" t="s">
        <v>52</v>
      </c>
      <c r="L847" s="17" t="s">
        <v>21</v>
      </c>
      <c r="M847" s="17" t="s">
        <v>381</v>
      </c>
      <c r="N847" s="17">
        <v>1067</v>
      </c>
      <c r="O847" s="17">
        <v>787</v>
      </c>
      <c r="P847" s="26">
        <f>(data[[#This Row],[LoadedMiles]]/data[[#This Row],[TotalMiles]])*100</f>
        <v>73.758200562324276</v>
      </c>
      <c r="Q847" s="25">
        <f>data[[#This Row],[ShippingCost]]/data[[#This Row],[TotalMiles]]</f>
        <v>3.5304592314901595</v>
      </c>
      <c r="R847" s="17">
        <v>3767</v>
      </c>
      <c r="S847" s="25">
        <f>data[[#This Row],[Revenue]]/data[[#This Row],[TotalMiles]]</f>
        <v>4.0121836925960634</v>
      </c>
      <c r="T847" s="26">
        <f>data[[#This Row],[Revenue]]-data[[#This Row],[ShippingCost]]</f>
        <v>514</v>
      </c>
      <c r="U847" s="17">
        <v>4281</v>
      </c>
      <c r="V847" s="17">
        <v>91</v>
      </c>
      <c r="W847" s="17" t="s">
        <v>25</v>
      </c>
      <c r="X847" s="17">
        <v>2</v>
      </c>
      <c r="Y847" s="17">
        <f>data[[#This Row],[DeliveryDate]]-data[[#This Row],[ShipDate]]</f>
        <v>4</v>
      </c>
      <c r="Z847" s="17" t="str">
        <f>IF(data[[#This Row],[Actual Delivery Days]]&gt;AD848,"Yes","No")</f>
        <v>Yes</v>
      </c>
    </row>
    <row r="848" spans="1:26">
      <c r="A848" s="17">
        <v>11560</v>
      </c>
      <c r="B848" s="17">
        <v>2</v>
      </c>
      <c r="C848" s="17">
        <v>6</v>
      </c>
      <c r="D848" s="17" t="s">
        <v>250</v>
      </c>
      <c r="E848" s="17" t="s">
        <v>449</v>
      </c>
      <c r="F848" s="17" t="str">
        <f>TEXT(data[[#This Row],[ShipDate]],"yyyy - mmmm")</f>
        <v>2016 - March</v>
      </c>
      <c r="G848" s="17" t="str">
        <f>data[[#This Row],[OriginCity]] &amp; " - "  &amp; data[[#This Row],[DestinationCity]]</f>
        <v>Dayton - Elgin</v>
      </c>
      <c r="H848" s="17" t="s">
        <v>93</v>
      </c>
      <c r="I848" s="17" t="s">
        <v>23</v>
      </c>
      <c r="J848" s="17">
        <v>4</v>
      </c>
      <c r="K848" s="17" t="s">
        <v>94</v>
      </c>
      <c r="L848" s="17" t="s">
        <v>31</v>
      </c>
      <c r="M848" s="17" t="s">
        <v>81</v>
      </c>
      <c r="N848" s="17">
        <v>316</v>
      </c>
      <c r="O848" s="17">
        <v>316</v>
      </c>
      <c r="P848" s="26">
        <f>(data[[#This Row],[LoadedMiles]]/data[[#This Row],[TotalMiles]])*100</f>
        <v>100</v>
      </c>
      <c r="Q848" s="25">
        <f>data[[#This Row],[ShippingCost]]/data[[#This Row],[TotalMiles]]</f>
        <v>24.759493670886076</v>
      </c>
      <c r="R848" s="17">
        <v>7824</v>
      </c>
      <c r="S848" s="25">
        <f>data[[#This Row],[Revenue]]/data[[#This Row],[TotalMiles]]</f>
        <v>25.525316455696203</v>
      </c>
      <c r="T848" s="26">
        <f>data[[#This Row],[Revenue]]-data[[#This Row],[ShippingCost]]</f>
        <v>242</v>
      </c>
      <c r="U848" s="17">
        <v>8066</v>
      </c>
      <c r="V848" s="17">
        <v>63</v>
      </c>
      <c r="W848" s="17" t="s">
        <v>25</v>
      </c>
      <c r="X848" s="17">
        <v>10</v>
      </c>
      <c r="Y848" s="17">
        <f>data[[#This Row],[DeliveryDate]]-data[[#This Row],[ShipDate]]</f>
        <v>2</v>
      </c>
      <c r="Z848" s="17" t="str">
        <f>IF(data[[#This Row],[Actual Delivery Days]]&gt;AD849,"Yes","No")</f>
        <v>Yes</v>
      </c>
    </row>
    <row r="849" spans="1:26">
      <c r="A849" s="17">
        <v>11562</v>
      </c>
      <c r="B849" s="17">
        <v>2</v>
      </c>
      <c r="C849" s="17">
        <v>4</v>
      </c>
      <c r="D849" s="17" t="s">
        <v>254</v>
      </c>
      <c r="E849" s="17" t="s">
        <v>36</v>
      </c>
      <c r="F849" s="17" t="str">
        <f>TEXT(data[[#This Row],[ShipDate]],"yyyy - mmmm")</f>
        <v>2016 - August</v>
      </c>
      <c r="G849" s="17" t="str">
        <f>data[[#This Row],[OriginCity]] &amp; " - "  &amp; data[[#This Row],[DestinationCity]]</f>
        <v>Lansing - Dayton</v>
      </c>
      <c r="H849" s="17" t="s">
        <v>66</v>
      </c>
      <c r="I849" s="17" t="s">
        <v>21</v>
      </c>
      <c r="J849" s="17">
        <v>4</v>
      </c>
      <c r="K849" s="17" t="s">
        <v>93</v>
      </c>
      <c r="L849" s="17" t="s">
        <v>23</v>
      </c>
      <c r="M849" s="17" t="s">
        <v>621</v>
      </c>
      <c r="N849" s="17">
        <v>1004</v>
      </c>
      <c r="O849" s="17">
        <v>275</v>
      </c>
      <c r="P849" s="26">
        <f>(data[[#This Row],[LoadedMiles]]/data[[#This Row],[TotalMiles]])*100</f>
        <v>27.39043824701195</v>
      </c>
      <c r="Q849" s="25">
        <f>data[[#This Row],[ShippingCost]]/data[[#This Row],[TotalMiles]]</f>
        <v>4.9591633466135461</v>
      </c>
      <c r="R849" s="17">
        <v>4979</v>
      </c>
      <c r="S849" s="25">
        <f>data[[#This Row],[Revenue]]/data[[#This Row],[TotalMiles]]</f>
        <v>2.8356573705179282</v>
      </c>
      <c r="T849" s="26">
        <f>data[[#This Row],[Revenue]]-data[[#This Row],[ShippingCost]]</f>
        <v>-2132</v>
      </c>
      <c r="U849" s="17">
        <v>2847</v>
      </c>
      <c r="V849" s="17">
        <v>53</v>
      </c>
      <c r="W849" s="17" t="s">
        <v>25</v>
      </c>
      <c r="X849" s="17">
        <v>4</v>
      </c>
      <c r="Y849" s="17">
        <f>data[[#This Row],[DeliveryDate]]-data[[#This Row],[ShipDate]]</f>
        <v>4</v>
      </c>
      <c r="Z849" s="17" t="str">
        <f>IF(data[[#This Row],[Actual Delivery Days]]&gt;AD850,"Yes","No")</f>
        <v>Yes</v>
      </c>
    </row>
    <row r="850" spans="1:26">
      <c r="A850" s="17">
        <v>11574</v>
      </c>
      <c r="B850" s="17">
        <v>3</v>
      </c>
      <c r="C850" s="17">
        <v>2</v>
      </c>
      <c r="D850" s="17" t="s">
        <v>277</v>
      </c>
      <c r="E850" s="17" t="s">
        <v>60</v>
      </c>
      <c r="F850" s="17" t="str">
        <f>TEXT(data[[#This Row],[ShipDate]],"yyyy - mmmm")</f>
        <v>2016 - July</v>
      </c>
      <c r="G850" s="17" t="str">
        <f>data[[#This Row],[OriginCity]] &amp; " - "  &amp; data[[#This Row],[DestinationCity]]</f>
        <v>Gary - Milwaukee</v>
      </c>
      <c r="H850" s="17" t="s">
        <v>57</v>
      </c>
      <c r="I850" s="17" t="s">
        <v>44</v>
      </c>
      <c r="J850" s="17">
        <v>4</v>
      </c>
      <c r="K850" s="17" t="s">
        <v>28</v>
      </c>
      <c r="L850" s="17" t="s">
        <v>29</v>
      </c>
      <c r="M850" s="17" t="s">
        <v>149</v>
      </c>
      <c r="N850" s="17">
        <v>296</v>
      </c>
      <c r="O850" s="17">
        <v>296</v>
      </c>
      <c r="P850" s="26">
        <f>(data[[#This Row],[LoadedMiles]]/data[[#This Row],[TotalMiles]])*100</f>
        <v>100</v>
      </c>
      <c r="Q850" s="25">
        <f>data[[#This Row],[ShippingCost]]/data[[#This Row],[TotalMiles]]</f>
        <v>2.2162162162162162</v>
      </c>
      <c r="R850" s="17">
        <v>656</v>
      </c>
      <c r="S850" s="25">
        <f>data[[#This Row],[Revenue]]/data[[#This Row],[TotalMiles]]</f>
        <v>4.2263513513513518</v>
      </c>
      <c r="T850" s="26">
        <f>data[[#This Row],[Revenue]]-data[[#This Row],[ShippingCost]]</f>
        <v>595</v>
      </c>
      <c r="U850" s="17">
        <v>1251</v>
      </c>
      <c r="V850" s="17">
        <v>94</v>
      </c>
      <c r="W850" s="17" t="s">
        <v>25</v>
      </c>
      <c r="X850" s="17">
        <v>5</v>
      </c>
      <c r="Y850" s="17">
        <f>data[[#This Row],[DeliveryDate]]-data[[#This Row],[ShipDate]]</f>
        <v>4</v>
      </c>
      <c r="Z850" s="17" t="str">
        <f>IF(data[[#This Row],[Actual Delivery Days]]&gt;AD851,"Yes","No")</f>
        <v>Yes</v>
      </c>
    </row>
    <row r="851" spans="1:26">
      <c r="A851" s="17">
        <v>11575</v>
      </c>
      <c r="B851" s="17">
        <v>3</v>
      </c>
      <c r="C851" s="17">
        <v>3</v>
      </c>
      <c r="D851" s="17" t="s">
        <v>280</v>
      </c>
      <c r="E851" s="17" t="s">
        <v>60</v>
      </c>
      <c r="F851" s="17" t="str">
        <f>TEXT(data[[#This Row],[ShipDate]],"yyyy - mmmm")</f>
        <v>2016 - July</v>
      </c>
      <c r="G851" s="17" t="str">
        <f>data[[#This Row],[OriginCity]] &amp; " - "  &amp; data[[#This Row],[DestinationCity]]</f>
        <v>Joliet - Madison</v>
      </c>
      <c r="H851" s="17" t="s">
        <v>61</v>
      </c>
      <c r="I851" s="17" t="s">
        <v>31</v>
      </c>
      <c r="J851" s="17">
        <v>4</v>
      </c>
      <c r="K851" s="17" t="s">
        <v>62</v>
      </c>
      <c r="L851" s="17" t="s">
        <v>29</v>
      </c>
      <c r="M851" s="17" t="s">
        <v>149</v>
      </c>
      <c r="N851" s="17">
        <v>262</v>
      </c>
      <c r="O851" s="17">
        <v>262</v>
      </c>
      <c r="P851" s="26">
        <f>(data[[#This Row],[LoadedMiles]]/data[[#This Row],[TotalMiles]])*100</f>
        <v>100</v>
      </c>
      <c r="Q851" s="25">
        <f>data[[#This Row],[ShippingCost]]/data[[#This Row],[TotalMiles]]</f>
        <v>28.461832061068701</v>
      </c>
      <c r="R851" s="17">
        <v>7457</v>
      </c>
      <c r="S851" s="25">
        <f>data[[#This Row],[Revenue]]/data[[#This Row],[TotalMiles]]</f>
        <v>30.782442748091604</v>
      </c>
      <c r="T851" s="26">
        <f>data[[#This Row],[Revenue]]-data[[#This Row],[ShippingCost]]</f>
        <v>608</v>
      </c>
      <c r="U851" s="17">
        <v>8065</v>
      </c>
      <c r="V851" s="17">
        <v>90</v>
      </c>
      <c r="W851" s="17" t="s">
        <v>25</v>
      </c>
      <c r="X851" s="17">
        <v>9</v>
      </c>
      <c r="Y851" s="17">
        <f>data[[#This Row],[DeliveryDate]]-data[[#This Row],[ShipDate]]</f>
        <v>4</v>
      </c>
      <c r="Z851" s="17" t="str">
        <f>IF(data[[#This Row],[Actual Delivery Days]]&gt;AD852,"Yes","No")</f>
        <v>Yes</v>
      </c>
    </row>
    <row r="852" spans="1:26">
      <c r="A852" s="17">
        <v>11579</v>
      </c>
      <c r="B852" s="17">
        <v>2</v>
      </c>
      <c r="C852" s="17">
        <v>1</v>
      </c>
      <c r="D852" s="17" t="s">
        <v>292</v>
      </c>
      <c r="E852" s="17" t="s">
        <v>623</v>
      </c>
      <c r="F852" s="17" t="str">
        <f>TEXT(data[[#This Row],[ShipDate]],"yyyy - mmmm")</f>
        <v>2016 - April</v>
      </c>
      <c r="G852" s="17" t="str">
        <f>data[[#This Row],[OriginCity]] &amp; " - "  &amp; data[[#This Row],[DestinationCity]]</f>
        <v>Appleton - Grand Rapids</v>
      </c>
      <c r="H852" s="17" t="s">
        <v>85</v>
      </c>
      <c r="I852" s="17" t="s">
        <v>29</v>
      </c>
      <c r="J852" s="17">
        <v>4</v>
      </c>
      <c r="K852" s="17" t="s">
        <v>20</v>
      </c>
      <c r="L852" s="17" t="s">
        <v>21</v>
      </c>
      <c r="M852" s="17" t="s">
        <v>418</v>
      </c>
      <c r="N852" s="17">
        <v>503</v>
      </c>
      <c r="O852" s="17">
        <v>503</v>
      </c>
      <c r="P852" s="26">
        <f>(data[[#This Row],[LoadedMiles]]/data[[#This Row],[TotalMiles]])*100</f>
        <v>100</v>
      </c>
      <c r="Q852" s="25">
        <f>data[[#This Row],[ShippingCost]]/data[[#This Row],[TotalMiles]]</f>
        <v>5.8648111332007948</v>
      </c>
      <c r="R852" s="17">
        <v>2950</v>
      </c>
      <c r="S852" s="25">
        <f>data[[#This Row],[Revenue]]/data[[#This Row],[TotalMiles]]</f>
        <v>14.445328031809145</v>
      </c>
      <c r="T852" s="26">
        <f>data[[#This Row],[Revenue]]-data[[#This Row],[ShippingCost]]</f>
        <v>4316</v>
      </c>
      <c r="U852" s="17">
        <v>7266</v>
      </c>
      <c r="V852" s="17">
        <v>71</v>
      </c>
      <c r="W852" s="17" t="s">
        <v>25</v>
      </c>
      <c r="X852" s="17">
        <v>3</v>
      </c>
      <c r="Y852" s="17">
        <f>data[[#This Row],[DeliveryDate]]-data[[#This Row],[ShipDate]]</f>
        <v>4</v>
      </c>
      <c r="Z852" s="17" t="str">
        <f>IF(data[[#This Row],[Actual Delivery Days]]&gt;AD853,"Yes","No")</f>
        <v>Yes</v>
      </c>
    </row>
    <row r="853" spans="1:26">
      <c r="A853" s="17">
        <v>11580</v>
      </c>
      <c r="B853" s="17">
        <v>3</v>
      </c>
      <c r="C853" s="17">
        <v>2</v>
      </c>
      <c r="D853" s="17" t="s">
        <v>295</v>
      </c>
      <c r="E853" s="17" t="s">
        <v>79</v>
      </c>
      <c r="F853" s="17" t="str">
        <f>TEXT(data[[#This Row],[ShipDate]],"yyyy - mmmm")</f>
        <v>2016 - June</v>
      </c>
      <c r="G853" s="17" t="str">
        <f>data[[#This Row],[OriginCity]] &amp; " - "  &amp; data[[#This Row],[DestinationCity]]</f>
        <v>Dayton - Elgin</v>
      </c>
      <c r="H853" s="17" t="s">
        <v>93</v>
      </c>
      <c r="I853" s="17" t="s">
        <v>23</v>
      </c>
      <c r="J853" s="17">
        <v>4</v>
      </c>
      <c r="K853" s="17" t="s">
        <v>94</v>
      </c>
      <c r="L853" s="17" t="s">
        <v>31</v>
      </c>
      <c r="M853" s="17" t="s">
        <v>318</v>
      </c>
      <c r="N853" s="17">
        <v>412</v>
      </c>
      <c r="O853" s="17">
        <v>296</v>
      </c>
      <c r="P853" s="26">
        <f>(data[[#This Row],[LoadedMiles]]/data[[#This Row],[TotalMiles]])*100</f>
        <v>71.844660194174764</v>
      </c>
      <c r="Q853" s="25">
        <f>data[[#This Row],[ShippingCost]]/data[[#This Row],[TotalMiles]]</f>
        <v>11.487864077669903</v>
      </c>
      <c r="R853" s="17">
        <v>4733</v>
      </c>
      <c r="S853" s="25">
        <f>data[[#This Row],[Revenue]]/data[[#This Row],[TotalMiles]]</f>
        <v>11.966019417475728</v>
      </c>
      <c r="T853" s="26">
        <f>data[[#This Row],[Revenue]]-data[[#This Row],[ShippingCost]]</f>
        <v>197</v>
      </c>
      <c r="U853" s="17">
        <v>4930</v>
      </c>
      <c r="V853" s="17">
        <v>52</v>
      </c>
      <c r="W853" s="17" t="s">
        <v>25</v>
      </c>
      <c r="X853" s="17">
        <v>7</v>
      </c>
      <c r="Y853" s="17">
        <f>data[[#This Row],[DeliveryDate]]-data[[#This Row],[ShipDate]]</f>
        <v>7</v>
      </c>
      <c r="Z853" s="17" t="str">
        <f>IF(data[[#This Row],[Actual Delivery Days]]&gt;AD854,"Yes","No")</f>
        <v>Yes</v>
      </c>
    </row>
    <row r="854" spans="1:26">
      <c r="A854" s="17">
        <v>11590</v>
      </c>
      <c r="B854" s="17">
        <v>3</v>
      </c>
      <c r="C854" s="17">
        <v>3</v>
      </c>
      <c r="D854" s="17" t="s">
        <v>317</v>
      </c>
      <c r="E854" s="17" t="s">
        <v>224</v>
      </c>
      <c r="F854" s="17" t="str">
        <f>TEXT(data[[#This Row],[ShipDate]],"yyyy - mmmm")</f>
        <v>2016 - May</v>
      </c>
      <c r="G854" s="17" t="str">
        <f>data[[#This Row],[OriginCity]] &amp; " - "  &amp; data[[#This Row],[DestinationCity]]</f>
        <v>Chicago - Rockford</v>
      </c>
      <c r="H854" s="17" t="s">
        <v>39</v>
      </c>
      <c r="I854" s="17" t="s">
        <v>31</v>
      </c>
      <c r="J854" s="17">
        <v>4</v>
      </c>
      <c r="K854" s="17" t="s">
        <v>40</v>
      </c>
      <c r="L854" s="17" t="s">
        <v>31</v>
      </c>
      <c r="M854" s="17" t="s">
        <v>56</v>
      </c>
      <c r="N854" s="17">
        <v>870</v>
      </c>
      <c r="O854" s="17">
        <v>210</v>
      </c>
      <c r="P854" s="26">
        <f>(data[[#This Row],[LoadedMiles]]/data[[#This Row],[TotalMiles]])*100</f>
        <v>24.137931034482758</v>
      </c>
      <c r="Q854" s="25">
        <f>data[[#This Row],[ShippingCost]]/data[[#This Row],[TotalMiles]]</f>
        <v>4.7379310344827585</v>
      </c>
      <c r="R854" s="17">
        <v>4122</v>
      </c>
      <c r="S854" s="25">
        <f>data[[#This Row],[Revenue]]/data[[#This Row],[TotalMiles]]</f>
        <v>4.8609195402298848</v>
      </c>
      <c r="T854" s="26">
        <f>data[[#This Row],[Revenue]]-data[[#This Row],[ShippingCost]]</f>
        <v>107</v>
      </c>
      <c r="U854" s="17">
        <v>4229</v>
      </c>
      <c r="V854" s="17">
        <v>73</v>
      </c>
      <c r="W854" s="17" t="s">
        <v>25</v>
      </c>
      <c r="X854" s="17">
        <v>8</v>
      </c>
      <c r="Y854" s="17">
        <f>data[[#This Row],[DeliveryDate]]-data[[#This Row],[ShipDate]]</f>
        <v>4</v>
      </c>
      <c r="Z854" s="17" t="str">
        <f>IF(data[[#This Row],[Actual Delivery Days]]&gt;AD855,"Yes","No")</f>
        <v>Yes</v>
      </c>
    </row>
    <row r="855" spans="1:26">
      <c r="A855" s="17">
        <v>11595</v>
      </c>
      <c r="B855" s="17">
        <v>3</v>
      </c>
      <c r="C855" s="17">
        <v>2</v>
      </c>
      <c r="D855" s="17" t="s">
        <v>328</v>
      </c>
      <c r="E855" s="17" t="s">
        <v>620</v>
      </c>
      <c r="F855" s="17" t="str">
        <f>TEXT(data[[#This Row],[ShipDate]],"yyyy - mmmm")</f>
        <v>2016 - April</v>
      </c>
      <c r="G855" s="17" t="str">
        <f>data[[#This Row],[OriginCity]] &amp; " - "  &amp; data[[#This Row],[DestinationCity]]</f>
        <v>Madison - Kalamazoo</v>
      </c>
      <c r="H855" s="17" t="s">
        <v>62</v>
      </c>
      <c r="I855" s="17" t="s">
        <v>29</v>
      </c>
      <c r="J855" s="17">
        <v>4</v>
      </c>
      <c r="K855" s="17" t="s">
        <v>71</v>
      </c>
      <c r="L855" s="17" t="s">
        <v>21</v>
      </c>
      <c r="M855" s="17" t="s">
        <v>161</v>
      </c>
      <c r="N855" s="17">
        <v>355</v>
      </c>
      <c r="O855" s="17">
        <v>355</v>
      </c>
      <c r="P855" s="26">
        <f>(data[[#This Row],[LoadedMiles]]/data[[#This Row],[TotalMiles]])*100</f>
        <v>100</v>
      </c>
      <c r="Q855" s="25">
        <f>data[[#This Row],[ShippingCost]]/data[[#This Row],[TotalMiles]]</f>
        <v>18.312676056338027</v>
      </c>
      <c r="R855" s="17">
        <v>6501</v>
      </c>
      <c r="S855" s="25">
        <f>data[[#This Row],[Revenue]]/data[[#This Row],[TotalMiles]]</f>
        <v>19.526760563380282</v>
      </c>
      <c r="T855" s="26">
        <f>data[[#This Row],[Revenue]]-data[[#This Row],[ShippingCost]]</f>
        <v>431</v>
      </c>
      <c r="U855" s="17">
        <v>6932</v>
      </c>
      <c r="V855" s="17">
        <v>92</v>
      </c>
      <c r="W855" s="17" t="s">
        <v>25</v>
      </c>
      <c r="X855" s="17">
        <v>4</v>
      </c>
      <c r="Y855" s="17">
        <f>data[[#This Row],[DeliveryDate]]-data[[#This Row],[ShipDate]]</f>
        <v>4</v>
      </c>
      <c r="Z855" s="17" t="str">
        <f>IF(data[[#This Row],[Actual Delivery Days]]&gt;AD856,"Yes","No")</f>
        <v>Yes</v>
      </c>
    </row>
    <row r="856" spans="1:26">
      <c r="A856" s="17">
        <v>11598</v>
      </c>
      <c r="B856" s="17">
        <v>2</v>
      </c>
      <c r="C856" s="17">
        <v>1</v>
      </c>
      <c r="D856" s="17" t="s">
        <v>331</v>
      </c>
      <c r="E856" s="17" t="s">
        <v>27</v>
      </c>
      <c r="F856" s="17" t="str">
        <f>TEXT(data[[#This Row],[ShipDate]],"yyyy - mmmm")</f>
        <v>2016 - May</v>
      </c>
      <c r="G856" s="17" t="str">
        <f>data[[#This Row],[OriginCity]] &amp; " - "  &amp; data[[#This Row],[DestinationCity]]</f>
        <v>Rockford - Green Bay</v>
      </c>
      <c r="H856" s="17" t="s">
        <v>40</v>
      </c>
      <c r="I856" s="17" t="s">
        <v>31</v>
      </c>
      <c r="J856" s="17">
        <v>4</v>
      </c>
      <c r="K856" s="17" t="s">
        <v>75</v>
      </c>
      <c r="L856" s="17" t="s">
        <v>29</v>
      </c>
      <c r="M856" s="17" t="s">
        <v>109</v>
      </c>
      <c r="N856" s="17">
        <v>943</v>
      </c>
      <c r="O856" s="17">
        <v>525</v>
      </c>
      <c r="P856" s="26">
        <f>(data[[#This Row],[LoadedMiles]]/data[[#This Row],[TotalMiles]])*100</f>
        <v>55.673382820784731</v>
      </c>
      <c r="Q856" s="25">
        <f>data[[#This Row],[ShippingCost]]/data[[#This Row],[TotalMiles]]</f>
        <v>2.4665959703075293</v>
      </c>
      <c r="R856" s="17">
        <v>2326</v>
      </c>
      <c r="S856" s="25">
        <f>data[[#This Row],[Revenue]]/data[[#This Row],[TotalMiles]]</f>
        <v>7.1049840933191941</v>
      </c>
      <c r="T856" s="26">
        <f>data[[#This Row],[Revenue]]-data[[#This Row],[ShippingCost]]</f>
        <v>4374</v>
      </c>
      <c r="U856" s="17">
        <v>6700</v>
      </c>
      <c r="V856" s="17">
        <v>97</v>
      </c>
      <c r="W856" s="17" t="s">
        <v>25</v>
      </c>
      <c r="X856" s="17">
        <v>4</v>
      </c>
      <c r="Y856" s="17">
        <f>data[[#This Row],[DeliveryDate]]-data[[#This Row],[ShipDate]]</f>
        <v>4</v>
      </c>
      <c r="Z856" s="17" t="str">
        <f>IF(data[[#This Row],[Actual Delivery Days]]&gt;AD857,"Yes","No")</f>
        <v>Yes</v>
      </c>
    </row>
    <row r="857" spans="1:26">
      <c r="A857" s="17">
        <v>11607</v>
      </c>
      <c r="B857" s="17">
        <v>3</v>
      </c>
      <c r="C857" s="17">
        <v>6</v>
      </c>
      <c r="D857" s="17" t="s">
        <v>347</v>
      </c>
      <c r="E857" s="17" t="s">
        <v>613</v>
      </c>
      <c r="F857" s="17" t="str">
        <f>TEXT(data[[#This Row],[ShipDate]],"yyyy - mmmm")</f>
        <v>2016 - June</v>
      </c>
      <c r="G857" s="17" t="str">
        <f>data[[#This Row],[OriginCity]] &amp; " - "  &amp; data[[#This Row],[DestinationCity]]</f>
        <v>Davenport - Appleton</v>
      </c>
      <c r="H857" s="17" t="s">
        <v>105</v>
      </c>
      <c r="I857" s="17" t="s">
        <v>106</v>
      </c>
      <c r="J857" s="17">
        <v>4</v>
      </c>
      <c r="K857" s="17" t="s">
        <v>85</v>
      </c>
      <c r="L857" s="17" t="s">
        <v>29</v>
      </c>
      <c r="M857" s="17" t="s">
        <v>176</v>
      </c>
      <c r="N857" s="17">
        <v>291</v>
      </c>
      <c r="O857" s="17">
        <v>291</v>
      </c>
      <c r="P857" s="26">
        <f>(data[[#This Row],[LoadedMiles]]/data[[#This Row],[TotalMiles]])*100</f>
        <v>100</v>
      </c>
      <c r="Q857" s="25">
        <f>data[[#This Row],[ShippingCost]]/data[[#This Row],[TotalMiles]]</f>
        <v>27.783505154639176</v>
      </c>
      <c r="R857" s="17">
        <v>8085</v>
      </c>
      <c r="S857" s="25">
        <f>data[[#This Row],[Revenue]]/data[[#This Row],[TotalMiles]]</f>
        <v>30.656357388316152</v>
      </c>
      <c r="T857" s="26">
        <f>data[[#This Row],[Revenue]]-data[[#This Row],[ShippingCost]]</f>
        <v>836</v>
      </c>
      <c r="U857" s="17">
        <v>8921</v>
      </c>
      <c r="V857" s="17">
        <v>99</v>
      </c>
      <c r="W857" s="17" t="s">
        <v>25</v>
      </c>
      <c r="X857" s="17">
        <v>9</v>
      </c>
      <c r="Y857" s="17">
        <f>data[[#This Row],[DeliveryDate]]-data[[#This Row],[ShipDate]]</f>
        <v>4</v>
      </c>
      <c r="Z857" s="17" t="str">
        <f>IF(data[[#This Row],[Actual Delivery Days]]&gt;AD858,"Yes","No")</f>
        <v>Yes</v>
      </c>
    </row>
    <row r="858" spans="1:26">
      <c r="A858" s="17">
        <v>11613</v>
      </c>
      <c r="B858" s="17">
        <v>3</v>
      </c>
      <c r="C858" s="17">
        <v>5</v>
      </c>
      <c r="D858" s="17" t="s">
        <v>330</v>
      </c>
      <c r="E858" s="17" t="s">
        <v>278</v>
      </c>
      <c r="F858" s="17" t="str">
        <f>TEXT(data[[#This Row],[ShipDate]],"yyyy - mmmm")</f>
        <v>2016 - June</v>
      </c>
      <c r="G858" s="17" t="str">
        <f>data[[#This Row],[OriginCity]] &amp; " - "  &amp; data[[#This Row],[DestinationCity]]</f>
        <v>Gary - Milwaukee</v>
      </c>
      <c r="H858" s="17" t="s">
        <v>57</v>
      </c>
      <c r="I858" s="17" t="s">
        <v>44</v>
      </c>
      <c r="J858" s="17">
        <v>4</v>
      </c>
      <c r="K858" s="17" t="s">
        <v>28</v>
      </c>
      <c r="L858" s="17" t="s">
        <v>29</v>
      </c>
      <c r="M858" s="17" t="s">
        <v>279</v>
      </c>
      <c r="N858" s="17">
        <v>1096</v>
      </c>
      <c r="O858" s="17">
        <v>628</v>
      </c>
      <c r="P858" s="26">
        <f>(data[[#This Row],[LoadedMiles]]/data[[#This Row],[TotalMiles]])*100</f>
        <v>57.299270072992705</v>
      </c>
      <c r="Q858" s="25">
        <f>data[[#This Row],[ShippingCost]]/data[[#This Row],[TotalMiles]]</f>
        <v>6.0638686131386859</v>
      </c>
      <c r="R858" s="17">
        <v>6646</v>
      </c>
      <c r="S858" s="25">
        <f>data[[#This Row],[Revenue]]/data[[#This Row],[TotalMiles]]</f>
        <v>6.804744525547445</v>
      </c>
      <c r="T858" s="26">
        <f>data[[#This Row],[Revenue]]-data[[#This Row],[ShippingCost]]</f>
        <v>812</v>
      </c>
      <c r="U858" s="17">
        <v>7458</v>
      </c>
      <c r="V858" s="17">
        <v>58</v>
      </c>
      <c r="W858" s="17" t="s">
        <v>25</v>
      </c>
      <c r="X858" s="17">
        <v>4</v>
      </c>
      <c r="Y858" s="17">
        <f>data[[#This Row],[DeliveryDate]]-data[[#This Row],[ShipDate]]</f>
        <v>4</v>
      </c>
      <c r="Z858" s="17" t="str">
        <f>IF(data[[#This Row],[Actual Delivery Days]]&gt;AD859,"Yes","No")</f>
        <v>Yes</v>
      </c>
    </row>
    <row r="859" spans="1:26">
      <c r="A859" s="17">
        <v>11614</v>
      </c>
      <c r="B859" s="17">
        <v>3</v>
      </c>
      <c r="C859" s="17">
        <v>6</v>
      </c>
      <c r="D859" s="17" t="s">
        <v>361</v>
      </c>
      <c r="E859" s="17" t="s">
        <v>439</v>
      </c>
      <c r="F859" s="17" t="str">
        <f>TEXT(data[[#This Row],[ShipDate]],"yyyy - mmmm")</f>
        <v>2016 - June</v>
      </c>
      <c r="G859" s="17" t="str">
        <f>data[[#This Row],[OriginCity]] &amp; " - "  &amp; data[[#This Row],[DestinationCity]]</f>
        <v>Joliet - Madison</v>
      </c>
      <c r="H859" s="17" t="s">
        <v>61</v>
      </c>
      <c r="I859" s="17" t="s">
        <v>31</v>
      </c>
      <c r="J859" s="17">
        <v>4</v>
      </c>
      <c r="K859" s="17" t="s">
        <v>62</v>
      </c>
      <c r="L859" s="17" t="s">
        <v>29</v>
      </c>
      <c r="M859" s="17" t="s">
        <v>499</v>
      </c>
      <c r="N859" s="17">
        <v>661</v>
      </c>
      <c r="O859" s="17">
        <v>661</v>
      </c>
      <c r="P859" s="26">
        <f>(data[[#This Row],[LoadedMiles]]/data[[#This Row],[TotalMiles]])*100</f>
        <v>100</v>
      </c>
      <c r="Q859" s="25">
        <f>data[[#This Row],[ShippingCost]]/data[[#This Row],[TotalMiles]]</f>
        <v>8.6989409984871404</v>
      </c>
      <c r="R859" s="17">
        <v>5750</v>
      </c>
      <c r="S859" s="25">
        <f>data[[#This Row],[Revenue]]/data[[#This Row],[TotalMiles]]</f>
        <v>9.7397881996974274</v>
      </c>
      <c r="T859" s="26">
        <f>data[[#This Row],[Revenue]]-data[[#This Row],[ShippingCost]]</f>
        <v>688</v>
      </c>
      <c r="U859" s="17">
        <v>6438</v>
      </c>
      <c r="V859" s="17">
        <v>50</v>
      </c>
      <c r="W859" s="17" t="s">
        <v>25</v>
      </c>
      <c r="X859" s="17">
        <v>4</v>
      </c>
      <c r="Y859" s="17">
        <f>data[[#This Row],[DeliveryDate]]-data[[#This Row],[ShipDate]]</f>
        <v>6</v>
      </c>
      <c r="Z859" s="17" t="str">
        <f>IF(data[[#This Row],[Actual Delivery Days]]&gt;AD860,"Yes","No")</f>
        <v>Yes</v>
      </c>
    </row>
    <row r="860" spans="1:26">
      <c r="A860" s="17">
        <v>11625</v>
      </c>
      <c r="B860" s="17">
        <v>2</v>
      </c>
      <c r="C860" s="17">
        <v>5</v>
      </c>
      <c r="D860" s="17" t="s">
        <v>382</v>
      </c>
      <c r="E860" s="17" t="s">
        <v>132</v>
      </c>
      <c r="F860" s="17" t="str">
        <f>TEXT(data[[#This Row],[ShipDate]],"yyyy - mmmm")</f>
        <v>2016 - February</v>
      </c>
      <c r="G860" s="17" t="str">
        <f>data[[#This Row],[OriginCity]] &amp; " - "  &amp; data[[#This Row],[DestinationCity]]</f>
        <v>Elgin - Cincinnati</v>
      </c>
      <c r="H860" s="17" t="s">
        <v>94</v>
      </c>
      <c r="I860" s="17" t="s">
        <v>31</v>
      </c>
      <c r="J860" s="17">
        <v>4</v>
      </c>
      <c r="K860" s="17" t="s">
        <v>89</v>
      </c>
      <c r="L860" s="17" t="s">
        <v>23</v>
      </c>
      <c r="M860" s="17" t="s">
        <v>209</v>
      </c>
      <c r="N860" s="17">
        <v>228</v>
      </c>
      <c r="O860" s="17">
        <v>228</v>
      </c>
      <c r="P860" s="26">
        <f>(data[[#This Row],[LoadedMiles]]/data[[#This Row],[TotalMiles]])*100</f>
        <v>100</v>
      </c>
      <c r="Q860" s="25">
        <f>data[[#This Row],[ShippingCost]]/data[[#This Row],[TotalMiles]]</f>
        <v>28.960526315789473</v>
      </c>
      <c r="R860" s="17">
        <v>6603</v>
      </c>
      <c r="S860" s="25">
        <f>data[[#This Row],[Revenue]]/data[[#This Row],[TotalMiles]]</f>
        <v>33.057017543859651</v>
      </c>
      <c r="T860" s="26">
        <f>data[[#This Row],[Revenue]]-data[[#This Row],[ShippingCost]]</f>
        <v>934</v>
      </c>
      <c r="U860" s="17">
        <v>7537</v>
      </c>
      <c r="V860" s="17">
        <v>88</v>
      </c>
      <c r="W860" s="17" t="s">
        <v>25</v>
      </c>
      <c r="X860" s="17">
        <v>9</v>
      </c>
      <c r="Y860" s="17">
        <f>data[[#This Row],[DeliveryDate]]-data[[#This Row],[ShipDate]]</f>
        <v>4</v>
      </c>
      <c r="Z860" s="17" t="str">
        <f>IF(data[[#This Row],[Actual Delivery Days]]&gt;AD861,"Yes","No")</f>
        <v>Yes</v>
      </c>
    </row>
    <row r="861" spans="1:26">
      <c r="A861" s="17">
        <v>11629</v>
      </c>
      <c r="B861" s="17">
        <v>2</v>
      </c>
      <c r="C861" s="17">
        <v>1</v>
      </c>
      <c r="D861" s="17" t="s">
        <v>388</v>
      </c>
      <c r="E861" s="17" t="s">
        <v>626</v>
      </c>
      <c r="F861" s="17" t="str">
        <f>TEXT(data[[#This Row],[ShipDate]],"yyyy - mmmm")</f>
        <v>2016 - May</v>
      </c>
      <c r="G861" s="17" t="str">
        <f>data[[#This Row],[OriginCity]] &amp; " - "  &amp; data[[#This Row],[DestinationCity]]</f>
        <v>Grand Rapids - Toledo</v>
      </c>
      <c r="H861" s="17" t="s">
        <v>20</v>
      </c>
      <c r="I861" s="17" t="s">
        <v>21</v>
      </c>
      <c r="J861" s="17">
        <v>4</v>
      </c>
      <c r="K861" s="17" t="s">
        <v>22</v>
      </c>
      <c r="L861" s="17" t="s">
        <v>23</v>
      </c>
      <c r="M861" s="17" t="s">
        <v>227</v>
      </c>
      <c r="N861" s="17">
        <v>628</v>
      </c>
      <c r="O861" s="17">
        <v>349</v>
      </c>
      <c r="P861" s="26">
        <f>(data[[#This Row],[LoadedMiles]]/data[[#This Row],[TotalMiles]])*100</f>
        <v>55.57324840764332</v>
      </c>
      <c r="Q861" s="25">
        <f>data[[#This Row],[ShippingCost]]/data[[#This Row],[TotalMiles]]</f>
        <v>6.0429936305732488</v>
      </c>
      <c r="R861" s="17">
        <v>3795</v>
      </c>
      <c r="S861" s="25">
        <f>data[[#This Row],[Revenue]]/data[[#This Row],[TotalMiles]]</f>
        <v>13.038216560509554</v>
      </c>
      <c r="T861" s="26">
        <f>data[[#This Row],[Revenue]]-data[[#This Row],[ShippingCost]]</f>
        <v>4393</v>
      </c>
      <c r="U861" s="17">
        <v>8188</v>
      </c>
      <c r="V861" s="17">
        <v>55</v>
      </c>
      <c r="W861" s="17" t="s">
        <v>25</v>
      </c>
      <c r="X861" s="17">
        <v>7</v>
      </c>
      <c r="Y861" s="17">
        <f>data[[#This Row],[DeliveryDate]]-data[[#This Row],[ShipDate]]</f>
        <v>3</v>
      </c>
      <c r="Z861" s="17" t="str">
        <f>IF(data[[#This Row],[Actual Delivery Days]]&gt;AD862,"Yes","No")</f>
        <v>Yes</v>
      </c>
    </row>
    <row r="862" spans="1:26">
      <c r="A862" s="17">
        <v>11630</v>
      </c>
      <c r="B862" s="17">
        <v>2</v>
      </c>
      <c r="C862" s="17">
        <v>5</v>
      </c>
      <c r="D862" s="17" t="s">
        <v>389</v>
      </c>
      <c r="E862" s="17" t="s">
        <v>615</v>
      </c>
      <c r="F862" s="17" t="str">
        <f>TEXT(data[[#This Row],[ShipDate]],"yyyy - mmmm")</f>
        <v>2016 - January</v>
      </c>
      <c r="G862" s="17" t="str">
        <f>data[[#This Row],[OriginCity]] &amp; " - "  &amp; data[[#This Row],[DestinationCity]]</f>
        <v>Milwaukee - Springfield</v>
      </c>
      <c r="H862" s="17" t="s">
        <v>28</v>
      </c>
      <c r="I862" s="17" t="s">
        <v>29</v>
      </c>
      <c r="J862" s="17">
        <v>4</v>
      </c>
      <c r="K862" s="17" t="s">
        <v>30</v>
      </c>
      <c r="L862" s="17" t="s">
        <v>31</v>
      </c>
      <c r="M862" s="17" t="s">
        <v>193</v>
      </c>
      <c r="N862" s="17">
        <v>568</v>
      </c>
      <c r="O862" s="17">
        <v>420</v>
      </c>
      <c r="P862" s="26">
        <f>(data[[#This Row],[LoadedMiles]]/data[[#This Row],[TotalMiles]])*100</f>
        <v>73.943661971830991</v>
      </c>
      <c r="Q862" s="25">
        <f>data[[#This Row],[ShippingCost]]/data[[#This Row],[TotalMiles]]</f>
        <v>0.70598591549295775</v>
      </c>
      <c r="R862" s="17">
        <v>401</v>
      </c>
      <c r="S862" s="25">
        <f>data[[#This Row],[Revenue]]/data[[#This Row],[TotalMiles]]</f>
        <v>2.1742957746478875</v>
      </c>
      <c r="T862" s="26">
        <f>data[[#This Row],[Revenue]]-data[[#This Row],[ShippingCost]]</f>
        <v>834</v>
      </c>
      <c r="U862" s="17">
        <v>1235</v>
      </c>
      <c r="V862" s="17">
        <v>63</v>
      </c>
      <c r="W862" s="17" t="s">
        <v>25</v>
      </c>
      <c r="X862" s="17">
        <v>3</v>
      </c>
      <c r="Y862" s="17">
        <f>data[[#This Row],[DeliveryDate]]-data[[#This Row],[ShipDate]]</f>
        <v>4</v>
      </c>
      <c r="Z862" s="17" t="str">
        <f>IF(data[[#This Row],[Actual Delivery Days]]&gt;AD863,"Yes","No")</f>
        <v>Yes</v>
      </c>
    </row>
    <row r="863" spans="1:26">
      <c r="A863" s="17">
        <v>11632</v>
      </c>
      <c r="B863" s="17">
        <v>3</v>
      </c>
      <c r="C863" s="17">
        <v>5</v>
      </c>
      <c r="D863" s="17" t="s">
        <v>392</v>
      </c>
      <c r="E863" s="17" t="s">
        <v>98</v>
      </c>
      <c r="F863" s="17" t="str">
        <f>TEXT(data[[#This Row],[ShipDate]],"yyyy - mmmm")</f>
        <v>2016 - April</v>
      </c>
      <c r="G863" s="17" t="str">
        <f>data[[#This Row],[OriginCity]] &amp; " - "  &amp; data[[#This Row],[DestinationCity]]</f>
        <v>Chicago - Rockford</v>
      </c>
      <c r="H863" s="17" t="s">
        <v>39</v>
      </c>
      <c r="I863" s="17" t="s">
        <v>31</v>
      </c>
      <c r="J863" s="17">
        <v>4</v>
      </c>
      <c r="K863" s="17" t="s">
        <v>40</v>
      </c>
      <c r="L863" s="17" t="s">
        <v>31</v>
      </c>
      <c r="M863" s="17" t="s">
        <v>49</v>
      </c>
      <c r="N863" s="17">
        <v>437</v>
      </c>
      <c r="O863" s="17">
        <v>374</v>
      </c>
      <c r="P863" s="26">
        <f>(data[[#This Row],[LoadedMiles]]/data[[#This Row],[TotalMiles]])*100</f>
        <v>85.583524027459958</v>
      </c>
      <c r="Q863" s="25">
        <f>data[[#This Row],[ShippingCost]]/data[[#This Row],[TotalMiles]]</f>
        <v>13.187643020594965</v>
      </c>
      <c r="R863" s="17">
        <v>5763</v>
      </c>
      <c r="S863" s="25">
        <f>data[[#This Row],[Revenue]]/data[[#This Row],[TotalMiles]]</f>
        <v>15.441647597254004</v>
      </c>
      <c r="T863" s="26">
        <f>data[[#This Row],[Revenue]]-data[[#This Row],[ShippingCost]]</f>
        <v>985</v>
      </c>
      <c r="U863" s="17">
        <v>6748</v>
      </c>
      <c r="V863" s="17">
        <v>62</v>
      </c>
      <c r="W863" s="17" t="s">
        <v>25</v>
      </c>
      <c r="X863" s="17">
        <v>1</v>
      </c>
      <c r="Y863" s="17">
        <f>data[[#This Row],[DeliveryDate]]-data[[#This Row],[ShipDate]]</f>
        <v>4</v>
      </c>
      <c r="Z863" s="17" t="str">
        <f>IF(data[[#This Row],[Actual Delivery Days]]&gt;AD864,"Yes","No")</f>
        <v>Yes</v>
      </c>
    </row>
    <row r="864" spans="1:26">
      <c r="A864" s="17">
        <v>11633</v>
      </c>
      <c r="B864" s="17">
        <v>3</v>
      </c>
      <c r="C864" s="17">
        <v>3</v>
      </c>
      <c r="D864" s="17" t="s">
        <v>393</v>
      </c>
      <c r="E864" s="17" t="s">
        <v>352</v>
      </c>
      <c r="F864" s="17" t="str">
        <f>TEXT(data[[#This Row],[ShipDate]],"yyyy - mmmm")</f>
        <v>2016 - March</v>
      </c>
      <c r="G864" s="17" t="str">
        <f>data[[#This Row],[OriginCity]] &amp; " - "  &amp; data[[#This Row],[DestinationCity]]</f>
        <v>Indianapolis - Northbrook</v>
      </c>
      <c r="H864" s="17" t="s">
        <v>43</v>
      </c>
      <c r="I864" s="17" t="s">
        <v>44</v>
      </c>
      <c r="J864" s="17">
        <v>4</v>
      </c>
      <c r="K864" s="17" t="s">
        <v>45</v>
      </c>
      <c r="L864" s="17" t="s">
        <v>31</v>
      </c>
      <c r="M864" s="17" t="s">
        <v>133</v>
      </c>
      <c r="N864" s="17">
        <v>692</v>
      </c>
      <c r="O864" s="17">
        <v>692</v>
      </c>
      <c r="P864" s="26">
        <f>(data[[#This Row],[LoadedMiles]]/data[[#This Row],[TotalMiles]])*100</f>
        <v>100</v>
      </c>
      <c r="Q864" s="25">
        <f>data[[#This Row],[ShippingCost]]/data[[#This Row],[TotalMiles]]</f>
        <v>5.8656069364161851</v>
      </c>
      <c r="R864" s="17">
        <v>4059</v>
      </c>
      <c r="S864" s="25">
        <f>data[[#This Row],[Revenue]]/data[[#This Row],[TotalMiles]]</f>
        <v>6.7846820809248554</v>
      </c>
      <c r="T864" s="26">
        <f>data[[#This Row],[Revenue]]-data[[#This Row],[ShippingCost]]</f>
        <v>636</v>
      </c>
      <c r="U864" s="17">
        <v>4695</v>
      </c>
      <c r="V864" s="17">
        <v>63</v>
      </c>
      <c r="W864" s="17" t="s">
        <v>25</v>
      </c>
      <c r="X864" s="17">
        <v>8</v>
      </c>
      <c r="Y864" s="17">
        <f>data[[#This Row],[DeliveryDate]]-data[[#This Row],[ShipDate]]</f>
        <v>4</v>
      </c>
      <c r="Z864" s="17" t="str">
        <f>IF(data[[#This Row],[Actual Delivery Days]]&gt;AD865,"Yes","No")</f>
        <v>Yes</v>
      </c>
    </row>
    <row r="865" spans="1:26">
      <c r="A865" s="17">
        <v>11635</v>
      </c>
      <c r="B865" s="17">
        <v>3</v>
      </c>
      <c r="C865" s="17">
        <v>2</v>
      </c>
      <c r="D865" s="17" t="s">
        <v>397</v>
      </c>
      <c r="E865" s="17" t="s">
        <v>307</v>
      </c>
      <c r="F865" s="17" t="str">
        <f>TEXT(data[[#This Row],[ShipDate]],"yyyy - mmmm")</f>
        <v>2016 - August</v>
      </c>
      <c r="G865" s="17" t="str">
        <f>data[[#This Row],[OriginCity]] &amp; " - "  &amp; data[[#This Row],[DestinationCity]]</f>
        <v>Detriot - Monon</v>
      </c>
      <c r="H865" s="17" t="s">
        <v>52</v>
      </c>
      <c r="I865" s="17" t="s">
        <v>21</v>
      </c>
      <c r="J865" s="17">
        <v>4</v>
      </c>
      <c r="K865" s="17" t="s">
        <v>53</v>
      </c>
      <c r="L865" s="17" t="s">
        <v>44</v>
      </c>
      <c r="M865" s="17" t="s">
        <v>302</v>
      </c>
      <c r="N865" s="17">
        <v>761</v>
      </c>
      <c r="O865" s="17">
        <v>327</v>
      </c>
      <c r="P865" s="26">
        <f>(data[[#This Row],[LoadedMiles]]/data[[#This Row],[TotalMiles]])*100</f>
        <v>42.96977660972405</v>
      </c>
      <c r="Q865" s="25">
        <f>data[[#This Row],[ShippingCost]]/data[[#This Row],[TotalMiles]]</f>
        <v>9.2444152431011819</v>
      </c>
      <c r="R865" s="17">
        <v>7035</v>
      </c>
      <c r="S865" s="25">
        <f>data[[#This Row],[Revenue]]/data[[#This Row],[TotalMiles]]</f>
        <v>9.4678055190538757</v>
      </c>
      <c r="T865" s="26">
        <f>data[[#This Row],[Revenue]]-data[[#This Row],[ShippingCost]]</f>
        <v>170</v>
      </c>
      <c r="U865" s="17">
        <v>7205</v>
      </c>
      <c r="V865" s="17">
        <v>66</v>
      </c>
      <c r="W865" s="17" t="s">
        <v>25</v>
      </c>
      <c r="X865" s="17">
        <v>1</v>
      </c>
      <c r="Y865" s="17">
        <f>data[[#This Row],[DeliveryDate]]-data[[#This Row],[ShipDate]]</f>
        <v>4</v>
      </c>
      <c r="Z865" s="17" t="str">
        <f>IF(data[[#This Row],[Actual Delivery Days]]&gt;AD866,"Yes","No")</f>
        <v>Yes</v>
      </c>
    </row>
    <row r="866" spans="1:26">
      <c r="A866" s="17">
        <v>11644</v>
      </c>
      <c r="B866" s="17">
        <v>2</v>
      </c>
      <c r="C866" s="17">
        <v>4</v>
      </c>
      <c r="D866" s="17" t="s">
        <v>411</v>
      </c>
      <c r="E866" s="17" t="s">
        <v>130</v>
      </c>
      <c r="F866" s="17" t="str">
        <f>TEXT(data[[#This Row],[ShipDate]],"yyyy - mmmm")</f>
        <v>2016 - March</v>
      </c>
      <c r="G866" s="17" t="str">
        <f>data[[#This Row],[OriginCity]] &amp; " - "  &amp; data[[#This Row],[DestinationCity]]</f>
        <v>Cincinnati - Gary</v>
      </c>
      <c r="H866" s="17" t="s">
        <v>89</v>
      </c>
      <c r="I866" s="17" t="s">
        <v>23</v>
      </c>
      <c r="J866" s="17">
        <v>4</v>
      </c>
      <c r="K866" s="17" t="s">
        <v>57</v>
      </c>
      <c r="L866" s="17" t="s">
        <v>44</v>
      </c>
      <c r="M866" s="17" t="s">
        <v>355</v>
      </c>
      <c r="N866" s="17">
        <v>1082</v>
      </c>
      <c r="O866" s="17">
        <v>620</v>
      </c>
      <c r="P866" s="26">
        <f>(data[[#This Row],[LoadedMiles]]/data[[#This Row],[TotalMiles]])*100</f>
        <v>57.301293900184845</v>
      </c>
      <c r="Q866" s="25">
        <f>data[[#This Row],[ShippingCost]]/data[[#This Row],[TotalMiles]]</f>
        <v>4.4232902033271717</v>
      </c>
      <c r="R866" s="17">
        <v>4786</v>
      </c>
      <c r="S866" s="25">
        <f>data[[#This Row],[Revenue]]/data[[#This Row],[TotalMiles]]</f>
        <v>2.5304990757855821</v>
      </c>
      <c r="T866" s="26">
        <f>data[[#This Row],[Revenue]]-data[[#This Row],[ShippingCost]]</f>
        <v>-2048</v>
      </c>
      <c r="U866" s="17">
        <v>2738</v>
      </c>
      <c r="V866" s="17">
        <v>97</v>
      </c>
      <c r="W866" s="17" t="s">
        <v>25</v>
      </c>
      <c r="X866" s="17">
        <v>2</v>
      </c>
      <c r="Y866" s="17">
        <f>data[[#This Row],[DeliveryDate]]-data[[#This Row],[ShipDate]]</f>
        <v>4</v>
      </c>
      <c r="Z866" s="17" t="str">
        <f>IF(data[[#This Row],[Actual Delivery Days]]&gt;AD867,"Yes","No")</f>
        <v>Yes</v>
      </c>
    </row>
    <row r="867" spans="1:26">
      <c r="A867" s="17">
        <v>11652</v>
      </c>
      <c r="B867" s="17">
        <v>2</v>
      </c>
      <c r="C867" s="17">
        <v>4</v>
      </c>
      <c r="D867" s="17" t="s">
        <v>428</v>
      </c>
      <c r="E867" s="17" t="s">
        <v>261</v>
      </c>
      <c r="F867" s="17" t="str">
        <f>TEXT(data[[#This Row],[ShipDate]],"yyyy - mmmm")</f>
        <v>2016 - May</v>
      </c>
      <c r="G867" s="17" t="str">
        <f>data[[#This Row],[OriginCity]] &amp; " - "  &amp; data[[#This Row],[DestinationCity]]</f>
        <v>Milwaukee - Springfield</v>
      </c>
      <c r="H867" s="17" t="s">
        <v>28</v>
      </c>
      <c r="I867" s="17" t="s">
        <v>29</v>
      </c>
      <c r="J867" s="17">
        <v>4</v>
      </c>
      <c r="K867" s="17" t="s">
        <v>30</v>
      </c>
      <c r="L867" s="17" t="s">
        <v>31</v>
      </c>
      <c r="M867" s="17" t="s">
        <v>312</v>
      </c>
      <c r="N867" s="17">
        <v>708</v>
      </c>
      <c r="O867" s="17">
        <v>338</v>
      </c>
      <c r="P867" s="26">
        <f>(data[[#This Row],[LoadedMiles]]/data[[#This Row],[TotalMiles]])*100</f>
        <v>47.740112994350284</v>
      </c>
      <c r="Q867" s="25">
        <f>data[[#This Row],[ShippingCost]]/data[[#This Row],[TotalMiles]]</f>
        <v>9.240112994350282</v>
      </c>
      <c r="R867" s="17">
        <v>6542</v>
      </c>
      <c r="S867" s="25">
        <f>data[[#This Row],[Revenue]]/data[[#This Row],[TotalMiles]]</f>
        <v>6.1680790960451981</v>
      </c>
      <c r="T867" s="26">
        <f>data[[#This Row],[Revenue]]-data[[#This Row],[ShippingCost]]</f>
        <v>-2175</v>
      </c>
      <c r="U867" s="17">
        <v>4367</v>
      </c>
      <c r="V867" s="17">
        <v>53</v>
      </c>
      <c r="W867" s="17" t="s">
        <v>25</v>
      </c>
      <c r="X867" s="17">
        <v>7</v>
      </c>
      <c r="Y867" s="17">
        <f>data[[#This Row],[DeliveryDate]]-data[[#This Row],[ShipDate]]</f>
        <v>4</v>
      </c>
      <c r="Z867" s="17" t="str">
        <f>IF(data[[#This Row],[Actual Delivery Days]]&gt;AD868,"Yes","No")</f>
        <v>Yes</v>
      </c>
    </row>
    <row r="868" spans="1:26">
      <c r="A868" s="17">
        <v>11660</v>
      </c>
      <c r="B868" s="17">
        <v>2</v>
      </c>
      <c r="C868" s="17">
        <v>2</v>
      </c>
      <c r="D868" s="17" t="s">
        <v>443</v>
      </c>
      <c r="E868" s="17" t="s">
        <v>108</v>
      </c>
      <c r="F868" s="17" t="str">
        <f>TEXT(data[[#This Row],[ShipDate]],"yyyy - mmmm")</f>
        <v>2016 - May</v>
      </c>
      <c r="G868" s="17" t="str">
        <f>data[[#This Row],[OriginCity]] &amp; " - "  &amp; data[[#This Row],[DestinationCity]]</f>
        <v>Naperville - Indianapolis</v>
      </c>
      <c r="H868" s="17" t="s">
        <v>48</v>
      </c>
      <c r="I868" s="17" t="s">
        <v>31</v>
      </c>
      <c r="J868" s="17">
        <v>4</v>
      </c>
      <c r="K868" s="17" t="s">
        <v>43</v>
      </c>
      <c r="L868" s="17" t="s">
        <v>44</v>
      </c>
      <c r="M868" s="17" t="s">
        <v>509</v>
      </c>
      <c r="N868" s="17">
        <v>917</v>
      </c>
      <c r="O868" s="17">
        <v>237</v>
      </c>
      <c r="P868" s="26">
        <f>(data[[#This Row],[LoadedMiles]]/data[[#This Row],[TotalMiles]])*100</f>
        <v>25.84514721919302</v>
      </c>
      <c r="Q868" s="25">
        <f>data[[#This Row],[ShippingCost]]/data[[#This Row],[TotalMiles]]</f>
        <v>8.0032715376226822</v>
      </c>
      <c r="R868" s="17">
        <v>7339</v>
      </c>
      <c r="S868" s="25">
        <f>data[[#This Row],[Revenue]]/data[[#This Row],[TotalMiles]]</f>
        <v>8.5299890948745904</v>
      </c>
      <c r="T868" s="26">
        <f>data[[#This Row],[Revenue]]-data[[#This Row],[ShippingCost]]</f>
        <v>483</v>
      </c>
      <c r="U868" s="17">
        <v>7822</v>
      </c>
      <c r="V868" s="17">
        <v>80</v>
      </c>
      <c r="W868" s="17" t="s">
        <v>25</v>
      </c>
      <c r="X868" s="17">
        <v>6</v>
      </c>
      <c r="Y868" s="17">
        <f>data[[#This Row],[DeliveryDate]]-data[[#This Row],[ShipDate]]</f>
        <v>4</v>
      </c>
      <c r="Z868" s="17" t="str">
        <f>IF(data[[#This Row],[Actual Delivery Days]]&gt;AD869,"Yes","No")</f>
        <v>Yes</v>
      </c>
    </row>
    <row r="869" spans="1:26">
      <c r="A869" s="17">
        <v>11664</v>
      </c>
      <c r="B869" s="17">
        <v>2</v>
      </c>
      <c r="C869" s="17">
        <v>1</v>
      </c>
      <c r="D869" s="17" t="s">
        <v>450</v>
      </c>
      <c r="E869" s="17" t="s">
        <v>332</v>
      </c>
      <c r="F869" s="17" t="str">
        <f>TEXT(data[[#This Row],[ShipDate]],"yyyy - mmmm")</f>
        <v>2016 - February</v>
      </c>
      <c r="G869" s="17" t="str">
        <f>data[[#This Row],[OriginCity]] &amp; " - "  &amp; data[[#This Row],[DestinationCity]]</f>
        <v>Dayton - Elgin</v>
      </c>
      <c r="H869" s="17" t="s">
        <v>93</v>
      </c>
      <c r="I869" s="17" t="s">
        <v>23</v>
      </c>
      <c r="J869" s="17">
        <v>4</v>
      </c>
      <c r="K869" s="17" t="s">
        <v>94</v>
      </c>
      <c r="L869" s="17" t="s">
        <v>31</v>
      </c>
      <c r="M869" s="17" t="s">
        <v>363</v>
      </c>
      <c r="N869" s="17">
        <v>370</v>
      </c>
      <c r="O869" s="17">
        <v>370</v>
      </c>
      <c r="P869" s="26">
        <f>(data[[#This Row],[LoadedMiles]]/data[[#This Row],[TotalMiles]])*100</f>
        <v>100</v>
      </c>
      <c r="Q869" s="25">
        <f>data[[#This Row],[ShippingCost]]/data[[#This Row],[TotalMiles]]</f>
        <v>12.829729729729729</v>
      </c>
      <c r="R869" s="17">
        <v>4747</v>
      </c>
      <c r="S869" s="25">
        <f>data[[#This Row],[Revenue]]/data[[#This Row],[TotalMiles]]</f>
        <v>25.008108108108107</v>
      </c>
      <c r="T869" s="26">
        <f>data[[#This Row],[Revenue]]-data[[#This Row],[ShippingCost]]</f>
        <v>4506</v>
      </c>
      <c r="U869" s="17">
        <v>9253</v>
      </c>
      <c r="V869" s="17">
        <v>88</v>
      </c>
      <c r="W869" s="17" t="s">
        <v>25</v>
      </c>
      <c r="X869" s="17">
        <v>1</v>
      </c>
      <c r="Y869" s="17">
        <f>data[[#This Row],[DeliveryDate]]-data[[#This Row],[ShipDate]]</f>
        <v>3</v>
      </c>
      <c r="Z869" s="17" t="str">
        <f>IF(data[[#This Row],[Actual Delivery Days]]&gt;AD870,"Yes","No")</f>
        <v>Yes</v>
      </c>
    </row>
    <row r="870" spans="1:26">
      <c r="A870" s="17">
        <v>11665</v>
      </c>
      <c r="B870" s="17">
        <v>3</v>
      </c>
      <c r="C870" s="17">
        <v>2</v>
      </c>
      <c r="D870" s="17" t="s">
        <v>452</v>
      </c>
      <c r="E870" s="17" t="s">
        <v>177</v>
      </c>
      <c r="F870" s="17" t="str">
        <f>TEXT(data[[#This Row],[ShipDate]],"yyyy - mmmm")</f>
        <v>2016 - June</v>
      </c>
      <c r="G870" s="17" t="str">
        <f>data[[#This Row],[OriginCity]] &amp; " - "  &amp; data[[#This Row],[DestinationCity]]</f>
        <v>Lansing - Dayton</v>
      </c>
      <c r="H870" s="17" t="s">
        <v>66</v>
      </c>
      <c r="I870" s="17" t="s">
        <v>21</v>
      </c>
      <c r="J870" s="17">
        <v>4</v>
      </c>
      <c r="K870" s="17" t="s">
        <v>93</v>
      </c>
      <c r="L870" s="17" t="s">
        <v>23</v>
      </c>
      <c r="M870" s="17" t="s">
        <v>319</v>
      </c>
      <c r="N870" s="17">
        <v>1062</v>
      </c>
      <c r="O870" s="17">
        <v>645</v>
      </c>
      <c r="P870" s="26">
        <f>(data[[#This Row],[LoadedMiles]]/data[[#This Row],[TotalMiles]])*100</f>
        <v>60.734463276836159</v>
      </c>
      <c r="Q870" s="25">
        <f>data[[#This Row],[ShippingCost]]/data[[#This Row],[TotalMiles]]</f>
        <v>4.3662900188323919</v>
      </c>
      <c r="R870" s="17">
        <v>4637</v>
      </c>
      <c r="S870" s="25">
        <f>data[[#This Row],[Revenue]]/data[[#This Row],[TotalMiles]]</f>
        <v>4.7881355932203391</v>
      </c>
      <c r="T870" s="26">
        <f>data[[#This Row],[Revenue]]-data[[#This Row],[ShippingCost]]</f>
        <v>448</v>
      </c>
      <c r="U870" s="17">
        <v>5085</v>
      </c>
      <c r="V870" s="17">
        <v>64</v>
      </c>
      <c r="W870" s="17" t="s">
        <v>25</v>
      </c>
      <c r="X870" s="17">
        <v>7</v>
      </c>
      <c r="Y870" s="17">
        <f>data[[#This Row],[DeliveryDate]]-data[[#This Row],[ShipDate]]</f>
        <v>4</v>
      </c>
      <c r="Z870" s="17" t="str">
        <f>IF(data[[#This Row],[Actual Delivery Days]]&gt;AD871,"Yes","No")</f>
        <v>Yes</v>
      </c>
    </row>
    <row r="871" spans="1:26">
      <c r="A871" s="17">
        <v>11681</v>
      </c>
      <c r="B871" s="17">
        <v>3</v>
      </c>
      <c r="C871" s="17">
        <v>6</v>
      </c>
      <c r="D871" s="17" t="s">
        <v>479</v>
      </c>
      <c r="E871" s="17" t="s">
        <v>597</v>
      </c>
      <c r="F871" s="17" t="str">
        <f>TEXT(data[[#This Row],[ShipDate]],"yyyy - mmmm")</f>
        <v>2016 - August</v>
      </c>
      <c r="G871" s="17" t="str">
        <f>data[[#This Row],[OriginCity]] &amp; " - "  &amp; data[[#This Row],[DestinationCity]]</f>
        <v>Rockford - Green Bay</v>
      </c>
      <c r="H871" s="17" t="s">
        <v>40</v>
      </c>
      <c r="I871" s="17" t="s">
        <v>31</v>
      </c>
      <c r="J871" s="17">
        <v>4</v>
      </c>
      <c r="K871" s="17" t="s">
        <v>75</v>
      </c>
      <c r="L871" s="17" t="s">
        <v>29</v>
      </c>
      <c r="M871" s="17" t="s">
        <v>119</v>
      </c>
      <c r="N871" s="17">
        <v>533</v>
      </c>
      <c r="O871" s="17">
        <v>464</v>
      </c>
      <c r="P871" s="26">
        <f>(data[[#This Row],[LoadedMiles]]/data[[#This Row],[TotalMiles]])*100</f>
        <v>87.054409005628514</v>
      </c>
      <c r="Q871" s="25">
        <f>data[[#This Row],[ShippingCost]]/data[[#This Row],[TotalMiles]]</f>
        <v>15.891181988742964</v>
      </c>
      <c r="R871" s="17">
        <v>8470</v>
      </c>
      <c r="S871" s="25">
        <f>data[[#This Row],[Revenue]]/data[[#This Row],[TotalMiles]]</f>
        <v>16.504690431519698</v>
      </c>
      <c r="T871" s="26">
        <f>data[[#This Row],[Revenue]]-data[[#This Row],[ShippingCost]]</f>
        <v>327</v>
      </c>
      <c r="U871" s="17">
        <v>8797</v>
      </c>
      <c r="V871" s="17">
        <v>72</v>
      </c>
      <c r="W871" s="17" t="s">
        <v>25</v>
      </c>
      <c r="X871" s="17">
        <v>4</v>
      </c>
      <c r="Y871" s="17">
        <f>data[[#This Row],[DeliveryDate]]-data[[#This Row],[ShipDate]]</f>
        <v>4</v>
      </c>
      <c r="Z871" s="17" t="str">
        <f>IF(data[[#This Row],[Actual Delivery Days]]&gt;AD872,"Yes","No")</f>
        <v>Yes</v>
      </c>
    </row>
    <row r="872" spans="1:26">
      <c r="A872" s="17">
        <v>11684</v>
      </c>
      <c r="B872" s="17">
        <v>2</v>
      </c>
      <c r="C872" s="17">
        <v>4</v>
      </c>
      <c r="D872" s="17" t="s">
        <v>483</v>
      </c>
      <c r="E872" s="17" t="s">
        <v>97</v>
      </c>
      <c r="F872" s="17" t="str">
        <f>TEXT(data[[#This Row],[ShipDate]],"yyyy - mmmm")</f>
        <v>2016 - April</v>
      </c>
      <c r="G872" s="17" t="str">
        <f>data[[#This Row],[OriginCity]] &amp; " - "  &amp; data[[#This Row],[DestinationCity]]</f>
        <v>Dayton - Elgin</v>
      </c>
      <c r="H872" s="17" t="s">
        <v>93</v>
      </c>
      <c r="I872" s="17" t="s">
        <v>23</v>
      </c>
      <c r="J872" s="17">
        <v>4</v>
      </c>
      <c r="K872" s="17" t="s">
        <v>94</v>
      </c>
      <c r="L872" s="17" t="s">
        <v>31</v>
      </c>
      <c r="M872" s="17" t="s">
        <v>101</v>
      </c>
      <c r="N872" s="17">
        <v>749</v>
      </c>
      <c r="O872" s="17">
        <v>509</v>
      </c>
      <c r="P872" s="26">
        <f>(data[[#This Row],[LoadedMiles]]/data[[#This Row],[TotalMiles]])*100</f>
        <v>67.957276368491321</v>
      </c>
      <c r="Q872" s="25">
        <f>data[[#This Row],[ShippingCost]]/data[[#This Row],[TotalMiles]]</f>
        <v>9.1962616822429908</v>
      </c>
      <c r="R872" s="17">
        <v>6888</v>
      </c>
      <c r="S872" s="25">
        <f>data[[#This Row],[Revenue]]/data[[#This Row],[TotalMiles]]</f>
        <v>6.4766355140186915</v>
      </c>
      <c r="T872" s="26">
        <f>data[[#This Row],[Revenue]]-data[[#This Row],[ShippingCost]]</f>
        <v>-2037</v>
      </c>
      <c r="U872" s="17">
        <v>4851</v>
      </c>
      <c r="V872" s="17">
        <v>93</v>
      </c>
      <c r="W872" s="17" t="s">
        <v>25</v>
      </c>
      <c r="X872" s="17">
        <v>6</v>
      </c>
      <c r="Y872" s="17">
        <f>data[[#This Row],[DeliveryDate]]-data[[#This Row],[ShipDate]]</f>
        <v>4</v>
      </c>
      <c r="Z872" s="17" t="str">
        <f>IF(data[[#This Row],[Actual Delivery Days]]&gt;AD873,"Yes","No")</f>
        <v>Yes</v>
      </c>
    </row>
    <row r="873" spans="1:26">
      <c r="A873" s="17">
        <v>11685</v>
      </c>
      <c r="B873" s="17">
        <v>3</v>
      </c>
      <c r="C873" s="17">
        <v>2</v>
      </c>
      <c r="D873" s="17" t="s">
        <v>485</v>
      </c>
      <c r="E873" s="17" t="s">
        <v>553</v>
      </c>
      <c r="F873" s="17" t="str">
        <f>TEXT(data[[#This Row],[ShipDate]],"yyyy - mmmm")</f>
        <v>2016 - July</v>
      </c>
      <c r="G873" s="17" t="str">
        <f>data[[#This Row],[OriginCity]] &amp; " - "  &amp; data[[#This Row],[DestinationCity]]</f>
        <v>Lansing - Dayton</v>
      </c>
      <c r="H873" s="17" t="s">
        <v>66</v>
      </c>
      <c r="I873" s="17" t="s">
        <v>21</v>
      </c>
      <c r="J873" s="17">
        <v>4</v>
      </c>
      <c r="K873" s="17" t="s">
        <v>93</v>
      </c>
      <c r="L873" s="17" t="s">
        <v>23</v>
      </c>
      <c r="M873" s="17" t="s">
        <v>467</v>
      </c>
      <c r="N873" s="17">
        <v>205</v>
      </c>
      <c r="O873" s="17">
        <v>205</v>
      </c>
      <c r="P873" s="26">
        <f>(data[[#This Row],[LoadedMiles]]/data[[#This Row],[TotalMiles]])*100</f>
        <v>100</v>
      </c>
      <c r="Q873" s="25">
        <f>data[[#This Row],[ShippingCost]]/data[[#This Row],[TotalMiles]]</f>
        <v>21.10731707317073</v>
      </c>
      <c r="R873" s="17">
        <v>4327</v>
      </c>
      <c r="S873" s="25">
        <f>data[[#This Row],[Revenue]]/data[[#This Row],[TotalMiles]]</f>
        <v>24.712195121951218</v>
      </c>
      <c r="T873" s="26">
        <f>data[[#This Row],[Revenue]]-data[[#This Row],[ShippingCost]]</f>
        <v>739</v>
      </c>
      <c r="U873" s="17">
        <v>5066</v>
      </c>
      <c r="V873" s="17">
        <v>90</v>
      </c>
      <c r="W873" s="17" t="s">
        <v>25</v>
      </c>
      <c r="X873" s="17">
        <v>8</v>
      </c>
      <c r="Y873" s="17">
        <f>data[[#This Row],[DeliveryDate]]-data[[#This Row],[ShipDate]]</f>
        <v>4</v>
      </c>
      <c r="Z873" s="17" t="str">
        <f>IF(data[[#This Row],[Actual Delivery Days]]&gt;AD874,"Yes","No")</f>
        <v>Yes</v>
      </c>
    </row>
    <row r="874" spans="1:26">
      <c r="A874" s="17">
        <v>11699</v>
      </c>
      <c r="B874" s="17">
        <v>2</v>
      </c>
      <c r="C874" s="17">
        <v>5</v>
      </c>
      <c r="D874" s="17" t="s">
        <v>504</v>
      </c>
      <c r="E874" s="17" t="s">
        <v>302</v>
      </c>
      <c r="F874" s="17" t="str">
        <f>TEXT(data[[#This Row],[ShipDate]],"yyyy - mmmm")</f>
        <v>2016 - August</v>
      </c>
      <c r="G874" s="17" t="str">
        <f>data[[#This Row],[OriginCity]] &amp; " - "  &amp; data[[#This Row],[DestinationCity]]</f>
        <v>Madison - Kalamazoo</v>
      </c>
      <c r="H874" s="17" t="s">
        <v>62</v>
      </c>
      <c r="I874" s="17" t="s">
        <v>29</v>
      </c>
      <c r="J874" s="17">
        <v>4</v>
      </c>
      <c r="K874" s="17" t="s">
        <v>71</v>
      </c>
      <c r="L874" s="17" t="s">
        <v>21</v>
      </c>
      <c r="M874" s="17" t="s">
        <v>216</v>
      </c>
      <c r="N874" s="17">
        <v>527</v>
      </c>
      <c r="O874" s="17">
        <v>401</v>
      </c>
      <c r="P874" s="26">
        <f>(data[[#This Row],[LoadedMiles]]/data[[#This Row],[TotalMiles]])*100</f>
        <v>76.091081593927896</v>
      </c>
      <c r="Q874" s="25">
        <f>data[[#This Row],[ShippingCost]]/data[[#This Row],[TotalMiles]]</f>
        <v>13.952561669829223</v>
      </c>
      <c r="R874" s="17">
        <v>7353</v>
      </c>
      <c r="S874" s="25">
        <f>data[[#This Row],[Revenue]]/data[[#This Row],[TotalMiles]]</f>
        <v>15.631878557874764</v>
      </c>
      <c r="T874" s="26">
        <f>data[[#This Row],[Revenue]]-data[[#This Row],[ShippingCost]]</f>
        <v>885</v>
      </c>
      <c r="U874" s="17">
        <v>8238</v>
      </c>
      <c r="V874" s="17">
        <v>61</v>
      </c>
      <c r="W874" s="17" t="s">
        <v>25</v>
      </c>
      <c r="X874" s="17">
        <v>10</v>
      </c>
      <c r="Y874" s="17">
        <f>data[[#This Row],[DeliveryDate]]-data[[#This Row],[ShipDate]]</f>
        <v>4</v>
      </c>
      <c r="Z874" s="17" t="str">
        <f>IF(data[[#This Row],[Actual Delivery Days]]&gt;AD875,"Yes","No")</f>
        <v>Yes</v>
      </c>
    </row>
    <row r="875" spans="1:26">
      <c r="A875" s="17">
        <v>11701</v>
      </c>
      <c r="B875" s="17">
        <v>3</v>
      </c>
      <c r="C875" s="17">
        <v>2</v>
      </c>
      <c r="D875" s="17" t="s">
        <v>506</v>
      </c>
      <c r="E875" s="17" t="s">
        <v>227</v>
      </c>
      <c r="F875" s="17" t="str">
        <f>TEXT(data[[#This Row],[ShipDate]],"yyyy - mmmm")</f>
        <v>2016 - May</v>
      </c>
      <c r="G875" s="17" t="str">
        <f>data[[#This Row],[OriginCity]] &amp; " - "  &amp; data[[#This Row],[DestinationCity]]</f>
        <v>Naperville - Indianapolis</v>
      </c>
      <c r="H875" s="17" t="s">
        <v>48</v>
      </c>
      <c r="I875" s="17" t="s">
        <v>31</v>
      </c>
      <c r="J875" s="17">
        <v>4</v>
      </c>
      <c r="K875" s="17" t="s">
        <v>43</v>
      </c>
      <c r="L875" s="17" t="s">
        <v>44</v>
      </c>
      <c r="M875" s="17" t="s">
        <v>348</v>
      </c>
      <c r="N875" s="17">
        <v>505</v>
      </c>
      <c r="O875" s="17">
        <v>505</v>
      </c>
      <c r="P875" s="26">
        <f>(data[[#This Row],[LoadedMiles]]/data[[#This Row],[TotalMiles]])*100</f>
        <v>100</v>
      </c>
      <c r="Q875" s="25">
        <f>data[[#This Row],[ShippingCost]]/data[[#This Row],[TotalMiles]]</f>
        <v>4.8732673267326732</v>
      </c>
      <c r="R875" s="17">
        <v>2461</v>
      </c>
      <c r="S875" s="25">
        <f>data[[#This Row],[Revenue]]/data[[#This Row],[TotalMiles]]</f>
        <v>5.110891089108911</v>
      </c>
      <c r="T875" s="26">
        <f>data[[#This Row],[Revenue]]-data[[#This Row],[ShippingCost]]</f>
        <v>120</v>
      </c>
      <c r="U875" s="17">
        <v>2581</v>
      </c>
      <c r="V875" s="17">
        <v>90</v>
      </c>
      <c r="W875" s="17" t="s">
        <v>25</v>
      </c>
      <c r="X875" s="17">
        <v>8</v>
      </c>
      <c r="Y875" s="17">
        <f>data[[#This Row],[DeliveryDate]]-data[[#This Row],[ShipDate]]</f>
        <v>4</v>
      </c>
      <c r="Z875" s="17" t="str">
        <f>IF(data[[#This Row],[Actual Delivery Days]]&gt;AD876,"Yes","No")</f>
        <v>Yes</v>
      </c>
    </row>
    <row r="876" spans="1:26">
      <c r="A876" s="17">
        <v>11705</v>
      </c>
      <c r="B876" s="17">
        <v>3</v>
      </c>
      <c r="C876" s="17">
        <v>2</v>
      </c>
      <c r="D876" s="17" t="s">
        <v>511</v>
      </c>
      <c r="E876" s="17" t="s">
        <v>615</v>
      </c>
      <c r="F876" s="17" t="str">
        <f>TEXT(data[[#This Row],[ShipDate]],"yyyy - mmmm")</f>
        <v>2016 - January</v>
      </c>
      <c r="G876" s="17" t="str">
        <f>data[[#This Row],[OriginCity]] &amp; " - "  &amp; data[[#This Row],[DestinationCity]]</f>
        <v>Dayton - Elgin</v>
      </c>
      <c r="H876" s="17" t="s">
        <v>93</v>
      </c>
      <c r="I876" s="17" t="s">
        <v>23</v>
      </c>
      <c r="J876" s="17">
        <v>4</v>
      </c>
      <c r="K876" s="17" t="s">
        <v>94</v>
      </c>
      <c r="L876" s="17" t="s">
        <v>31</v>
      </c>
      <c r="M876" s="17" t="s">
        <v>245</v>
      </c>
      <c r="N876" s="17">
        <v>972</v>
      </c>
      <c r="O876" s="17">
        <v>551</v>
      </c>
      <c r="P876" s="26">
        <f>(data[[#This Row],[LoadedMiles]]/data[[#This Row],[TotalMiles]])*100</f>
        <v>56.687242798353907</v>
      </c>
      <c r="Q876" s="25">
        <f>data[[#This Row],[ShippingCost]]/data[[#This Row],[TotalMiles]]</f>
        <v>5.7253086419753085</v>
      </c>
      <c r="R876" s="17">
        <v>5565</v>
      </c>
      <c r="S876" s="25">
        <f>data[[#This Row],[Revenue]]/data[[#This Row],[TotalMiles]]</f>
        <v>6.1687242798353905</v>
      </c>
      <c r="T876" s="26">
        <f>data[[#This Row],[Revenue]]-data[[#This Row],[ShippingCost]]</f>
        <v>431</v>
      </c>
      <c r="U876" s="17">
        <v>5996</v>
      </c>
      <c r="V876" s="17">
        <v>86</v>
      </c>
      <c r="W876" s="17" t="s">
        <v>25</v>
      </c>
      <c r="X876" s="17">
        <v>5</v>
      </c>
      <c r="Y876" s="17">
        <f>data[[#This Row],[DeliveryDate]]-data[[#This Row],[ShipDate]]</f>
        <v>1</v>
      </c>
      <c r="Z876" s="17" t="str">
        <f>IF(data[[#This Row],[Actual Delivery Days]]&gt;AD877,"Yes","No")</f>
        <v>Yes</v>
      </c>
    </row>
    <row r="877" spans="1:26">
      <c r="A877" s="17">
        <v>11734</v>
      </c>
      <c r="B877" s="17">
        <v>3</v>
      </c>
      <c r="C877" s="17">
        <v>3</v>
      </c>
      <c r="D877" s="17" t="s">
        <v>552</v>
      </c>
      <c r="E877" s="17" t="s">
        <v>82</v>
      </c>
      <c r="F877" s="17" t="str">
        <f>TEXT(data[[#This Row],[ShipDate]],"yyyy - mmmm")</f>
        <v>2016 - March</v>
      </c>
      <c r="G877" s="17" t="str">
        <f>data[[#This Row],[OriginCity]] &amp; " - "  &amp; data[[#This Row],[DestinationCity]]</f>
        <v>Grand Rapids - Toledo</v>
      </c>
      <c r="H877" s="17" t="s">
        <v>20</v>
      </c>
      <c r="I877" s="17" t="s">
        <v>21</v>
      </c>
      <c r="J877" s="17">
        <v>4</v>
      </c>
      <c r="K877" s="17" t="s">
        <v>22</v>
      </c>
      <c r="L877" s="17" t="s">
        <v>23</v>
      </c>
      <c r="M877" s="17" t="s">
        <v>130</v>
      </c>
      <c r="N877" s="17">
        <v>520</v>
      </c>
      <c r="O877" s="17">
        <v>283</v>
      </c>
      <c r="P877" s="26">
        <f>(data[[#This Row],[LoadedMiles]]/data[[#This Row],[TotalMiles]])*100</f>
        <v>54.42307692307692</v>
      </c>
      <c r="Q877" s="25">
        <f>data[[#This Row],[ShippingCost]]/data[[#This Row],[TotalMiles]]</f>
        <v>2.5307692307692307</v>
      </c>
      <c r="R877" s="17">
        <v>1316</v>
      </c>
      <c r="S877" s="25">
        <f>data[[#This Row],[Revenue]]/data[[#This Row],[TotalMiles]]</f>
        <v>3.375</v>
      </c>
      <c r="T877" s="26">
        <f>data[[#This Row],[Revenue]]-data[[#This Row],[ShippingCost]]</f>
        <v>439</v>
      </c>
      <c r="U877" s="17">
        <v>1755</v>
      </c>
      <c r="V877" s="17">
        <v>78</v>
      </c>
      <c r="W877" s="17" t="s">
        <v>25</v>
      </c>
      <c r="X877" s="17">
        <v>7</v>
      </c>
      <c r="Y877" s="17">
        <f>data[[#This Row],[DeliveryDate]]-data[[#This Row],[ShipDate]]</f>
        <v>1</v>
      </c>
      <c r="Z877" s="17" t="str">
        <f>IF(data[[#This Row],[Actual Delivery Days]]&gt;AD878,"Yes","No")</f>
        <v>Yes</v>
      </c>
    </row>
    <row r="878" spans="1:26">
      <c r="A878" s="17">
        <v>11740</v>
      </c>
      <c r="B878" s="17">
        <v>2</v>
      </c>
      <c r="C878" s="17">
        <v>1</v>
      </c>
      <c r="D878" s="17" t="s">
        <v>559</v>
      </c>
      <c r="E878" s="17" t="s">
        <v>470</v>
      </c>
      <c r="F878" s="17" t="str">
        <f>TEXT(data[[#This Row],[ShipDate]],"yyyy - mmmm")</f>
        <v>2016 - August</v>
      </c>
      <c r="G878" s="17" t="str">
        <f>data[[#This Row],[OriginCity]] &amp; " - "  &amp; data[[#This Row],[DestinationCity]]</f>
        <v>Detriot - Monon</v>
      </c>
      <c r="H878" s="17" t="s">
        <v>52</v>
      </c>
      <c r="I878" s="17" t="s">
        <v>21</v>
      </c>
      <c r="J878" s="17">
        <v>4</v>
      </c>
      <c r="K878" s="17" t="s">
        <v>53</v>
      </c>
      <c r="L878" s="17" t="s">
        <v>44</v>
      </c>
      <c r="M878" s="17" t="s">
        <v>416</v>
      </c>
      <c r="N878" s="17">
        <v>647</v>
      </c>
      <c r="O878" s="17">
        <v>647</v>
      </c>
      <c r="P878" s="26">
        <f>(data[[#This Row],[LoadedMiles]]/data[[#This Row],[TotalMiles]])*100</f>
        <v>100</v>
      </c>
      <c r="Q878" s="25">
        <f>data[[#This Row],[ShippingCost]]/data[[#This Row],[TotalMiles]]</f>
        <v>5.3833075734157649</v>
      </c>
      <c r="R878" s="17">
        <v>3483</v>
      </c>
      <c r="S878" s="25">
        <f>data[[#This Row],[Revenue]]/data[[#This Row],[TotalMiles]]</f>
        <v>12.528593508500773</v>
      </c>
      <c r="T878" s="26">
        <f>data[[#This Row],[Revenue]]-data[[#This Row],[ShippingCost]]</f>
        <v>4623</v>
      </c>
      <c r="U878" s="17">
        <v>8106</v>
      </c>
      <c r="V878" s="17">
        <v>55</v>
      </c>
      <c r="W878" s="17" t="s">
        <v>25</v>
      </c>
      <c r="X878" s="17">
        <v>5</v>
      </c>
      <c r="Y878" s="17">
        <f>data[[#This Row],[DeliveryDate]]-data[[#This Row],[ShipDate]]</f>
        <v>4</v>
      </c>
      <c r="Z878" s="17" t="str">
        <f>IF(data[[#This Row],[Actual Delivery Days]]&gt;AD879,"Yes","No")</f>
        <v>Yes</v>
      </c>
    </row>
    <row r="879" spans="1:26">
      <c r="A879" s="17">
        <v>11750</v>
      </c>
      <c r="B879" s="17">
        <v>3</v>
      </c>
      <c r="C879" s="17">
        <v>3</v>
      </c>
      <c r="D879" s="17" t="s">
        <v>570</v>
      </c>
      <c r="E879" s="17" t="s">
        <v>521</v>
      </c>
      <c r="F879" s="17" t="str">
        <f>TEXT(data[[#This Row],[ShipDate]],"yyyy - mmmm")</f>
        <v>2016 - February</v>
      </c>
      <c r="G879" s="17" t="str">
        <f>data[[#This Row],[OriginCity]] &amp; " - "  &amp; data[[#This Row],[DestinationCity]]</f>
        <v>Dayton - Elgin</v>
      </c>
      <c r="H879" s="17" t="s">
        <v>93</v>
      </c>
      <c r="I879" s="17" t="s">
        <v>23</v>
      </c>
      <c r="J879" s="17">
        <v>4</v>
      </c>
      <c r="K879" s="17" t="s">
        <v>94</v>
      </c>
      <c r="L879" s="17" t="s">
        <v>31</v>
      </c>
      <c r="M879" s="17" t="s">
        <v>522</v>
      </c>
      <c r="N879" s="17">
        <v>1036</v>
      </c>
      <c r="O879" s="17">
        <v>770</v>
      </c>
      <c r="P879" s="26">
        <f>(data[[#This Row],[LoadedMiles]]/data[[#This Row],[TotalMiles]])*100</f>
        <v>74.324324324324323</v>
      </c>
      <c r="Q879" s="25">
        <f>data[[#This Row],[ShippingCost]]/data[[#This Row],[TotalMiles]]</f>
        <v>5.5337837837837842</v>
      </c>
      <c r="R879" s="17">
        <v>5733</v>
      </c>
      <c r="S879" s="25">
        <f>data[[#This Row],[Revenue]]/data[[#This Row],[TotalMiles]]</f>
        <v>5.9874517374517371</v>
      </c>
      <c r="T879" s="26">
        <f>data[[#This Row],[Revenue]]-data[[#This Row],[ShippingCost]]</f>
        <v>470</v>
      </c>
      <c r="U879" s="17">
        <v>6203</v>
      </c>
      <c r="V879" s="17">
        <v>72</v>
      </c>
      <c r="W879" s="17" t="s">
        <v>25</v>
      </c>
      <c r="X879" s="17">
        <v>9</v>
      </c>
      <c r="Y879" s="17">
        <f>data[[#This Row],[DeliveryDate]]-data[[#This Row],[ShipDate]]</f>
        <v>4</v>
      </c>
      <c r="Z879" s="17" t="str">
        <f>IF(data[[#This Row],[Actual Delivery Days]]&gt;AD880,"Yes","No")</f>
        <v>Yes</v>
      </c>
    </row>
    <row r="880" spans="1:26">
      <c r="A880" s="17">
        <v>11757</v>
      </c>
      <c r="B880" s="17">
        <v>3</v>
      </c>
      <c r="C880" s="17">
        <v>6</v>
      </c>
      <c r="D880" s="17" t="s">
        <v>578</v>
      </c>
      <c r="E880" s="17" t="s">
        <v>608</v>
      </c>
      <c r="F880" s="17" t="str">
        <f>TEXT(data[[#This Row],[ShipDate]],"yyyy - mmmm")</f>
        <v>2016 - July</v>
      </c>
      <c r="G880" s="17" t="str">
        <f>data[[#This Row],[OriginCity]] &amp; " - "  &amp; data[[#This Row],[DestinationCity]]</f>
        <v>Davenport - Appleton</v>
      </c>
      <c r="H880" s="17" t="s">
        <v>105</v>
      </c>
      <c r="I880" s="17" t="s">
        <v>106</v>
      </c>
      <c r="J880" s="17">
        <v>4</v>
      </c>
      <c r="K880" s="17" t="s">
        <v>85</v>
      </c>
      <c r="L880" s="17" t="s">
        <v>29</v>
      </c>
      <c r="M880" s="17" t="s">
        <v>614</v>
      </c>
      <c r="N880" s="17">
        <v>499</v>
      </c>
      <c r="O880" s="17">
        <v>499</v>
      </c>
      <c r="P880" s="26">
        <f>(data[[#This Row],[LoadedMiles]]/data[[#This Row],[TotalMiles]])*100</f>
        <v>100</v>
      </c>
      <c r="Q880" s="25">
        <f>data[[#This Row],[ShippingCost]]/data[[#This Row],[TotalMiles]]</f>
        <v>11.93186372745491</v>
      </c>
      <c r="R880" s="17">
        <v>5954</v>
      </c>
      <c r="S880" s="25">
        <f>data[[#This Row],[Revenue]]/data[[#This Row],[TotalMiles]]</f>
        <v>12.96192384769539</v>
      </c>
      <c r="T880" s="26">
        <f>data[[#This Row],[Revenue]]-data[[#This Row],[ShippingCost]]</f>
        <v>514</v>
      </c>
      <c r="U880" s="17">
        <v>6468</v>
      </c>
      <c r="V880" s="17">
        <v>79</v>
      </c>
      <c r="W880" s="17" t="s">
        <v>25</v>
      </c>
      <c r="X880" s="17">
        <v>2</v>
      </c>
      <c r="Y880" s="17">
        <f>data[[#This Row],[DeliveryDate]]-data[[#This Row],[ShipDate]]</f>
        <v>4</v>
      </c>
      <c r="Z880" s="17" t="str">
        <f>IF(data[[#This Row],[Actual Delivery Days]]&gt;AD881,"Yes","No")</f>
        <v>Yes</v>
      </c>
    </row>
    <row r="881" spans="1:26">
      <c r="A881" s="17">
        <v>11758</v>
      </c>
      <c r="B881" s="17">
        <v>3</v>
      </c>
      <c r="C881" s="17">
        <v>6</v>
      </c>
      <c r="D881" s="17" t="s">
        <v>579</v>
      </c>
      <c r="E881" s="17" t="s">
        <v>480</v>
      </c>
      <c r="F881" s="17" t="str">
        <f>TEXT(data[[#This Row],[ShipDate]],"yyyy - mmmm")</f>
        <v>2016 - April</v>
      </c>
      <c r="G881" s="17" t="str">
        <f>data[[#This Row],[OriginCity]] &amp; " - "  &amp; data[[#This Row],[DestinationCity]]</f>
        <v>Grand Rapids - Toledo</v>
      </c>
      <c r="H881" s="17" t="s">
        <v>20</v>
      </c>
      <c r="I881" s="17" t="s">
        <v>21</v>
      </c>
      <c r="J881" s="17">
        <v>4</v>
      </c>
      <c r="K881" s="17" t="s">
        <v>22</v>
      </c>
      <c r="L881" s="17" t="s">
        <v>23</v>
      </c>
      <c r="M881" s="17" t="s">
        <v>606</v>
      </c>
      <c r="N881" s="17">
        <v>1137</v>
      </c>
      <c r="O881" s="17">
        <v>323</v>
      </c>
      <c r="P881" s="26">
        <f>(data[[#This Row],[LoadedMiles]]/data[[#This Row],[TotalMiles]])*100</f>
        <v>28.408091468777485</v>
      </c>
      <c r="Q881" s="25">
        <f>data[[#This Row],[ShippingCost]]/data[[#This Row],[TotalMiles]]</f>
        <v>6.3975373790677219</v>
      </c>
      <c r="R881" s="17">
        <v>7274</v>
      </c>
      <c r="S881" s="25">
        <f>data[[#This Row],[Revenue]]/data[[#This Row],[TotalMiles]]</f>
        <v>7.1459982409850484</v>
      </c>
      <c r="T881" s="26">
        <f>data[[#This Row],[Revenue]]-data[[#This Row],[ShippingCost]]</f>
        <v>851</v>
      </c>
      <c r="U881" s="17">
        <v>8125</v>
      </c>
      <c r="V881" s="17">
        <v>76</v>
      </c>
      <c r="W881" s="17" t="s">
        <v>25</v>
      </c>
      <c r="X881" s="17">
        <v>10</v>
      </c>
      <c r="Y881" s="17">
        <f>data[[#This Row],[DeliveryDate]]-data[[#This Row],[ShipDate]]</f>
        <v>4</v>
      </c>
      <c r="Z881" s="17" t="str">
        <f>IF(data[[#This Row],[Actual Delivery Days]]&gt;AD882,"Yes","No")</f>
        <v>Yes</v>
      </c>
    </row>
    <row r="882" spans="1:26">
      <c r="A882" s="17">
        <v>11760</v>
      </c>
      <c r="B882" s="17">
        <v>3</v>
      </c>
      <c r="C882" s="17">
        <v>5</v>
      </c>
      <c r="D882" s="17" t="s">
        <v>581</v>
      </c>
      <c r="E882" s="17" t="s">
        <v>622</v>
      </c>
      <c r="F882" s="17" t="str">
        <f>TEXT(data[[#This Row],[ShipDate]],"yyyy - mmmm")</f>
        <v>2016 - July</v>
      </c>
      <c r="G882" s="17" t="str">
        <f>data[[#This Row],[OriginCity]] &amp; " - "  &amp; data[[#This Row],[DestinationCity]]</f>
        <v>Springfield - Skokie</v>
      </c>
      <c r="H882" s="17" t="s">
        <v>30</v>
      </c>
      <c r="I882" s="17" t="s">
        <v>31</v>
      </c>
      <c r="J882" s="17">
        <v>4</v>
      </c>
      <c r="K882" s="17" t="s">
        <v>35</v>
      </c>
      <c r="L882" s="17" t="s">
        <v>31</v>
      </c>
      <c r="M882" s="17" t="s">
        <v>540</v>
      </c>
      <c r="N882" s="17">
        <v>1101</v>
      </c>
      <c r="O882" s="17">
        <v>222</v>
      </c>
      <c r="P882" s="26">
        <f>(data[[#This Row],[LoadedMiles]]/data[[#This Row],[TotalMiles]])*100</f>
        <v>20.163487738419619</v>
      </c>
      <c r="Q882" s="25">
        <f>data[[#This Row],[ShippingCost]]/data[[#This Row],[TotalMiles]]</f>
        <v>7.5603996366939148</v>
      </c>
      <c r="R882" s="17">
        <v>8324</v>
      </c>
      <c r="S882" s="25">
        <f>data[[#This Row],[Revenue]]/data[[#This Row],[TotalMiles]]</f>
        <v>7.9927338782924613</v>
      </c>
      <c r="T882" s="26">
        <f>data[[#This Row],[Revenue]]-data[[#This Row],[ShippingCost]]</f>
        <v>476</v>
      </c>
      <c r="U882" s="17">
        <v>8800</v>
      </c>
      <c r="V882" s="17">
        <v>75</v>
      </c>
      <c r="W882" s="17" t="s">
        <v>25</v>
      </c>
      <c r="X882" s="17">
        <v>2</v>
      </c>
      <c r="Y882" s="17">
        <f>data[[#This Row],[DeliveryDate]]-data[[#This Row],[ShipDate]]</f>
        <v>4</v>
      </c>
      <c r="Z882" s="17" t="str">
        <f>IF(data[[#This Row],[Actual Delivery Days]]&gt;AD883,"Yes","No")</f>
        <v>Yes</v>
      </c>
    </row>
    <row r="883" spans="1:26">
      <c r="A883" s="17">
        <v>11777</v>
      </c>
      <c r="B883" s="17">
        <v>2</v>
      </c>
      <c r="C883" s="17">
        <v>3</v>
      </c>
      <c r="D883" s="17" t="s">
        <v>602</v>
      </c>
      <c r="E883" s="17" t="s">
        <v>608</v>
      </c>
      <c r="F883" s="17" t="str">
        <f>TEXT(data[[#This Row],[ShipDate]],"yyyy - mmmm")</f>
        <v>2016 - July</v>
      </c>
      <c r="G883" s="17" t="str">
        <f>data[[#This Row],[OriginCity]] &amp; " - "  &amp; data[[#This Row],[DestinationCity]]</f>
        <v>Elgin - Cincinnati</v>
      </c>
      <c r="H883" s="17" t="s">
        <v>94</v>
      </c>
      <c r="I883" s="17" t="s">
        <v>31</v>
      </c>
      <c r="J883" s="17">
        <v>4</v>
      </c>
      <c r="K883" s="17" t="s">
        <v>89</v>
      </c>
      <c r="L883" s="17" t="s">
        <v>23</v>
      </c>
      <c r="M883" s="17" t="s">
        <v>614</v>
      </c>
      <c r="N883" s="17">
        <v>981</v>
      </c>
      <c r="O883" s="17">
        <v>394</v>
      </c>
      <c r="P883" s="26">
        <f>(data[[#This Row],[LoadedMiles]]/data[[#This Row],[TotalMiles]])*100</f>
        <v>40.163098878695209</v>
      </c>
      <c r="Q883" s="25">
        <f>data[[#This Row],[ShippingCost]]/data[[#This Row],[TotalMiles]]</f>
        <v>5.2140672782874615</v>
      </c>
      <c r="R883" s="17">
        <v>5115</v>
      </c>
      <c r="S883" s="25">
        <f>data[[#This Row],[Revenue]]/data[[#This Row],[TotalMiles]]</f>
        <v>5.6738022426095824</v>
      </c>
      <c r="T883" s="26">
        <f>data[[#This Row],[Revenue]]-data[[#This Row],[ShippingCost]]</f>
        <v>451</v>
      </c>
      <c r="U883" s="17">
        <v>5566</v>
      </c>
      <c r="V883" s="17">
        <v>84</v>
      </c>
      <c r="W883" s="17" t="s">
        <v>25</v>
      </c>
      <c r="X883" s="17">
        <v>4</v>
      </c>
      <c r="Y883" s="17">
        <f>data[[#This Row],[DeliveryDate]]-data[[#This Row],[ShipDate]]</f>
        <v>4</v>
      </c>
      <c r="Z883" s="17" t="str">
        <f>IF(data[[#This Row],[Actual Delivery Days]]&gt;AD884,"Yes","No")</f>
        <v>Yes</v>
      </c>
    </row>
    <row r="884" spans="1:26">
      <c r="A884" s="17">
        <v>11780</v>
      </c>
      <c r="B884" s="17">
        <v>3</v>
      </c>
      <c r="C884" s="17">
        <v>5</v>
      </c>
      <c r="D884" s="17" t="s">
        <v>605</v>
      </c>
      <c r="E884" s="17" t="s">
        <v>156</v>
      </c>
      <c r="F884" s="17" t="str">
        <f>TEXT(data[[#This Row],[ShipDate]],"yyyy - mmmm")</f>
        <v>2016 - July</v>
      </c>
      <c r="G884" s="17" t="str">
        <f>data[[#This Row],[OriginCity]] &amp; " - "  &amp; data[[#This Row],[DestinationCity]]</f>
        <v>Davenport - Appleton</v>
      </c>
      <c r="H884" s="17" t="s">
        <v>105</v>
      </c>
      <c r="I884" s="17" t="s">
        <v>106</v>
      </c>
      <c r="J884" s="17">
        <v>4</v>
      </c>
      <c r="K884" s="17" t="s">
        <v>85</v>
      </c>
      <c r="L884" s="17" t="s">
        <v>29</v>
      </c>
      <c r="M884" s="17" t="s">
        <v>144</v>
      </c>
      <c r="N884" s="17">
        <v>804</v>
      </c>
      <c r="O884" s="17">
        <v>418</v>
      </c>
      <c r="P884" s="26">
        <f>(data[[#This Row],[LoadedMiles]]/data[[#This Row],[TotalMiles]])*100</f>
        <v>51.990049751243781</v>
      </c>
      <c r="Q884" s="25">
        <f>data[[#This Row],[ShippingCost]]/data[[#This Row],[TotalMiles]]</f>
        <v>5.6815920398009947</v>
      </c>
      <c r="R884" s="17">
        <v>4568</v>
      </c>
      <c r="S884" s="25">
        <f>data[[#This Row],[Revenue]]/data[[#This Row],[TotalMiles]]</f>
        <v>6.355721393034826</v>
      </c>
      <c r="T884" s="26">
        <f>data[[#This Row],[Revenue]]-data[[#This Row],[ShippingCost]]</f>
        <v>542</v>
      </c>
      <c r="U884" s="17">
        <v>5110</v>
      </c>
      <c r="V884" s="17">
        <v>67</v>
      </c>
      <c r="W884" s="17" t="s">
        <v>25</v>
      </c>
      <c r="X884" s="17">
        <v>7</v>
      </c>
      <c r="Y884" s="17">
        <f>data[[#This Row],[DeliveryDate]]-data[[#This Row],[ShipDate]]</f>
        <v>4</v>
      </c>
      <c r="Z884" s="17" t="str">
        <f>IF(data[[#This Row],[Actual Delivery Days]]&gt;AD885,"Yes","No")</f>
        <v>Yes</v>
      </c>
    </row>
    <row r="885" spans="1:26">
      <c r="A885" s="17">
        <v>11787</v>
      </c>
      <c r="B885" s="17">
        <v>2</v>
      </c>
      <c r="C885" s="17">
        <v>6</v>
      </c>
      <c r="D885" s="17" t="s">
        <v>55</v>
      </c>
      <c r="E885" s="17" t="s">
        <v>236</v>
      </c>
      <c r="F885" s="17" t="str">
        <f>TEXT(data[[#This Row],[ShipDate]],"yyyy - mmmm")</f>
        <v>2016 - January</v>
      </c>
      <c r="G885" s="17" t="str">
        <f>data[[#This Row],[OriginCity]] &amp; " - "  &amp; data[[#This Row],[DestinationCity]]</f>
        <v>Gary - Milwaukee</v>
      </c>
      <c r="H885" s="17" t="s">
        <v>57</v>
      </c>
      <c r="I885" s="17" t="s">
        <v>44</v>
      </c>
      <c r="J885" s="17">
        <v>4</v>
      </c>
      <c r="K885" s="17" t="s">
        <v>28</v>
      </c>
      <c r="L885" s="17" t="s">
        <v>29</v>
      </c>
      <c r="M885" s="17" t="s">
        <v>92</v>
      </c>
      <c r="N885" s="17">
        <v>796</v>
      </c>
      <c r="O885" s="17">
        <v>664</v>
      </c>
      <c r="P885" s="26">
        <f>(data[[#This Row],[LoadedMiles]]/data[[#This Row],[TotalMiles]])*100</f>
        <v>83.417085427135675</v>
      </c>
      <c r="Q885" s="25">
        <f>data[[#This Row],[ShippingCost]]/data[[#This Row],[TotalMiles]]</f>
        <v>7.8781407035175883</v>
      </c>
      <c r="R885" s="17">
        <v>6271</v>
      </c>
      <c r="S885" s="25">
        <f>data[[#This Row],[Revenue]]/data[[#This Row],[TotalMiles]]</f>
        <v>8.2123115577889454</v>
      </c>
      <c r="T885" s="26">
        <f>data[[#This Row],[Revenue]]-data[[#This Row],[ShippingCost]]</f>
        <v>266</v>
      </c>
      <c r="U885" s="17">
        <v>6537</v>
      </c>
      <c r="V885" s="17">
        <v>79</v>
      </c>
      <c r="W885" s="17" t="s">
        <v>25</v>
      </c>
      <c r="X885" s="17">
        <v>6</v>
      </c>
      <c r="Y885" s="17">
        <f>data[[#This Row],[DeliveryDate]]-data[[#This Row],[ShipDate]]</f>
        <v>4</v>
      </c>
      <c r="Z885" s="17" t="str">
        <f>IF(data[[#This Row],[Actual Delivery Days]]&gt;AD886,"Yes","No")</f>
        <v>Yes</v>
      </c>
    </row>
    <row r="886" spans="1:26">
      <c r="A886" s="17">
        <v>11797</v>
      </c>
      <c r="B886" s="17">
        <v>3</v>
      </c>
      <c r="C886" s="17">
        <v>5</v>
      </c>
      <c r="D886" s="17" t="s">
        <v>96</v>
      </c>
      <c r="E886" s="17" t="s">
        <v>444</v>
      </c>
      <c r="F886" s="17" t="str">
        <f>TEXT(data[[#This Row],[ShipDate]],"yyyy - mmmm")</f>
        <v>2016 - June</v>
      </c>
      <c r="G886" s="17" t="str">
        <f>data[[#This Row],[OriginCity]] &amp; " - "  &amp; data[[#This Row],[DestinationCity]]</f>
        <v>Toledo - Detriot</v>
      </c>
      <c r="H886" s="17" t="s">
        <v>22</v>
      </c>
      <c r="I886" s="17" t="s">
        <v>23</v>
      </c>
      <c r="J886" s="17">
        <v>4</v>
      </c>
      <c r="K886" s="17" t="s">
        <v>52</v>
      </c>
      <c r="L886" s="17" t="s">
        <v>21</v>
      </c>
      <c r="M886" s="17" t="s">
        <v>147</v>
      </c>
      <c r="N886" s="17">
        <v>1191</v>
      </c>
      <c r="O886" s="17">
        <v>478</v>
      </c>
      <c r="P886" s="26">
        <f>(data[[#This Row],[LoadedMiles]]/data[[#This Row],[TotalMiles]])*100</f>
        <v>40.134340890008396</v>
      </c>
      <c r="Q886" s="25">
        <f>data[[#This Row],[ShippingCost]]/data[[#This Row],[TotalMiles]]</f>
        <v>1.9529806884970613</v>
      </c>
      <c r="R886" s="17">
        <v>2326</v>
      </c>
      <c r="S886" s="25">
        <f>data[[#This Row],[Revenue]]/data[[#This Row],[TotalMiles]]</f>
        <v>2.4550797649034424</v>
      </c>
      <c r="T886" s="26">
        <f>data[[#This Row],[Revenue]]-data[[#This Row],[ShippingCost]]</f>
        <v>598</v>
      </c>
      <c r="U886" s="17">
        <v>2924</v>
      </c>
      <c r="V886" s="17">
        <v>87</v>
      </c>
      <c r="W886" s="17" t="s">
        <v>25</v>
      </c>
      <c r="X886" s="17">
        <v>4</v>
      </c>
      <c r="Y886" s="17">
        <f>data[[#This Row],[DeliveryDate]]-data[[#This Row],[ShipDate]]</f>
        <v>4</v>
      </c>
      <c r="Z886" s="17" t="str">
        <f>IF(data[[#This Row],[Actual Delivery Days]]&gt;AD887,"Yes","No")</f>
        <v>Yes</v>
      </c>
    </row>
    <row r="887" spans="1:26">
      <c r="A887" s="17">
        <v>10001</v>
      </c>
      <c r="B887" s="17">
        <v>1</v>
      </c>
      <c r="C887" s="17">
        <v>5</v>
      </c>
      <c r="D887" s="17" t="s">
        <v>18</v>
      </c>
      <c r="E887" s="17" t="s">
        <v>19</v>
      </c>
      <c r="F887" s="17" t="str">
        <f>TEXT(data[[#This Row],[ShipDate]],"yyyy - mmmm")</f>
        <v>2016 - July</v>
      </c>
      <c r="G887" s="17" t="str">
        <f>data[[#This Row],[OriginCity]] &amp; " - "  &amp; data[[#This Row],[DestinationCity]]</f>
        <v>Grand Rapids - Toledo</v>
      </c>
      <c r="H887" s="17" t="s">
        <v>20</v>
      </c>
      <c r="I887" s="17" t="s">
        <v>21</v>
      </c>
      <c r="J887" s="17">
        <v>3</v>
      </c>
      <c r="K887" s="17" t="s">
        <v>22</v>
      </c>
      <c r="L887" s="17" t="s">
        <v>23</v>
      </c>
      <c r="M887" s="17" t="s">
        <v>24</v>
      </c>
      <c r="N887" s="17">
        <v>955</v>
      </c>
      <c r="O887" s="17">
        <v>687</v>
      </c>
      <c r="P887" s="26">
        <f>(data[[#This Row],[LoadedMiles]]/data[[#This Row],[TotalMiles]])*100</f>
        <v>71.937172774869111</v>
      </c>
      <c r="Q887" s="25">
        <f>data[[#This Row],[ShippingCost]]/data[[#This Row],[TotalMiles]]</f>
        <v>2.33717277486911</v>
      </c>
      <c r="R887" s="17">
        <v>2232</v>
      </c>
      <c r="S887" s="25">
        <f>data[[#This Row],[Revenue]]/data[[#This Row],[TotalMiles]]</f>
        <v>3.0471204188481678</v>
      </c>
      <c r="T887" s="26">
        <f>data[[#This Row],[Revenue]]-data[[#This Row],[ShippingCost]]</f>
        <v>678</v>
      </c>
      <c r="U887" s="17">
        <v>2910</v>
      </c>
      <c r="V887" s="17">
        <v>99</v>
      </c>
      <c r="W887" s="17" t="s">
        <v>25</v>
      </c>
      <c r="X887" s="17">
        <v>9</v>
      </c>
      <c r="Y887" s="17">
        <f>data[[#This Row],[DeliveryDate]]-data[[#This Row],[ShipDate]]</f>
        <v>1</v>
      </c>
      <c r="Z887" s="17" t="str">
        <f>IF(data[[#This Row],[Actual Delivery Days]]&gt;AD888,"Yes","No")</f>
        <v>Yes</v>
      </c>
    </row>
    <row r="888" spans="1:26">
      <c r="A888" s="17">
        <v>10005</v>
      </c>
      <c r="B888" s="17">
        <v>1</v>
      </c>
      <c r="C888" s="17">
        <v>4</v>
      </c>
      <c r="D888" s="17" t="s">
        <v>46</v>
      </c>
      <c r="E888" s="17" t="s">
        <v>47</v>
      </c>
      <c r="F888" s="17" t="str">
        <f>TEXT(data[[#This Row],[ShipDate]],"yyyy - mmmm")</f>
        <v>2016 - April</v>
      </c>
      <c r="G888" s="17" t="str">
        <f>data[[#This Row],[OriginCity]] &amp; " - "  &amp; data[[#This Row],[DestinationCity]]</f>
        <v>Northbrook - Naperville</v>
      </c>
      <c r="H888" s="17" t="s">
        <v>45</v>
      </c>
      <c r="I888" s="17" t="s">
        <v>31</v>
      </c>
      <c r="J888" s="17">
        <v>3</v>
      </c>
      <c r="K888" s="17" t="s">
        <v>48</v>
      </c>
      <c r="L888" s="17" t="s">
        <v>31</v>
      </c>
      <c r="M888" s="17" t="s">
        <v>49</v>
      </c>
      <c r="N888" s="17">
        <v>514</v>
      </c>
      <c r="O888" s="17">
        <v>205</v>
      </c>
      <c r="P888" s="26">
        <f>(data[[#This Row],[LoadedMiles]]/data[[#This Row],[TotalMiles]])*100</f>
        <v>39.883268482490273</v>
      </c>
      <c r="Q888" s="25">
        <f>data[[#This Row],[ShippingCost]]/data[[#This Row],[TotalMiles]]</f>
        <v>14.877431906614786</v>
      </c>
      <c r="R888" s="17">
        <v>7647</v>
      </c>
      <c r="S888" s="25">
        <f>data[[#This Row],[Revenue]]/data[[#This Row],[TotalMiles]]</f>
        <v>10.614785992217898</v>
      </c>
      <c r="T888" s="26">
        <f>data[[#This Row],[Revenue]]-data[[#This Row],[ShippingCost]]</f>
        <v>-2191</v>
      </c>
      <c r="U888" s="17">
        <v>5456</v>
      </c>
      <c r="V888" s="17">
        <v>60</v>
      </c>
      <c r="W888" s="17" t="s">
        <v>25</v>
      </c>
      <c r="X888" s="17">
        <v>2</v>
      </c>
      <c r="Y888" s="17">
        <f>data[[#This Row],[DeliveryDate]]-data[[#This Row],[ShipDate]]</f>
        <v>3</v>
      </c>
      <c r="Z888" s="17" t="str">
        <f>IF(data[[#This Row],[Actual Delivery Days]]&gt;AD889,"Yes","No")</f>
        <v>Yes</v>
      </c>
    </row>
    <row r="889" spans="1:26">
      <c r="A889" s="17">
        <v>10008</v>
      </c>
      <c r="B889" s="17">
        <v>1</v>
      </c>
      <c r="C889" s="17">
        <v>6</v>
      </c>
      <c r="D889" s="17" t="s">
        <v>59</v>
      </c>
      <c r="E889" s="17" t="s">
        <v>60</v>
      </c>
      <c r="F889" s="17" t="str">
        <f>TEXT(data[[#This Row],[ShipDate]],"yyyy - mmmm")</f>
        <v>2016 - July</v>
      </c>
      <c r="G889" s="17" t="str">
        <f>data[[#This Row],[OriginCity]] &amp; " - "  &amp; data[[#This Row],[DestinationCity]]</f>
        <v>Joliet - Madison</v>
      </c>
      <c r="H889" s="17" t="s">
        <v>61</v>
      </c>
      <c r="I889" s="17" t="s">
        <v>31</v>
      </c>
      <c r="J889" s="17">
        <v>3</v>
      </c>
      <c r="K889" s="17" t="s">
        <v>62</v>
      </c>
      <c r="L889" s="17" t="s">
        <v>29</v>
      </c>
      <c r="M889" s="17" t="s">
        <v>63</v>
      </c>
      <c r="N889" s="17">
        <v>286</v>
      </c>
      <c r="O889" s="17">
        <v>286</v>
      </c>
      <c r="P889" s="26">
        <f>(data[[#This Row],[LoadedMiles]]/data[[#This Row],[TotalMiles]])*100</f>
        <v>100</v>
      </c>
      <c r="Q889" s="25">
        <f>data[[#This Row],[ShippingCost]]/data[[#This Row],[TotalMiles]]</f>
        <v>13.874125874125873</v>
      </c>
      <c r="R889" s="17">
        <v>3968</v>
      </c>
      <c r="S889" s="25">
        <f>data[[#This Row],[Revenue]]/data[[#This Row],[TotalMiles]]</f>
        <v>16.272727272727273</v>
      </c>
      <c r="T889" s="26">
        <f>data[[#This Row],[Revenue]]-data[[#This Row],[ShippingCost]]</f>
        <v>686</v>
      </c>
      <c r="U889" s="17">
        <v>4654</v>
      </c>
      <c r="V889" s="17">
        <v>88</v>
      </c>
      <c r="W889" s="17" t="s">
        <v>25</v>
      </c>
      <c r="X889" s="17">
        <v>4</v>
      </c>
      <c r="Y889" s="17">
        <f>data[[#This Row],[DeliveryDate]]-data[[#This Row],[ShipDate]]</f>
        <v>2</v>
      </c>
      <c r="Z889" s="17" t="str">
        <f>IF(data[[#This Row],[Actual Delivery Days]]&gt;AD890,"Yes","No")</f>
        <v>Yes</v>
      </c>
    </row>
    <row r="890" spans="1:26">
      <c r="A890" s="17">
        <v>10035</v>
      </c>
      <c r="B890" s="17">
        <v>2</v>
      </c>
      <c r="C890" s="17">
        <v>5</v>
      </c>
      <c r="D890" s="17" t="s">
        <v>162</v>
      </c>
      <c r="E890" s="17" t="s">
        <v>163</v>
      </c>
      <c r="F890" s="17" t="str">
        <f>TEXT(data[[#This Row],[ShipDate]],"yyyy - mmmm")</f>
        <v>2016 - February</v>
      </c>
      <c r="G890" s="17" t="str">
        <f>data[[#This Row],[OriginCity]] &amp; " - "  &amp; data[[#This Row],[DestinationCity]]</f>
        <v>Dayton - Elgin</v>
      </c>
      <c r="H890" s="17" t="s">
        <v>93</v>
      </c>
      <c r="I890" s="17" t="s">
        <v>23</v>
      </c>
      <c r="J890" s="17">
        <v>3</v>
      </c>
      <c r="K890" s="17" t="s">
        <v>94</v>
      </c>
      <c r="L890" s="17" t="s">
        <v>31</v>
      </c>
      <c r="M890" s="17" t="s">
        <v>164</v>
      </c>
      <c r="N890" s="17">
        <v>463</v>
      </c>
      <c r="O890" s="17">
        <v>307</v>
      </c>
      <c r="P890" s="26">
        <f>(data[[#This Row],[LoadedMiles]]/data[[#This Row],[TotalMiles]])*100</f>
        <v>66.306695464362846</v>
      </c>
      <c r="Q890" s="25">
        <f>data[[#This Row],[ShippingCost]]/data[[#This Row],[TotalMiles]]</f>
        <v>15.706263498920086</v>
      </c>
      <c r="R890" s="17">
        <v>7272</v>
      </c>
      <c r="S890" s="25">
        <f>data[[#This Row],[Revenue]]/data[[#This Row],[TotalMiles]]</f>
        <v>17.535637149028076</v>
      </c>
      <c r="T890" s="26">
        <f>data[[#This Row],[Revenue]]-data[[#This Row],[ShippingCost]]</f>
        <v>847</v>
      </c>
      <c r="U890" s="17">
        <v>8119</v>
      </c>
      <c r="V890" s="17">
        <v>99</v>
      </c>
      <c r="W890" s="17" t="s">
        <v>25</v>
      </c>
      <c r="X890" s="17">
        <v>5</v>
      </c>
      <c r="Y890" s="17">
        <f>data[[#This Row],[DeliveryDate]]-data[[#This Row],[ShipDate]]</f>
        <v>1</v>
      </c>
      <c r="Z890" s="17" t="str">
        <f>IF(data[[#This Row],[Actual Delivery Days]]&gt;AD891,"Yes","No")</f>
        <v>Yes</v>
      </c>
    </row>
    <row r="891" spans="1:26">
      <c r="A891" s="17">
        <v>10037</v>
      </c>
      <c r="B891" s="17">
        <v>2</v>
      </c>
      <c r="C891" s="17">
        <v>7</v>
      </c>
      <c r="D891" s="17" t="s">
        <v>169</v>
      </c>
      <c r="E891" s="17" t="s">
        <v>170</v>
      </c>
      <c r="F891" s="17" t="str">
        <f>TEXT(data[[#This Row],[ShipDate]],"yyyy - mmmm")</f>
        <v>2016 - April</v>
      </c>
      <c r="G891" s="17" t="str">
        <f>data[[#This Row],[OriginCity]] &amp; " - "  &amp; data[[#This Row],[DestinationCity]]</f>
        <v>Bangor - Davenport</v>
      </c>
      <c r="H891" s="17" t="s">
        <v>104</v>
      </c>
      <c r="I891" s="17" t="s">
        <v>21</v>
      </c>
      <c r="J891" s="17">
        <v>3</v>
      </c>
      <c r="K891" s="17" t="s">
        <v>105</v>
      </c>
      <c r="L891" s="17" t="s">
        <v>106</v>
      </c>
      <c r="M891" s="17" t="s">
        <v>171</v>
      </c>
      <c r="N891" s="17">
        <v>726</v>
      </c>
      <c r="O891" s="17">
        <v>348</v>
      </c>
      <c r="P891" s="26">
        <f>(data[[#This Row],[LoadedMiles]]/data[[#This Row],[TotalMiles]])*100</f>
        <v>47.933884297520663</v>
      </c>
      <c r="Q891" s="25">
        <f>data[[#This Row],[ShippingCost]]/data[[#This Row],[TotalMiles]]</f>
        <v>1.2658402203856749</v>
      </c>
      <c r="R891" s="17">
        <v>919</v>
      </c>
      <c r="S891" s="25">
        <f>data[[#This Row],[Revenue]]/data[[#This Row],[TotalMiles]]</f>
        <v>1.4931129476584022</v>
      </c>
      <c r="T891" s="26">
        <f>data[[#This Row],[Revenue]]-data[[#This Row],[ShippingCost]]</f>
        <v>165</v>
      </c>
      <c r="U891" s="17">
        <v>1084</v>
      </c>
      <c r="V891" s="17">
        <v>85</v>
      </c>
      <c r="W891" s="17" t="s">
        <v>25</v>
      </c>
      <c r="X891" s="17">
        <v>6</v>
      </c>
      <c r="Y891" s="17">
        <f>data[[#This Row],[DeliveryDate]]-data[[#This Row],[ShipDate]]</f>
        <v>3</v>
      </c>
      <c r="Z891" s="17" t="str">
        <f>IF(data[[#This Row],[Actual Delivery Days]]&gt;AD892,"Yes","No")</f>
        <v>Yes</v>
      </c>
    </row>
    <row r="892" spans="1:26">
      <c r="A892" s="17">
        <v>10038</v>
      </c>
      <c r="B892" s="17">
        <v>2</v>
      </c>
      <c r="C892" s="17">
        <v>5</v>
      </c>
      <c r="D892" s="17" t="s">
        <v>172</v>
      </c>
      <c r="E892" s="17" t="s">
        <v>133</v>
      </c>
      <c r="F892" s="17" t="str">
        <f>TEXT(data[[#This Row],[ShipDate]],"yyyy - mmmm")</f>
        <v>2016 - March</v>
      </c>
      <c r="G892" s="17" t="str">
        <f>data[[#This Row],[OriginCity]] &amp; " - "  &amp; data[[#This Row],[DestinationCity]]</f>
        <v>Elgin - Cincinnati</v>
      </c>
      <c r="H892" s="17" t="s">
        <v>94</v>
      </c>
      <c r="I892" s="17" t="s">
        <v>31</v>
      </c>
      <c r="J892" s="17">
        <v>3</v>
      </c>
      <c r="K892" s="17" t="s">
        <v>89</v>
      </c>
      <c r="L892" s="17" t="s">
        <v>23</v>
      </c>
      <c r="M892" s="17" t="s">
        <v>124</v>
      </c>
      <c r="N892" s="17">
        <v>1047</v>
      </c>
      <c r="O892" s="17">
        <v>398</v>
      </c>
      <c r="P892" s="26">
        <f>(data[[#This Row],[LoadedMiles]]/data[[#This Row],[TotalMiles]])*100</f>
        <v>38.01337153772684</v>
      </c>
      <c r="Q892" s="25">
        <f>data[[#This Row],[ShippingCost]]/data[[#This Row],[TotalMiles]]</f>
        <v>6.025787965616046</v>
      </c>
      <c r="R892" s="17">
        <v>6309</v>
      </c>
      <c r="S892" s="25">
        <f>data[[#This Row],[Revenue]]/data[[#This Row],[TotalMiles]]</f>
        <v>6.4212034383954153</v>
      </c>
      <c r="T892" s="26">
        <f>data[[#This Row],[Revenue]]-data[[#This Row],[ShippingCost]]</f>
        <v>414</v>
      </c>
      <c r="U892" s="17">
        <v>6723</v>
      </c>
      <c r="V892" s="17">
        <v>88</v>
      </c>
      <c r="W892" s="17" t="s">
        <v>25</v>
      </c>
      <c r="X892" s="17">
        <v>9</v>
      </c>
      <c r="Y892" s="17">
        <f>data[[#This Row],[DeliveryDate]]-data[[#This Row],[ShipDate]]</f>
        <v>3</v>
      </c>
      <c r="Z892" s="17" t="str">
        <f>IF(data[[#This Row],[Actual Delivery Days]]&gt;AD893,"Yes","No")</f>
        <v>Yes</v>
      </c>
    </row>
    <row r="893" spans="1:26">
      <c r="A893" s="17">
        <v>10039</v>
      </c>
      <c r="B893" s="17">
        <v>1</v>
      </c>
      <c r="C893" s="17">
        <v>7</v>
      </c>
      <c r="D893" s="17" t="s">
        <v>173</v>
      </c>
      <c r="E893" s="17" t="s">
        <v>111</v>
      </c>
      <c r="F893" s="17" t="str">
        <f>TEXT(data[[#This Row],[ShipDate]],"yyyy - mmmm")</f>
        <v>2016 - January</v>
      </c>
      <c r="G893" s="17" t="str">
        <f>data[[#This Row],[OriginCity]] &amp; " - "  &amp; data[[#This Row],[DestinationCity]]</f>
        <v>Skokie - Chicago</v>
      </c>
      <c r="H893" s="17" t="s">
        <v>35</v>
      </c>
      <c r="I893" s="17" t="s">
        <v>31</v>
      </c>
      <c r="J893" s="17">
        <v>3</v>
      </c>
      <c r="K893" s="17" t="s">
        <v>39</v>
      </c>
      <c r="L893" s="17" t="s">
        <v>31</v>
      </c>
      <c r="M893" s="17" t="s">
        <v>174</v>
      </c>
      <c r="N893" s="17">
        <v>948</v>
      </c>
      <c r="O893" s="17">
        <v>684</v>
      </c>
      <c r="P893" s="26">
        <f>(data[[#This Row],[LoadedMiles]]/data[[#This Row],[TotalMiles]])*100</f>
        <v>72.151898734177209</v>
      </c>
      <c r="Q893" s="25">
        <f>data[[#This Row],[ShippingCost]]/data[[#This Row],[TotalMiles]]</f>
        <v>1.2784810126582278</v>
      </c>
      <c r="R893" s="17">
        <v>1212</v>
      </c>
      <c r="S893" s="25">
        <f>data[[#This Row],[Revenue]]/data[[#This Row],[TotalMiles]]</f>
        <v>1.6540084388185654</v>
      </c>
      <c r="T893" s="26">
        <f>data[[#This Row],[Revenue]]-data[[#This Row],[ShippingCost]]</f>
        <v>356</v>
      </c>
      <c r="U893" s="17">
        <v>1568</v>
      </c>
      <c r="V893" s="17">
        <v>66</v>
      </c>
      <c r="W893" s="17" t="s">
        <v>25</v>
      </c>
      <c r="X893" s="17">
        <v>8</v>
      </c>
      <c r="Y893" s="17">
        <f>data[[#This Row],[DeliveryDate]]-data[[#This Row],[ShipDate]]</f>
        <v>3</v>
      </c>
      <c r="Z893" s="17" t="str">
        <f>IF(data[[#This Row],[Actual Delivery Days]]&gt;AD894,"Yes","No")</f>
        <v>Yes</v>
      </c>
    </row>
    <row r="894" spans="1:26">
      <c r="A894" s="17">
        <v>10053</v>
      </c>
      <c r="B894" s="17">
        <v>1</v>
      </c>
      <c r="C894" s="17">
        <v>6</v>
      </c>
      <c r="D894" s="17" t="s">
        <v>210</v>
      </c>
      <c r="E894" s="17" t="s">
        <v>211</v>
      </c>
      <c r="F894" s="17" t="str">
        <f>TEXT(data[[#This Row],[ShipDate]],"yyyy - mmmm")</f>
        <v>2016 - August</v>
      </c>
      <c r="G894" s="17" t="str">
        <f>data[[#This Row],[OriginCity]] &amp; " - "  &amp; data[[#This Row],[DestinationCity]]</f>
        <v>Rockford - Green Bay</v>
      </c>
      <c r="H894" s="17" t="s">
        <v>40</v>
      </c>
      <c r="I894" s="17" t="s">
        <v>31</v>
      </c>
      <c r="J894" s="17">
        <v>3</v>
      </c>
      <c r="K894" s="17" t="s">
        <v>75</v>
      </c>
      <c r="L894" s="17" t="s">
        <v>29</v>
      </c>
      <c r="M894" s="17" t="s">
        <v>212</v>
      </c>
      <c r="N894" s="17">
        <v>737</v>
      </c>
      <c r="O894" s="17">
        <v>349</v>
      </c>
      <c r="P894" s="26">
        <f>(data[[#This Row],[LoadedMiles]]/data[[#This Row],[TotalMiles]])*100</f>
        <v>47.354138398914522</v>
      </c>
      <c r="Q894" s="25">
        <f>data[[#This Row],[ShippingCost]]/data[[#This Row],[TotalMiles]]</f>
        <v>1.0542740841248304</v>
      </c>
      <c r="R894" s="17">
        <v>777</v>
      </c>
      <c r="S894" s="25">
        <f>data[[#This Row],[Revenue]]/data[[#This Row],[TotalMiles]]</f>
        <v>1.3283582089552239</v>
      </c>
      <c r="T894" s="26">
        <f>data[[#This Row],[Revenue]]-data[[#This Row],[ShippingCost]]</f>
        <v>202</v>
      </c>
      <c r="U894" s="17">
        <v>979</v>
      </c>
      <c r="V894" s="17">
        <v>66</v>
      </c>
      <c r="W894" s="17" t="s">
        <v>25</v>
      </c>
      <c r="X894" s="17">
        <v>2</v>
      </c>
      <c r="Y894" s="17">
        <f>data[[#This Row],[DeliveryDate]]-data[[#This Row],[ShipDate]]</f>
        <v>3</v>
      </c>
      <c r="Z894" s="17" t="str">
        <f>IF(data[[#This Row],[Actual Delivery Days]]&gt;AD895,"Yes","No")</f>
        <v>Yes</v>
      </c>
    </row>
    <row r="895" spans="1:26">
      <c r="A895" s="17">
        <v>10055</v>
      </c>
      <c r="B895" s="17">
        <v>1</v>
      </c>
      <c r="C895" s="17">
        <v>4</v>
      </c>
      <c r="D895" s="17" t="s">
        <v>217</v>
      </c>
      <c r="E895" s="17" t="s">
        <v>197</v>
      </c>
      <c r="F895" s="17" t="str">
        <f>TEXT(data[[#This Row],[ShipDate]],"yyyy - mmmm")</f>
        <v>2016 - May</v>
      </c>
      <c r="G895" s="17" t="str">
        <f>data[[#This Row],[OriginCity]] &amp; " - "  &amp; data[[#This Row],[DestinationCity]]</f>
        <v>Dayton - Elgin</v>
      </c>
      <c r="H895" s="17" t="s">
        <v>93</v>
      </c>
      <c r="I895" s="17" t="s">
        <v>23</v>
      </c>
      <c r="J895" s="17">
        <v>3</v>
      </c>
      <c r="K895" s="17" t="s">
        <v>94</v>
      </c>
      <c r="L895" s="17" t="s">
        <v>31</v>
      </c>
      <c r="M895" s="17" t="s">
        <v>218</v>
      </c>
      <c r="N895" s="17">
        <v>952</v>
      </c>
      <c r="O895" s="17">
        <v>256</v>
      </c>
      <c r="P895" s="26">
        <f>(data[[#This Row],[LoadedMiles]]/data[[#This Row],[TotalMiles]])*100</f>
        <v>26.890756302521009</v>
      </c>
      <c r="Q895" s="25">
        <f>data[[#This Row],[ShippingCost]]/data[[#This Row],[TotalMiles]]</f>
        <v>7.920168067226891</v>
      </c>
      <c r="R895" s="17">
        <v>7540</v>
      </c>
      <c r="S895" s="25">
        <f>data[[#This Row],[Revenue]]/data[[#This Row],[TotalMiles]]</f>
        <v>5.5619747899159666</v>
      </c>
      <c r="T895" s="26">
        <f>data[[#This Row],[Revenue]]-data[[#This Row],[ShippingCost]]</f>
        <v>-2245</v>
      </c>
      <c r="U895" s="17">
        <v>5295</v>
      </c>
      <c r="V895" s="17">
        <v>74</v>
      </c>
      <c r="W895" s="17" t="s">
        <v>25</v>
      </c>
      <c r="X895" s="17">
        <v>4</v>
      </c>
      <c r="Y895" s="17">
        <f>data[[#This Row],[DeliveryDate]]-data[[#This Row],[ShipDate]]</f>
        <v>3</v>
      </c>
      <c r="Z895" s="17" t="str">
        <f>IF(data[[#This Row],[Actual Delivery Days]]&gt;AD896,"Yes","No")</f>
        <v>Yes</v>
      </c>
    </row>
    <row r="896" spans="1:26">
      <c r="A896" s="17">
        <v>10065</v>
      </c>
      <c r="B896" s="17">
        <v>1</v>
      </c>
      <c r="C896" s="17">
        <v>8</v>
      </c>
      <c r="D896" s="17" t="s">
        <v>242</v>
      </c>
      <c r="E896" s="17" t="s">
        <v>34</v>
      </c>
      <c r="F896" s="17" t="str">
        <f>TEXT(data[[#This Row],[ShipDate]],"yyyy - mmmm")</f>
        <v>2016 - August</v>
      </c>
      <c r="G896" s="17" t="str">
        <f>data[[#This Row],[OriginCity]] &amp; " - "  &amp; data[[#This Row],[DestinationCity]]</f>
        <v>Indianapolis - Northbrook</v>
      </c>
      <c r="H896" s="17" t="s">
        <v>43</v>
      </c>
      <c r="I896" s="17" t="s">
        <v>44</v>
      </c>
      <c r="J896" s="17">
        <v>3</v>
      </c>
      <c r="K896" s="17" t="s">
        <v>45</v>
      </c>
      <c r="L896" s="17" t="s">
        <v>31</v>
      </c>
      <c r="M896" s="17" t="s">
        <v>243</v>
      </c>
      <c r="N896" s="17">
        <v>1172</v>
      </c>
      <c r="O896" s="17">
        <v>737</v>
      </c>
      <c r="P896" s="26">
        <f>(data[[#This Row],[LoadedMiles]]/data[[#This Row],[TotalMiles]])*100</f>
        <v>62.883959044368595</v>
      </c>
      <c r="Q896" s="25">
        <f>data[[#This Row],[ShippingCost]]/data[[#This Row],[TotalMiles]]</f>
        <v>5.6049488054607508</v>
      </c>
      <c r="R896" s="17">
        <v>6569</v>
      </c>
      <c r="S896" s="25">
        <f>data[[#This Row],[Revenue]]/data[[#This Row],[TotalMiles]]</f>
        <v>6.2269624573378843</v>
      </c>
      <c r="T896" s="26">
        <f>data[[#This Row],[Revenue]]-data[[#This Row],[ShippingCost]]</f>
        <v>729</v>
      </c>
      <c r="U896" s="17">
        <v>7298</v>
      </c>
      <c r="V896" s="17">
        <v>99</v>
      </c>
      <c r="W896" s="17" t="s">
        <v>25</v>
      </c>
      <c r="X896" s="17">
        <v>8</v>
      </c>
      <c r="Y896" s="17">
        <f>data[[#This Row],[DeliveryDate]]-data[[#This Row],[ShipDate]]</f>
        <v>3</v>
      </c>
      <c r="Z896" s="17" t="str">
        <f>IF(data[[#This Row],[Actual Delivery Days]]&gt;AD897,"Yes","No")</f>
        <v>Yes</v>
      </c>
    </row>
    <row r="897" spans="1:26">
      <c r="A897" s="17">
        <v>10084</v>
      </c>
      <c r="B897" s="17">
        <v>1</v>
      </c>
      <c r="C897" s="17">
        <v>4</v>
      </c>
      <c r="D897" s="17" t="s">
        <v>289</v>
      </c>
      <c r="E897" s="17" t="s">
        <v>290</v>
      </c>
      <c r="F897" s="17" t="str">
        <f>TEXT(data[[#This Row],[ShipDate]],"yyyy - mmmm")</f>
        <v>2016 - February</v>
      </c>
      <c r="G897" s="17" t="str">
        <f>data[[#This Row],[OriginCity]] &amp; " - "  &amp; data[[#This Row],[DestinationCity]]</f>
        <v>Northbrook - Naperville</v>
      </c>
      <c r="H897" s="17" t="s">
        <v>45</v>
      </c>
      <c r="I897" s="17" t="s">
        <v>31</v>
      </c>
      <c r="J897" s="17">
        <v>3</v>
      </c>
      <c r="K897" s="17" t="s">
        <v>48</v>
      </c>
      <c r="L897" s="17" t="s">
        <v>31</v>
      </c>
      <c r="M897" s="17" t="s">
        <v>291</v>
      </c>
      <c r="N897" s="17">
        <v>1077</v>
      </c>
      <c r="O897" s="17">
        <v>361</v>
      </c>
      <c r="P897" s="26">
        <f>(data[[#This Row],[LoadedMiles]]/data[[#This Row],[TotalMiles]])*100</f>
        <v>33.519034354688955</v>
      </c>
      <c r="Q897" s="25">
        <f>data[[#This Row],[ShippingCost]]/data[[#This Row],[TotalMiles]]</f>
        <v>4.1049210770659235</v>
      </c>
      <c r="R897" s="17">
        <v>4421</v>
      </c>
      <c r="S897" s="25">
        <f>data[[#This Row],[Revenue]]/data[[#This Row],[TotalMiles]]</f>
        <v>2.6220984215413186</v>
      </c>
      <c r="T897" s="26">
        <f>data[[#This Row],[Revenue]]-data[[#This Row],[ShippingCost]]</f>
        <v>-1597</v>
      </c>
      <c r="U897" s="17">
        <v>2824</v>
      </c>
      <c r="V897" s="17">
        <v>63</v>
      </c>
      <c r="W897" s="17" t="s">
        <v>25</v>
      </c>
      <c r="X897" s="17">
        <v>3</v>
      </c>
      <c r="Y897" s="17">
        <f>data[[#This Row],[DeliveryDate]]-data[[#This Row],[ShipDate]]</f>
        <v>3</v>
      </c>
      <c r="Z897" s="17" t="str">
        <f>IF(data[[#This Row],[Actual Delivery Days]]&gt;AD898,"Yes","No")</f>
        <v>Yes</v>
      </c>
    </row>
    <row r="898" spans="1:26">
      <c r="A898" s="17">
        <v>10088</v>
      </c>
      <c r="B898" s="17">
        <v>1</v>
      </c>
      <c r="C898" s="17">
        <v>8</v>
      </c>
      <c r="D898" s="17" t="s">
        <v>297</v>
      </c>
      <c r="E898" s="17" t="s">
        <v>298</v>
      </c>
      <c r="F898" s="17" t="str">
        <f>TEXT(data[[#This Row],[ShipDate]],"yyyy - mmmm")</f>
        <v>2016 - July</v>
      </c>
      <c r="G898" s="17" t="str">
        <f>data[[#This Row],[OriginCity]] &amp; " - "  &amp; data[[#This Row],[DestinationCity]]</f>
        <v>Monon - Lansing</v>
      </c>
      <c r="H898" s="17" t="s">
        <v>53</v>
      </c>
      <c r="I898" s="17" t="s">
        <v>44</v>
      </c>
      <c r="J898" s="17">
        <v>3</v>
      </c>
      <c r="K898" s="17" t="s">
        <v>66</v>
      </c>
      <c r="L898" s="17" t="s">
        <v>21</v>
      </c>
      <c r="M898" s="17" t="s">
        <v>299</v>
      </c>
      <c r="N898" s="17">
        <v>1096</v>
      </c>
      <c r="O898" s="17">
        <v>455</v>
      </c>
      <c r="P898" s="26">
        <f>(data[[#This Row],[LoadedMiles]]/data[[#This Row],[TotalMiles]])*100</f>
        <v>41.514598540145982</v>
      </c>
      <c r="Q898" s="25">
        <f>data[[#This Row],[ShippingCost]]/data[[#This Row],[TotalMiles]]</f>
        <v>4.25</v>
      </c>
      <c r="R898" s="17">
        <v>4658</v>
      </c>
      <c r="S898" s="25">
        <f>data[[#This Row],[Revenue]]/data[[#This Row],[TotalMiles]]</f>
        <v>5.0228102189781021</v>
      </c>
      <c r="T898" s="26">
        <f>data[[#This Row],[Revenue]]-data[[#This Row],[ShippingCost]]</f>
        <v>847</v>
      </c>
      <c r="U898" s="17">
        <v>5505</v>
      </c>
      <c r="V898" s="17">
        <v>59</v>
      </c>
      <c r="W898" s="17" t="s">
        <v>25</v>
      </c>
      <c r="X898" s="17">
        <v>6</v>
      </c>
      <c r="Y898" s="17">
        <f>data[[#This Row],[DeliveryDate]]-data[[#This Row],[ShipDate]]</f>
        <v>3</v>
      </c>
      <c r="Z898" s="17" t="str">
        <f>IF(data[[#This Row],[Actual Delivery Days]]&gt;AD899,"Yes","No")</f>
        <v>Yes</v>
      </c>
    </row>
    <row r="899" spans="1:26">
      <c r="A899" s="17">
        <v>10099</v>
      </c>
      <c r="B899" s="17">
        <v>1</v>
      </c>
      <c r="C899" s="17">
        <v>4</v>
      </c>
      <c r="D899" s="17" t="s">
        <v>320</v>
      </c>
      <c r="E899" s="17" t="s">
        <v>24</v>
      </c>
      <c r="F899" s="17" t="str">
        <f>TEXT(data[[#This Row],[ShipDate]],"yyyy - mmmm")</f>
        <v>2016 - July</v>
      </c>
      <c r="G899" s="17" t="str">
        <f>data[[#This Row],[OriginCity]] &amp; " - "  &amp; data[[#This Row],[DestinationCity]]</f>
        <v>Elgin - Cincinnati</v>
      </c>
      <c r="H899" s="17" t="s">
        <v>94</v>
      </c>
      <c r="I899" s="17" t="s">
        <v>31</v>
      </c>
      <c r="J899" s="17">
        <v>3</v>
      </c>
      <c r="K899" s="17" t="s">
        <v>89</v>
      </c>
      <c r="L899" s="17" t="s">
        <v>23</v>
      </c>
      <c r="M899" s="17" t="s">
        <v>191</v>
      </c>
      <c r="N899" s="17">
        <v>425</v>
      </c>
      <c r="O899" s="17">
        <v>425</v>
      </c>
      <c r="P899" s="26">
        <f>(data[[#This Row],[LoadedMiles]]/data[[#This Row],[TotalMiles]])*100</f>
        <v>100</v>
      </c>
      <c r="Q899" s="25">
        <f>data[[#This Row],[ShippingCost]]/data[[#This Row],[TotalMiles]]</f>
        <v>11.181176470588236</v>
      </c>
      <c r="R899" s="17">
        <v>4752</v>
      </c>
      <c r="S899" s="25">
        <f>data[[#This Row],[Revenue]]/data[[#This Row],[TotalMiles]]</f>
        <v>7.4705882352941178</v>
      </c>
      <c r="T899" s="26">
        <f>data[[#This Row],[Revenue]]-data[[#This Row],[ShippingCost]]</f>
        <v>-1577</v>
      </c>
      <c r="U899" s="17">
        <v>3175</v>
      </c>
      <c r="V899" s="17">
        <v>53</v>
      </c>
      <c r="W899" s="17" t="s">
        <v>25</v>
      </c>
      <c r="X899" s="17">
        <v>6</v>
      </c>
      <c r="Y899" s="17">
        <f>data[[#This Row],[DeliveryDate]]-data[[#This Row],[ShipDate]]</f>
        <v>3</v>
      </c>
      <c r="Z899" s="17" t="str">
        <f>IF(data[[#This Row],[Actual Delivery Days]]&gt;AD900,"Yes","No")</f>
        <v>Yes</v>
      </c>
    </row>
    <row r="900" spans="1:26">
      <c r="A900" s="17">
        <v>10108</v>
      </c>
      <c r="B900" s="17">
        <v>2</v>
      </c>
      <c r="C900" s="17">
        <v>7</v>
      </c>
      <c r="D900" s="17" t="s">
        <v>334</v>
      </c>
      <c r="E900" s="17" t="s">
        <v>211</v>
      </c>
      <c r="F900" s="17" t="str">
        <f>TEXT(data[[#This Row],[ShipDate]],"yyyy - mmmm")</f>
        <v>2016 - August</v>
      </c>
      <c r="G900" s="17" t="str">
        <f>data[[#This Row],[OriginCity]] &amp; " - "  &amp; data[[#This Row],[DestinationCity]]</f>
        <v>Detriot - Monon</v>
      </c>
      <c r="H900" s="17" t="s">
        <v>52</v>
      </c>
      <c r="I900" s="17" t="s">
        <v>21</v>
      </c>
      <c r="J900" s="17">
        <v>3</v>
      </c>
      <c r="K900" s="17" t="s">
        <v>53</v>
      </c>
      <c r="L900" s="17" t="s">
        <v>44</v>
      </c>
      <c r="M900" s="17" t="s">
        <v>212</v>
      </c>
      <c r="N900" s="17">
        <v>849</v>
      </c>
      <c r="O900" s="17">
        <v>439</v>
      </c>
      <c r="P900" s="26">
        <f>(data[[#This Row],[LoadedMiles]]/data[[#This Row],[TotalMiles]])*100</f>
        <v>51.707891637220257</v>
      </c>
      <c r="Q900" s="25">
        <f>data[[#This Row],[ShippingCost]]/data[[#This Row],[TotalMiles]]</f>
        <v>9.0706713780918733</v>
      </c>
      <c r="R900" s="17">
        <v>7701</v>
      </c>
      <c r="S900" s="25">
        <f>data[[#This Row],[Revenue]]/data[[#This Row],[TotalMiles]]</f>
        <v>9.8445229681978805</v>
      </c>
      <c r="T900" s="26">
        <f>data[[#This Row],[Revenue]]-data[[#This Row],[ShippingCost]]</f>
        <v>657</v>
      </c>
      <c r="U900" s="17">
        <v>8358</v>
      </c>
      <c r="V900" s="17">
        <v>97</v>
      </c>
      <c r="W900" s="17" t="s">
        <v>25</v>
      </c>
      <c r="X900" s="17">
        <v>6</v>
      </c>
      <c r="Y900" s="17">
        <f>data[[#This Row],[DeliveryDate]]-data[[#This Row],[ShipDate]]</f>
        <v>3</v>
      </c>
      <c r="Z900" s="17" t="str">
        <f>IF(data[[#This Row],[Actual Delivery Days]]&gt;AD901,"Yes","No")</f>
        <v>Yes</v>
      </c>
    </row>
    <row r="901" spans="1:26">
      <c r="A901" s="17">
        <v>10109</v>
      </c>
      <c r="B901" s="17">
        <v>2</v>
      </c>
      <c r="C901" s="17">
        <v>8</v>
      </c>
      <c r="D901" s="17" t="s">
        <v>336</v>
      </c>
      <c r="E901" s="17" t="s">
        <v>337</v>
      </c>
      <c r="F901" s="17" t="str">
        <f>TEXT(data[[#This Row],[ShipDate]],"yyyy - mmmm")</f>
        <v>2016 - March</v>
      </c>
      <c r="G901" s="17" t="str">
        <f>data[[#This Row],[OriginCity]] &amp; " - "  &amp; data[[#This Row],[DestinationCity]]</f>
        <v>Joliet - Madison</v>
      </c>
      <c r="H901" s="17" t="s">
        <v>61</v>
      </c>
      <c r="I901" s="17" t="s">
        <v>31</v>
      </c>
      <c r="J901" s="17">
        <v>3</v>
      </c>
      <c r="K901" s="17" t="s">
        <v>62</v>
      </c>
      <c r="L901" s="17" t="s">
        <v>29</v>
      </c>
      <c r="M901" s="17" t="s">
        <v>129</v>
      </c>
      <c r="N901" s="17">
        <v>587</v>
      </c>
      <c r="O901" s="17">
        <v>367</v>
      </c>
      <c r="P901" s="26">
        <f>(data[[#This Row],[LoadedMiles]]/data[[#This Row],[TotalMiles]])*100</f>
        <v>62.521294718909715</v>
      </c>
      <c r="Q901" s="25">
        <f>data[[#This Row],[ShippingCost]]/data[[#This Row],[TotalMiles]]</f>
        <v>0.88756388415672915</v>
      </c>
      <c r="R901" s="17">
        <v>521</v>
      </c>
      <c r="S901" s="25">
        <f>data[[#This Row],[Revenue]]/data[[#This Row],[TotalMiles]]</f>
        <v>1.5502555366269166</v>
      </c>
      <c r="T901" s="26">
        <f>data[[#This Row],[Revenue]]-data[[#This Row],[ShippingCost]]</f>
        <v>389</v>
      </c>
      <c r="U901" s="17">
        <v>910</v>
      </c>
      <c r="V901" s="17">
        <v>83</v>
      </c>
      <c r="W901" s="17" t="s">
        <v>25</v>
      </c>
      <c r="X901" s="17">
        <v>2</v>
      </c>
      <c r="Y901" s="17">
        <f>data[[#This Row],[DeliveryDate]]-data[[#This Row],[ShipDate]]</f>
        <v>1</v>
      </c>
      <c r="Z901" s="17" t="str">
        <f>IF(data[[#This Row],[Actual Delivery Days]]&gt;AD902,"Yes","No")</f>
        <v>Yes</v>
      </c>
    </row>
    <row r="902" spans="1:26">
      <c r="A902" s="17">
        <v>10122</v>
      </c>
      <c r="B902" s="17">
        <v>1</v>
      </c>
      <c r="C902" s="17">
        <v>5</v>
      </c>
      <c r="D902" s="17" t="s">
        <v>360</v>
      </c>
      <c r="E902" s="17" t="s">
        <v>138</v>
      </c>
      <c r="F902" s="17" t="str">
        <f>TEXT(data[[#This Row],[ShipDate]],"yyyy - mmmm")</f>
        <v>2016 - August</v>
      </c>
      <c r="G902" s="17" t="str">
        <f>data[[#This Row],[OriginCity]] &amp; " - "  &amp; data[[#This Row],[DestinationCity]]</f>
        <v>Kalamazoo - Bangor</v>
      </c>
      <c r="H902" s="17" t="s">
        <v>71</v>
      </c>
      <c r="I902" s="17" t="s">
        <v>21</v>
      </c>
      <c r="J902" s="17">
        <v>3</v>
      </c>
      <c r="K902" s="17" t="s">
        <v>104</v>
      </c>
      <c r="L902" s="17" t="s">
        <v>21</v>
      </c>
      <c r="M902" s="17" t="s">
        <v>119</v>
      </c>
      <c r="N902" s="17">
        <v>414</v>
      </c>
      <c r="O902" s="17">
        <v>414</v>
      </c>
      <c r="P902" s="26">
        <f>(data[[#This Row],[LoadedMiles]]/data[[#This Row],[TotalMiles]])*100</f>
        <v>100</v>
      </c>
      <c r="Q902" s="25">
        <f>data[[#This Row],[ShippingCost]]/data[[#This Row],[TotalMiles]]</f>
        <v>18.557971014492754</v>
      </c>
      <c r="R902" s="17">
        <v>7683</v>
      </c>
      <c r="S902" s="25">
        <f>data[[#This Row],[Revenue]]/data[[#This Row],[TotalMiles]]</f>
        <v>20.280193236714975</v>
      </c>
      <c r="T902" s="26">
        <f>data[[#This Row],[Revenue]]-data[[#This Row],[ShippingCost]]</f>
        <v>713</v>
      </c>
      <c r="U902" s="17">
        <v>8396</v>
      </c>
      <c r="V902" s="17">
        <v>68</v>
      </c>
      <c r="W902" s="17" t="s">
        <v>25</v>
      </c>
      <c r="X902" s="17">
        <v>9</v>
      </c>
      <c r="Y902" s="17">
        <f>data[[#This Row],[DeliveryDate]]-data[[#This Row],[ShipDate]]</f>
        <v>3</v>
      </c>
      <c r="Z902" s="17" t="str">
        <f>IF(data[[#This Row],[Actual Delivery Days]]&gt;AD903,"Yes","No")</f>
        <v>Yes</v>
      </c>
    </row>
    <row r="903" spans="1:26">
      <c r="A903" s="17">
        <v>10133</v>
      </c>
      <c r="B903" s="17">
        <v>1</v>
      </c>
      <c r="C903" s="17">
        <v>4</v>
      </c>
      <c r="D903" s="17" t="s">
        <v>380</v>
      </c>
      <c r="E903" s="17" t="s">
        <v>355</v>
      </c>
      <c r="F903" s="17" t="str">
        <f>TEXT(data[[#This Row],[ShipDate]],"yyyy - mmmm")</f>
        <v>2016 - March</v>
      </c>
      <c r="G903" s="17" t="str">
        <f>data[[#This Row],[OriginCity]] &amp; " - "  &amp; data[[#This Row],[DestinationCity]]</f>
        <v>Green Bay - Joliet</v>
      </c>
      <c r="H903" s="17" t="s">
        <v>75</v>
      </c>
      <c r="I903" s="17" t="s">
        <v>29</v>
      </c>
      <c r="J903" s="17">
        <v>3</v>
      </c>
      <c r="K903" s="17" t="s">
        <v>61</v>
      </c>
      <c r="L903" s="17" t="s">
        <v>31</v>
      </c>
      <c r="M903" s="17" t="s">
        <v>381</v>
      </c>
      <c r="N903" s="17">
        <v>1007</v>
      </c>
      <c r="O903" s="17">
        <v>357</v>
      </c>
      <c r="P903" s="26">
        <f>(data[[#This Row],[LoadedMiles]]/data[[#This Row],[TotalMiles]])*100</f>
        <v>35.451837140019862</v>
      </c>
      <c r="Q903" s="25">
        <f>data[[#This Row],[ShippingCost]]/data[[#This Row],[TotalMiles]]</f>
        <v>4.1062562065541215</v>
      </c>
      <c r="R903" s="17">
        <v>4135</v>
      </c>
      <c r="S903" s="25">
        <f>data[[#This Row],[Revenue]]/data[[#This Row],[TotalMiles]]</f>
        <v>2.7894736842105261</v>
      </c>
      <c r="T903" s="26">
        <f>data[[#This Row],[Revenue]]-data[[#This Row],[ShippingCost]]</f>
        <v>-1326</v>
      </c>
      <c r="U903" s="17">
        <v>2809</v>
      </c>
      <c r="V903" s="17">
        <v>81</v>
      </c>
      <c r="W903" s="17" t="s">
        <v>25</v>
      </c>
      <c r="X903" s="17">
        <v>10</v>
      </c>
      <c r="Y903" s="17">
        <f>data[[#This Row],[DeliveryDate]]-data[[#This Row],[ShipDate]]</f>
        <v>3</v>
      </c>
      <c r="Z903" s="17" t="str">
        <f>IF(data[[#This Row],[Actual Delivery Days]]&gt;AD904,"Yes","No")</f>
        <v>Yes</v>
      </c>
    </row>
    <row r="904" spans="1:26">
      <c r="A904" s="17">
        <v>10134</v>
      </c>
      <c r="B904" s="17">
        <v>1</v>
      </c>
      <c r="C904" s="17">
        <v>6</v>
      </c>
      <c r="D904" s="17" t="s">
        <v>382</v>
      </c>
      <c r="E904" s="17" t="s">
        <v>190</v>
      </c>
      <c r="F904" s="17" t="str">
        <f>TEXT(data[[#This Row],[ShipDate]],"yyyy - mmmm")</f>
        <v>2016 - July</v>
      </c>
      <c r="G904" s="17" t="str">
        <f>data[[#This Row],[OriginCity]] &amp; " - "  &amp; data[[#This Row],[DestinationCity]]</f>
        <v>Naperville - Indianapolis</v>
      </c>
      <c r="H904" s="17" t="s">
        <v>48</v>
      </c>
      <c r="I904" s="17" t="s">
        <v>31</v>
      </c>
      <c r="J904" s="17">
        <v>3</v>
      </c>
      <c r="K904" s="17" t="s">
        <v>43</v>
      </c>
      <c r="L904" s="17" t="s">
        <v>44</v>
      </c>
      <c r="M904" s="17" t="s">
        <v>116</v>
      </c>
      <c r="N904" s="17">
        <v>759</v>
      </c>
      <c r="O904" s="17">
        <v>265</v>
      </c>
      <c r="P904" s="26">
        <f>(data[[#This Row],[LoadedMiles]]/data[[#This Row],[TotalMiles]])*100</f>
        <v>34.914361001317523</v>
      </c>
      <c r="Q904" s="25">
        <f>data[[#This Row],[ShippingCost]]/data[[#This Row],[TotalMiles]]</f>
        <v>8.3175230566534921</v>
      </c>
      <c r="R904" s="17">
        <v>6313</v>
      </c>
      <c r="S904" s="25">
        <f>data[[#This Row],[Revenue]]/data[[#This Row],[TotalMiles]]</f>
        <v>9.1673254281949941</v>
      </c>
      <c r="T904" s="26">
        <f>data[[#This Row],[Revenue]]-data[[#This Row],[ShippingCost]]</f>
        <v>645</v>
      </c>
      <c r="U904" s="17">
        <v>6958</v>
      </c>
      <c r="V904" s="17">
        <v>57</v>
      </c>
      <c r="W904" s="17" t="s">
        <v>25</v>
      </c>
      <c r="X904" s="17">
        <v>3</v>
      </c>
      <c r="Y904" s="17">
        <f>data[[#This Row],[DeliveryDate]]-data[[#This Row],[ShipDate]]</f>
        <v>3</v>
      </c>
      <c r="Z904" s="17" t="str">
        <f>IF(data[[#This Row],[Actual Delivery Days]]&gt;AD905,"Yes","No")</f>
        <v>Yes</v>
      </c>
    </row>
    <row r="905" spans="1:26">
      <c r="A905" s="17">
        <v>10138</v>
      </c>
      <c r="B905" s="17">
        <v>1</v>
      </c>
      <c r="C905" s="17">
        <v>4</v>
      </c>
      <c r="D905" s="17" t="s">
        <v>388</v>
      </c>
      <c r="E905" s="17" t="s">
        <v>199</v>
      </c>
      <c r="F905" s="17" t="str">
        <f>TEXT(data[[#This Row],[ShipDate]],"yyyy - mmmm")</f>
        <v>2016 - March</v>
      </c>
      <c r="G905" s="17" t="str">
        <f>data[[#This Row],[OriginCity]] &amp; " - "  &amp; data[[#This Row],[DestinationCity]]</f>
        <v>Dayton - Elgin</v>
      </c>
      <c r="H905" s="17" t="s">
        <v>93</v>
      </c>
      <c r="I905" s="17" t="s">
        <v>23</v>
      </c>
      <c r="J905" s="17">
        <v>3</v>
      </c>
      <c r="K905" s="17" t="s">
        <v>94</v>
      </c>
      <c r="L905" s="17" t="s">
        <v>31</v>
      </c>
      <c r="M905" s="17" t="s">
        <v>381</v>
      </c>
      <c r="N905" s="17">
        <v>230</v>
      </c>
      <c r="O905" s="17">
        <v>230</v>
      </c>
      <c r="P905" s="26">
        <f>(data[[#This Row],[LoadedMiles]]/data[[#This Row],[TotalMiles]])*100</f>
        <v>100</v>
      </c>
      <c r="Q905" s="25">
        <f>data[[#This Row],[ShippingCost]]/data[[#This Row],[TotalMiles]]</f>
        <v>37.200000000000003</v>
      </c>
      <c r="R905" s="17">
        <v>8556</v>
      </c>
      <c r="S905" s="25">
        <f>data[[#This Row],[Revenue]]/data[[#This Row],[TotalMiles]]</f>
        <v>28.769565217391303</v>
      </c>
      <c r="T905" s="26">
        <f>data[[#This Row],[Revenue]]-data[[#This Row],[ShippingCost]]</f>
        <v>-1939</v>
      </c>
      <c r="U905" s="17">
        <v>6617</v>
      </c>
      <c r="V905" s="17">
        <v>94</v>
      </c>
      <c r="W905" s="17" t="s">
        <v>25</v>
      </c>
      <c r="X905" s="17">
        <v>8</v>
      </c>
      <c r="Y905" s="17">
        <f>data[[#This Row],[DeliveryDate]]-data[[#This Row],[ShipDate]]</f>
        <v>2</v>
      </c>
      <c r="Z905" s="17" t="str">
        <f>IF(data[[#This Row],[Actual Delivery Days]]&gt;AD906,"Yes","No")</f>
        <v>Yes</v>
      </c>
    </row>
    <row r="906" spans="1:26">
      <c r="A906" s="17">
        <v>10140</v>
      </c>
      <c r="B906" s="17">
        <v>2</v>
      </c>
      <c r="C906" s="17">
        <v>7</v>
      </c>
      <c r="D906" s="17" t="s">
        <v>390</v>
      </c>
      <c r="E906" s="17" t="s">
        <v>391</v>
      </c>
      <c r="F906" s="17" t="str">
        <f>TEXT(data[[#This Row],[ShipDate]],"yyyy - mmmm")</f>
        <v>2016 - March</v>
      </c>
      <c r="G906" s="17" t="str">
        <f>data[[#This Row],[OriginCity]] &amp; " - "  &amp; data[[#This Row],[DestinationCity]]</f>
        <v>Lansing - Dayton</v>
      </c>
      <c r="H906" s="17" t="s">
        <v>66</v>
      </c>
      <c r="I906" s="17" t="s">
        <v>21</v>
      </c>
      <c r="J906" s="17">
        <v>3</v>
      </c>
      <c r="K906" s="17" t="s">
        <v>93</v>
      </c>
      <c r="L906" s="17" t="s">
        <v>23</v>
      </c>
      <c r="M906" s="17" t="s">
        <v>353</v>
      </c>
      <c r="N906" s="17">
        <v>814</v>
      </c>
      <c r="O906" s="17">
        <v>714</v>
      </c>
      <c r="P906" s="26">
        <f>(data[[#This Row],[LoadedMiles]]/data[[#This Row],[TotalMiles]])*100</f>
        <v>87.714987714987714</v>
      </c>
      <c r="Q906" s="25">
        <f>data[[#This Row],[ShippingCost]]/data[[#This Row],[TotalMiles]]</f>
        <v>2.0257985257985256</v>
      </c>
      <c r="R906" s="17">
        <v>1649</v>
      </c>
      <c r="S906" s="25">
        <f>data[[#This Row],[Revenue]]/data[[#This Row],[TotalMiles]]</f>
        <v>2.861179361179361</v>
      </c>
      <c r="T906" s="26">
        <f>data[[#This Row],[Revenue]]-data[[#This Row],[ShippingCost]]</f>
        <v>680</v>
      </c>
      <c r="U906" s="17">
        <v>2329</v>
      </c>
      <c r="V906" s="17">
        <v>65</v>
      </c>
      <c r="W906" s="17" t="s">
        <v>25</v>
      </c>
      <c r="X906" s="17">
        <v>6</v>
      </c>
      <c r="Y906" s="17">
        <f>data[[#This Row],[DeliveryDate]]-data[[#This Row],[ShipDate]]</f>
        <v>3</v>
      </c>
      <c r="Z906" s="17" t="str">
        <f>IF(data[[#This Row],[Actual Delivery Days]]&gt;AD907,"Yes","No")</f>
        <v>Yes</v>
      </c>
    </row>
    <row r="907" spans="1:26">
      <c r="A907" s="17">
        <v>10141</v>
      </c>
      <c r="B907" s="17">
        <v>2</v>
      </c>
      <c r="C907" s="17">
        <v>8</v>
      </c>
      <c r="D907" s="17" t="s">
        <v>392</v>
      </c>
      <c r="E907" s="17" t="s">
        <v>252</v>
      </c>
      <c r="F907" s="17" t="str">
        <f>TEXT(data[[#This Row],[ShipDate]],"yyyy - mmmm")</f>
        <v>2016 - March</v>
      </c>
      <c r="G907" s="17" t="str">
        <f>data[[#This Row],[OriginCity]] &amp; " - "  &amp; data[[#This Row],[DestinationCity]]</f>
        <v>Bangor - Davenport</v>
      </c>
      <c r="H907" s="17" t="s">
        <v>104</v>
      </c>
      <c r="I907" s="17" t="s">
        <v>21</v>
      </c>
      <c r="J907" s="17">
        <v>3</v>
      </c>
      <c r="K907" s="17" t="s">
        <v>105</v>
      </c>
      <c r="L907" s="17" t="s">
        <v>106</v>
      </c>
      <c r="M907" s="17" t="s">
        <v>186</v>
      </c>
      <c r="N907" s="17">
        <v>972</v>
      </c>
      <c r="O907" s="17">
        <v>211</v>
      </c>
      <c r="P907" s="26">
        <f>(data[[#This Row],[LoadedMiles]]/data[[#This Row],[TotalMiles]])*100</f>
        <v>21.707818930041153</v>
      </c>
      <c r="Q907" s="25">
        <f>data[[#This Row],[ShippingCost]]/data[[#This Row],[TotalMiles]]</f>
        <v>5.3960905349794235</v>
      </c>
      <c r="R907" s="17">
        <v>5245</v>
      </c>
      <c r="S907" s="25">
        <f>data[[#This Row],[Revenue]]/data[[#This Row],[TotalMiles]]</f>
        <v>5.844650205761317</v>
      </c>
      <c r="T907" s="26">
        <f>data[[#This Row],[Revenue]]-data[[#This Row],[ShippingCost]]</f>
        <v>436</v>
      </c>
      <c r="U907" s="17">
        <v>5681</v>
      </c>
      <c r="V907" s="17">
        <v>68</v>
      </c>
      <c r="W907" s="17" t="s">
        <v>25</v>
      </c>
      <c r="X907" s="17">
        <v>10</v>
      </c>
      <c r="Y907" s="17">
        <f>data[[#This Row],[DeliveryDate]]-data[[#This Row],[ShipDate]]</f>
        <v>3</v>
      </c>
      <c r="Z907" s="17" t="str">
        <f>IF(data[[#This Row],[Actual Delivery Days]]&gt;AD908,"Yes","No")</f>
        <v>Yes</v>
      </c>
    </row>
    <row r="908" spans="1:26">
      <c r="A908" s="17">
        <v>10144</v>
      </c>
      <c r="B908" s="17">
        <v>2</v>
      </c>
      <c r="C908" s="17">
        <v>4</v>
      </c>
      <c r="D908" s="17" t="s">
        <v>397</v>
      </c>
      <c r="E908" s="17" t="s">
        <v>133</v>
      </c>
      <c r="F908" s="17" t="str">
        <f>TEXT(data[[#This Row],[ShipDate]],"yyyy - mmmm")</f>
        <v>2016 - March</v>
      </c>
      <c r="G908" s="17" t="str">
        <f>data[[#This Row],[OriginCity]] &amp; " - "  &amp; data[[#This Row],[DestinationCity]]</f>
        <v>Kalamazoo - Bangor</v>
      </c>
      <c r="H908" s="17" t="s">
        <v>71</v>
      </c>
      <c r="I908" s="17" t="s">
        <v>21</v>
      </c>
      <c r="J908" s="17">
        <v>3</v>
      </c>
      <c r="K908" s="17" t="s">
        <v>104</v>
      </c>
      <c r="L908" s="17" t="s">
        <v>21</v>
      </c>
      <c r="M908" s="17" t="s">
        <v>124</v>
      </c>
      <c r="N908" s="17">
        <v>732</v>
      </c>
      <c r="O908" s="17">
        <v>201</v>
      </c>
      <c r="P908" s="26">
        <f>(data[[#This Row],[LoadedMiles]]/data[[#This Row],[TotalMiles]])*100</f>
        <v>27.459016393442624</v>
      </c>
      <c r="Q908" s="25">
        <f>data[[#This Row],[ShippingCost]]/data[[#This Row],[TotalMiles]]</f>
        <v>10.665300546448087</v>
      </c>
      <c r="R908" s="17">
        <v>7807</v>
      </c>
      <c r="S908" s="25">
        <f>data[[#This Row],[Revenue]]/data[[#This Row],[TotalMiles]]</f>
        <v>7.7732240437158469</v>
      </c>
      <c r="T908" s="26">
        <f>data[[#This Row],[Revenue]]-data[[#This Row],[ShippingCost]]</f>
        <v>-2117</v>
      </c>
      <c r="U908" s="17">
        <v>5690</v>
      </c>
      <c r="V908" s="17">
        <v>54</v>
      </c>
      <c r="W908" s="17" t="s">
        <v>25</v>
      </c>
      <c r="X908" s="17">
        <v>10</v>
      </c>
      <c r="Y908" s="17">
        <f>data[[#This Row],[DeliveryDate]]-data[[#This Row],[ShipDate]]</f>
        <v>3</v>
      </c>
      <c r="Z908" s="17" t="str">
        <f>IF(data[[#This Row],[Actual Delivery Days]]&gt;AD909,"Yes","No")</f>
        <v>Yes</v>
      </c>
    </row>
    <row r="909" spans="1:26">
      <c r="A909" s="17">
        <v>10160</v>
      </c>
      <c r="B909" s="17">
        <v>1</v>
      </c>
      <c r="C909" s="17">
        <v>7</v>
      </c>
      <c r="D909" s="17" t="s">
        <v>427</v>
      </c>
      <c r="E909" s="17" t="s">
        <v>259</v>
      </c>
      <c r="F909" s="17" t="str">
        <f>TEXT(data[[#This Row],[ShipDate]],"yyyy - mmmm")</f>
        <v>2016 - February</v>
      </c>
      <c r="G909" s="17" t="str">
        <f>data[[#This Row],[OriginCity]] &amp; " - "  &amp; data[[#This Row],[DestinationCity]]</f>
        <v>Dayton - Elgin</v>
      </c>
      <c r="H909" s="17" t="s">
        <v>93</v>
      </c>
      <c r="I909" s="17" t="s">
        <v>23</v>
      </c>
      <c r="J909" s="17">
        <v>3</v>
      </c>
      <c r="K909" s="17" t="s">
        <v>94</v>
      </c>
      <c r="L909" s="17" t="s">
        <v>31</v>
      </c>
      <c r="M909" s="17" t="s">
        <v>163</v>
      </c>
      <c r="N909" s="17">
        <v>262</v>
      </c>
      <c r="O909" s="17">
        <v>262</v>
      </c>
      <c r="P909" s="26">
        <f>(data[[#This Row],[LoadedMiles]]/data[[#This Row],[TotalMiles]])*100</f>
        <v>100</v>
      </c>
      <c r="Q909" s="25">
        <f>data[[#This Row],[ShippingCost]]/data[[#This Row],[TotalMiles]]</f>
        <v>10.114503816793894</v>
      </c>
      <c r="R909" s="17">
        <v>2650</v>
      </c>
      <c r="S909" s="25">
        <f>data[[#This Row],[Revenue]]/data[[#This Row],[TotalMiles]]</f>
        <v>13.026717557251908</v>
      </c>
      <c r="T909" s="26">
        <f>data[[#This Row],[Revenue]]-data[[#This Row],[ShippingCost]]</f>
        <v>763</v>
      </c>
      <c r="U909" s="17">
        <v>3413</v>
      </c>
      <c r="V909" s="17">
        <v>80</v>
      </c>
      <c r="W909" s="17" t="s">
        <v>25</v>
      </c>
      <c r="X909" s="17">
        <v>1</v>
      </c>
      <c r="Y909" s="17">
        <f>data[[#This Row],[DeliveryDate]]-data[[#This Row],[ShipDate]]</f>
        <v>3</v>
      </c>
      <c r="Z909" s="17" t="str">
        <f>IF(data[[#This Row],[Actual Delivery Days]]&gt;AD910,"Yes","No")</f>
        <v>Yes</v>
      </c>
    </row>
    <row r="910" spans="1:26">
      <c r="A910" s="17">
        <v>10202</v>
      </c>
      <c r="B910" s="17">
        <v>1</v>
      </c>
      <c r="C910" s="17">
        <v>6</v>
      </c>
      <c r="D910" s="17" t="s">
        <v>495</v>
      </c>
      <c r="E910" s="17" t="s">
        <v>133</v>
      </c>
      <c r="F910" s="17" t="str">
        <f>TEXT(data[[#This Row],[ShipDate]],"yyyy - mmmm")</f>
        <v>2016 - March</v>
      </c>
      <c r="G910" s="17" t="str">
        <f>data[[#This Row],[OriginCity]] &amp; " - "  &amp; data[[#This Row],[DestinationCity]]</f>
        <v>Bangor - Davenport</v>
      </c>
      <c r="H910" s="17" t="s">
        <v>104</v>
      </c>
      <c r="I910" s="17" t="s">
        <v>21</v>
      </c>
      <c r="J910" s="17">
        <v>3</v>
      </c>
      <c r="K910" s="17" t="s">
        <v>105</v>
      </c>
      <c r="L910" s="17" t="s">
        <v>106</v>
      </c>
      <c r="M910" s="17" t="s">
        <v>124</v>
      </c>
      <c r="N910" s="17">
        <v>802</v>
      </c>
      <c r="O910" s="17">
        <v>703</v>
      </c>
      <c r="P910" s="26">
        <f>(data[[#This Row],[LoadedMiles]]/data[[#This Row],[TotalMiles]])*100</f>
        <v>87.655860349127181</v>
      </c>
      <c r="Q910" s="25">
        <f>data[[#This Row],[ShippingCost]]/data[[#This Row],[TotalMiles]]</f>
        <v>3.5436408977556111</v>
      </c>
      <c r="R910" s="17">
        <v>2842</v>
      </c>
      <c r="S910" s="25">
        <f>data[[#This Row],[Revenue]]/data[[#This Row],[TotalMiles]]</f>
        <v>4.7718204488778051</v>
      </c>
      <c r="T910" s="26">
        <f>data[[#This Row],[Revenue]]-data[[#This Row],[ShippingCost]]</f>
        <v>985</v>
      </c>
      <c r="U910" s="17">
        <v>3827</v>
      </c>
      <c r="V910" s="17">
        <v>55</v>
      </c>
      <c r="W910" s="17" t="s">
        <v>25</v>
      </c>
      <c r="X910" s="17">
        <v>2</v>
      </c>
      <c r="Y910" s="17">
        <f>data[[#This Row],[DeliveryDate]]-data[[#This Row],[ShipDate]]</f>
        <v>3</v>
      </c>
      <c r="Z910" s="17" t="str">
        <f>IF(data[[#This Row],[Actual Delivery Days]]&gt;AD911,"Yes","No")</f>
        <v>Yes</v>
      </c>
    </row>
    <row r="911" spans="1:26">
      <c r="A911" s="17">
        <v>10203</v>
      </c>
      <c r="B911" s="17">
        <v>2</v>
      </c>
      <c r="C911" s="17">
        <v>5</v>
      </c>
      <c r="D911" s="17" t="s">
        <v>496</v>
      </c>
      <c r="E911" s="17" t="s">
        <v>278</v>
      </c>
      <c r="F911" s="17" t="str">
        <f>TEXT(data[[#This Row],[ShipDate]],"yyyy - mmmm")</f>
        <v>2016 - June</v>
      </c>
      <c r="G911" s="17" t="str">
        <f>data[[#This Row],[OriginCity]] &amp; " - "  &amp; data[[#This Row],[DestinationCity]]</f>
        <v>Elgin - Cincinnati</v>
      </c>
      <c r="H911" s="17" t="s">
        <v>94</v>
      </c>
      <c r="I911" s="17" t="s">
        <v>31</v>
      </c>
      <c r="J911" s="17">
        <v>3</v>
      </c>
      <c r="K911" s="17" t="s">
        <v>89</v>
      </c>
      <c r="L911" s="17" t="s">
        <v>23</v>
      </c>
      <c r="M911" s="17" t="s">
        <v>79</v>
      </c>
      <c r="N911" s="17">
        <v>721</v>
      </c>
      <c r="O911" s="17">
        <v>511</v>
      </c>
      <c r="P911" s="26">
        <f>(data[[#This Row],[LoadedMiles]]/data[[#This Row],[TotalMiles]])*100</f>
        <v>70.873786407766985</v>
      </c>
      <c r="Q911" s="25">
        <f>data[[#This Row],[ShippingCost]]/data[[#This Row],[TotalMiles]]</f>
        <v>9.393897364771151</v>
      </c>
      <c r="R911" s="17">
        <v>6773</v>
      </c>
      <c r="S911" s="25">
        <f>data[[#This Row],[Revenue]]/data[[#This Row],[TotalMiles]]</f>
        <v>9.8363384188626899</v>
      </c>
      <c r="T911" s="26">
        <f>data[[#This Row],[Revenue]]-data[[#This Row],[ShippingCost]]</f>
        <v>319</v>
      </c>
      <c r="U911" s="17">
        <v>7092</v>
      </c>
      <c r="V911" s="17">
        <v>88</v>
      </c>
      <c r="W911" s="17" t="s">
        <v>25</v>
      </c>
      <c r="X911" s="17">
        <v>3</v>
      </c>
      <c r="Y911" s="17">
        <f>data[[#This Row],[DeliveryDate]]-data[[#This Row],[ShipDate]]</f>
        <v>3</v>
      </c>
      <c r="Z911" s="17" t="str">
        <f>IF(data[[#This Row],[Actual Delivery Days]]&gt;AD912,"Yes","No")</f>
        <v>Yes</v>
      </c>
    </row>
    <row r="912" spans="1:26">
      <c r="A912" s="17">
        <v>10210</v>
      </c>
      <c r="B912" s="17">
        <v>2</v>
      </c>
      <c r="C912" s="17">
        <v>7</v>
      </c>
      <c r="D912" s="17" t="s">
        <v>506</v>
      </c>
      <c r="E912" s="17" t="s">
        <v>42</v>
      </c>
      <c r="F912" s="17" t="str">
        <f>TEXT(data[[#This Row],[ShipDate]],"yyyy - mmmm")</f>
        <v>2016 - May</v>
      </c>
      <c r="G912" s="17" t="str">
        <f>data[[#This Row],[OriginCity]] &amp; " - "  &amp; data[[#This Row],[DestinationCity]]</f>
        <v>Indianapolis - Northbrook</v>
      </c>
      <c r="H912" s="17" t="s">
        <v>43</v>
      </c>
      <c r="I912" s="17" t="s">
        <v>44</v>
      </c>
      <c r="J912" s="17">
        <v>3</v>
      </c>
      <c r="K912" s="17" t="s">
        <v>45</v>
      </c>
      <c r="L912" s="17" t="s">
        <v>31</v>
      </c>
      <c r="M912" s="17" t="s">
        <v>32</v>
      </c>
      <c r="N912" s="17">
        <v>397</v>
      </c>
      <c r="O912" s="17">
        <v>296</v>
      </c>
      <c r="P912" s="26">
        <f>(data[[#This Row],[LoadedMiles]]/data[[#This Row],[TotalMiles]])*100</f>
        <v>74.559193954659946</v>
      </c>
      <c r="Q912" s="25">
        <f>data[[#This Row],[ShippingCost]]/data[[#This Row],[TotalMiles]]</f>
        <v>7.6574307304785894</v>
      </c>
      <c r="R912" s="17">
        <v>3040</v>
      </c>
      <c r="S912" s="25">
        <f>data[[#This Row],[Revenue]]/data[[#This Row],[TotalMiles]]</f>
        <v>8.569269521410579</v>
      </c>
      <c r="T912" s="26">
        <f>data[[#This Row],[Revenue]]-data[[#This Row],[ShippingCost]]</f>
        <v>362</v>
      </c>
      <c r="U912" s="17">
        <v>3402</v>
      </c>
      <c r="V912" s="17">
        <v>77</v>
      </c>
      <c r="W912" s="17" t="s">
        <v>25</v>
      </c>
      <c r="X912" s="17">
        <v>10</v>
      </c>
      <c r="Y912" s="17">
        <f>data[[#This Row],[DeliveryDate]]-data[[#This Row],[ShipDate]]</f>
        <v>3</v>
      </c>
      <c r="Z912" s="17" t="str">
        <f>IF(data[[#This Row],[Actual Delivery Days]]&gt;AD913,"Yes","No")</f>
        <v>Yes</v>
      </c>
    </row>
    <row r="913" spans="1:26">
      <c r="A913" s="17">
        <v>10220</v>
      </c>
      <c r="B913" s="17">
        <v>1</v>
      </c>
      <c r="C913" s="17">
        <v>6</v>
      </c>
      <c r="D913" s="17" t="s">
        <v>519</v>
      </c>
      <c r="E913" s="17" t="s">
        <v>24</v>
      </c>
      <c r="F913" s="17" t="str">
        <f>TEXT(data[[#This Row],[ShipDate]],"yyyy - mmmm")</f>
        <v>2016 - July</v>
      </c>
      <c r="G913" s="17" t="str">
        <f>data[[#This Row],[OriginCity]] &amp; " - "  &amp; data[[#This Row],[DestinationCity]]</f>
        <v>Cincinnati - Gary</v>
      </c>
      <c r="H913" s="17" t="s">
        <v>89</v>
      </c>
      <c r="I913" s="17" t="s">
        <v>23</v>
      </c>
      <c r="J913" s="17">
        <v>3</v>
      </c>
      <c r="K913" s="17" t="s">
        <v>57</v>
      </c>
      <c r="L913" s="17" t="s">
        <v>44</v>
      </c>
      <c r="M913" s="17" t="s">
        <v>191</v>
      </c>
      <c r="N913" s="17">
        <v>660</v>
      </c>
      <c r="O913" s="17">
        <v>454</v>
      </c>
      <c r="P913" s="26">
        <f>(data[[#This Row],[LoadedMiles]]/data[[#This Row],[TotalMiles]])*100</f>
        <v>68.787878787878782</v>
      </c>
      <c r="Q913" s="25">
        <f>data[[#This Row],[ShippingCost]]/data[[#This Row],[TotalMiles]]</f>
        <v>12.621212121212121</v>
      </c>
      <c r="R913" s="17">
        <v>8330</v>
      </c>
      <c r="S913" s="25">
        <f>data[[#This Row],[Revenue]]/data[[#This Row],[TotalMiles]]</f>
        <v>13.5</v>
      </c>
      <c r="T913" s="26">
        <f>data[[#This Row],[Revenue]]-data[[#This Row],[ShippingCost]]</f>
        <v>580</v>
      </c>
      <c r="U913" s="17">
        <v>8910</v>
      </c>
      <c r="V913" s="17">
        <v>68</v>
      </c>
      <c r="W913" s="17" t="s">
        <v>25</v>
      </c>
      <c r="X913" s="17">
        <v>4</v>
      </c>
      <c r="Y913" s="17">
        <f>data[[#This Row],[DeliveryDate]]-data[[#This Row],[ShipDate]]</f>
        <v>3</v>
      </c>
      <c r="Z913" s="17" t="str">
        <f>IF(data[[#This Row],[Actual Delivery Days]]&gt;AD914,"Yes","No")</f>
        <v>Yes</v>
      </c>
    </row>
    <row r="914" spans="1:26">
      <c r="A914" s="17">
        <v>10224</v>
      </c>
      <c r="B914" s="17">
        <v>1</v>
      </c>
      <c r="C914" s="17">
        <v>6</v>
      </c>
      <c r="D914" s="17" t="s">
        <v>527</v>
      </c>
      <c r="E914" s="17" t="s">
        <v>136</v>
      </c>
      <c r="F914" s="17" t="str">
        <f>TEXT(data[[#This Row],[ShipDate]],"yyyy - mmmm")</f>
        <v>2016 - June</v>
      </c>
      <c r="G914" s="17" t="str">
        <f>data[[#This Row],[OriginCity]] &amp; " - "  &amp; data[[#This Row],[DestinationCity]]</f>
        <v>Skokie - Chicago</v>
      </c>
      <c r="H914" s="17" t="s">
        <v>35</v>
      </c>
      <c r="I914" s="17" t="s">
        <v>31</v>
      </c>
      <c r="J914" s="17">
        <v>3</v>
      </c>
      <c r="K914" s="17" t="s">
        <v>39</v>
      </c>
      <c r="L914" s="17" t="s">
        <v>31</v>
      </c>
      <c r="M914" s="17" t="s">
        <v>474</v>
      </c>
      <c r="N914" s="17">
        <v>506</v>
      </c>
      <c r="O914" s="17">
        <v>410</v>
      </c>
      <c r="P914" s="26">
        <f>(data[[#This Row],[LoadedMiles]]/data[[#This Row],[TotalMiles]])*100</f>
        <v>81.027667984189719</v>
      </c>
      <c r="Q914" s="25">
        <f>data[[#This Row],[ShippingCost]]/data[[#This Row],[TotalMiles]]</f>
        <v>7.8992094861660078</v>
      </c>
      <c r="R914" s="17">
        <v>3997</v>
      </c>
      <c r="S914" s="25">
        <f>data[[#This Row],[Revenue]]/data[[#This Row],[TotalMiles]]</f>
        <v>8.849802371541502</v>
      </c>
      <c r="T914" s="26">
        <f>data[[#This Row],[Revenue]]-data[[#This Row],[ShippingCost]]</f>
        <v>481</v>
      </c>
      <c r="U914" s="17">
        <v>4478</v>
      </c>
      <c r="V914" s="17">
        <v>99</v>
      </c>
      <c r="W914" s="17" t="s">
        <v>25</v>
      </c>
      <c r="X914" s="17">
        <v>5</v>
      </c>
      <c r="Y914" s="17">
        <f>data[[#This Row],[DeliveryDate]]-data[[#This Row],[ShipDate]]</f>
        <v>3</v>
      </c>
      <c r="Z914" s="17" t="str">
        <f>IF(data[[#This Row],[Actual Delivery Days]]&gt;AD915,"Yes","No")</f>
        <v>Yes</v>
      </c>
    </row>
    <row r="915" spans="1:26">
      <c r="A915" s="17">
        <v>10228</v>
      </c>
      <c r="B915" s="17">
        <v>1</v>
      </c>
      <c r="C915" s="17">
        <v>4</v>
      </c>
      <c r="D915" s="17" t="s">
        <v>533</v>
      </c>
      <c r="E915" s="17" t="s">
        <v>168</v>
      </c>
      <c r="F915" s="17" t="str">
        <f>TEXT(data[[#This Row],[ShipDate]],"yyyy - mmmm")</f>
        <v>2016 - February</v>
      </c>
      <c r="G915" s="17" t="str">
        <f>data[[#This Row],[OriginCity]] &amp; " - "  &amp; data[[#This Row],[DestinationCity]]</f>
        <v>Milwaukee - Springfield</v>
      </c>
      <c r="H915" s="17" t="s">
        <v>28</v>
      </c>
      <c r="I915" s="17" t="s">
        <v>29</v>
      </c>
      <c r="J915" s="17">
        <v>3</v>
      </c>
      <c r="K915" s="17" t="s">
        <v>30</v>
      </c>
      <c r="L915" s="17" t="s">
        <v>31</v>
      </c>
      <c r="M915" s="17" t="s">
        <v>206</v>
      </c>
      <c r="N915" s="17">
        <v>559</v>
      </c>
      <c r="O915" s="17">
        <v>271</v>
      </c>
      <c r="P915" s="26">
        <f>(data[[#This Row],[LoadedMiles]]/data[[#This Row],[TotalMiles]])*100</f>
        <v>48.479427549194995</v>
      </c>
      <c r="Q915" s="25">
        <f>data[[#This Row],[ShippingCost]]/data[[#This Row],[TotalMiles]]</f>
        <v>3.1323792486583186</v>
      </c>
      <c r="R915" s="17">
        <v>1751</v>
      </c>
      <c r="S915" s="25">
        <f>data[[#This Row],[Revenue]]/data[[#This Row],[TotalMiles]]</f>
        <v>1.0465116279069768</v>
      </c>
      <c r="T915" s="26">
        <f>data[[#This Row],[Revenue]]-data[[#This Row],[ShippingCost]]</f>
        <v>-1166</v>
      </c>
      <c r="U915" s="17">
        <v>585</v>
      </c>
      <c r="V915" s="17">
        <v>54</v>
      </c>
      <c r="W915" s="17" t="s">
        <v>25</v>
      </c>
      <c r="X915" s="17">
        <v>5</v>
      </c>
      <c r="Y915" s="17">
        <f>data[[#This Row],[DeliveryDate]]-data[[#This Row],[ShipDate]]</f>
        <v>3</v>
      </c>
      <c r="Z915" s="17" t="str">
        <f>IF(data[[#This Row],[Actual Delivery Days]]&gt;AD916,"Yes","No")</f>
        <v>Yes</v>
      </c>
    </row>
    <row r="916" spans="1:26">
      <c r="A916" s="17">
        <v>10243</v>
      </c>
      <c r="B916" s="17">
        <v>2</v>
      </c>
      <c r="C916" s="17">
        <v>6</v>
      </c>
      <c r="D916" s="17" t="s">
        <v>554</v>
      </c>
      <c r="E916" s="17" t="s">
        <v>418</v>
      </c>
      <c r="F916" s="17" t="str">
        <f>TEXT(data[[#This Row],[ShipDate]],"yyyy - mmmm")</f>
        <v>2016 - April</v>
      </c>
      <c r="G916" s="17" t="str">
        <f>data[[#This Row],[OriginCity]] &amp; " - "  &amp; data[[#This Row],[DestinationCity]]</f>
        <v>Toledo - Detriot</v>
      </c>
      <c r="H916" s="17" t="s">
        <v>22</v>
      </c>
      <c r="I916" s="17" t="s">
        <v>23</v>
      </c>
      <c r="J916" s="17">
        <v>3</v>
      </c>
      <c r="K916" s="17" t="s">
        <v>52</v>
      </c>
      <c r="L916" s="17" t="s">
        <v>21</v>
      </c>
      <c r="M916" s="17" t="s">
        <v>100</v>
      </c>
      <c r="N916" s="17">
        <v>800</v>
      </c>
      <c r="O916" s="17">
        <v>247</v>
      </c>
      <c r="P916" s="26">
        <f>(data[[#This Row],[LoadedMiles]]/data[[#This Row],[TotalMiles]])*100</f>
        <v>30.875000000000004</v>
      </c>
      <c r="Q916" s="25">
        <f>data[[#This Row],[ShippingCost]]/data[[#This Row],[TotalMiles]]</f>
        <v>3.6112500000000001</v>
      </c>
      <c r="R916" s="17">
        <v>2889</v>
      </c>
      <c r="S916" s="25">
        <f>data[[#This Row],[Revenue]]/data[[#This Row],[TotalMiles]]</f>
        <v>4.7050000000000001</v>
      </c>
      <c r="T916" s="26">
        <f>data[[#This Row],[Revenue]]-data[[#This Row],[ShippingCost]]</f>
        <v>875</v>
      </c>
      <c r="U916" s="17">
        <v>3764</v>
      </c>
      <c r="V916" s="17">
        <v>61</v>
      </c>
      <c r="W916" s="17" t="s">
        <v>25</v>
      </c>
      <c r="X916" s="17">
        <v>9</v>
      </c>
      <c r="Y916" s="17">
        <f>data[[#This Row],[DeliveryDate]]-data[[#This Row],[ShipDate]]</f>
        <v>3</v>
      </c>
      <c r="Z916" s="17" t="str">
        <f>IF(data[[#This Row],[Actual Delivery Days]]&gt;AD917,"Yes","No")</f>
        <v>Yes</v>
      </c>
    </row>
    <row r="917" spans="1:26">
      <c r="A917" s="17">
        <v>10259</v>
      </c>
      <c r="B917" s="17">
        <v>2</v>
      </c>
      <c r="C917" s="17">
        <v>6</v>
      </c>
      <c r="D917" s="17" t="s">
        <v>575</v>
      </c>
      <c r="E917" s="17" t="s">
        <v>422</v>
      </c>
      <c r="F917" s="17" t="str">
        <f>TEXT(data[[#This Row],[ShipDate]],"yyyy - mmmm")</f>
        <v>2016 - August</v>
      </c>
      <c r="G917" s="17" t="str">
        <f>data[[#This Row],[OriginCity]] &amp; " - "  &amp; data[[#This Row],[DestinationCity]]</f>
        <v>Naperville - Indianapolis</v>
      </c>
      <c r="H917" s="17" t="s">
        <v>48</v>
      </c>
      <c r="I917" s="17" t="s">
        <v>31</v>
      </c>
      <c r="J917" s="17">
        <v>3</v>
      </c>
      <c r="K917" s="17" t="s">
        <v>43</v>
      </c>
      <c r="L917" s="17" t="s">
        <v>44</v>
      </c>
      <c r="M917" s="17" t="s">
        <v>422</v>
      </c>
      <c r="N917" s="17">
        <v>451</v>
      </c>
      <c r="O917" s="17">
        <v>310</v>
      </c>
      <c r="P917" s="26">
        <f>(data[[#This Row],[LoadedMiles]]/data[[#This Row],[TotalMiles]])*100</f>
        <v>68.736141906873613</v>
      </c>
      <c r="Q917" s="25">
        <f>data[[#This Row],[ShippingCost]]/data[[#This Row],[TotalMiles]]</f>
        <v>13.399113082039911</v>
      </c>
      <c r="R917" s="17">
        <v>6043</v>
      </c>
      <c r="S917" s="25">
        <f>data[[#This Row],[Revenue]]/data[[#This Row],[TotalMiles]]</f>
        <v>15.425720620842572</v>
      </c>
      <c r="T917" s="26">
        <f>data[[#This Row],[Revenue]]-data[[#This Row],[ShippingCost]]</f>
        <v>914</v>
      </c>
      <c r="U917" s="17">
        <v>6957</v>
      </c>
      <c r="V917" s="17">
        <v>64</v>
      </c>
      <c r="W917" s="17" t="s">
        <v>25</v>
      </c>
      <c r="X917" s="17">
        <v>4</v>
      </c>
      <c r="Y917" s="17">
        <f>data[[#This Row],[DeliveryDate]]-data[[#This Row],[ShipDate]]</f>
        <v>0</v>
      </c>
      <c r="Z917" s="17" t="str">
        <f>IF(data[[#This Row],[Actual Delivery Days]]&gt;AD918,"Yes","No")</f>
        <v>No</v>
      </c>
    </row>
    <row r="918" spans="1:26">
      <c r="A918" s="17">
        <v>10276</v>
      </c>
      <c r="B918" s="17">
        <v>1</v>
      </c>
      <c r="C918" s="17">
        <v>8</v>
      </c>
      <c r="D918" s="17" t="s">
        <v>594</v>
      </c>
      <c r="E918" s="17" t="s">
        <v>227</v>
      </c>
      <c r="F918" s="17" t="str">
        <f>TEXT(data[[#This Row],[ShipDate]],"yyyy - mmmm")</f>
        <v>2016 - May</v>
      </c>
      <c r="G918" s="17" t="str">
        <f>data[[#This Row],[OriginCity]] &amp; " - "  &amp; data[[#This Row],[DestinationCity]]</f>
        <v>Northbrook - Naperville</v>
      </c>
      <c r="H918" s="17" t="s">
        <v>45</v>
      </c>
      <c r="I918" s="17" t="s">
        <v>31</v>
      </c>
      <c r="J918" s="17">
        <v>3</v>
      </c>
      <c r="K918" s="17" t="s">
        <v>48</v>
      </c>
      <c r="L918" s="17" t="s">
        <v>31</v>
      </c>
      <c r="M918" s="17" t="s">
        <v>261</v>
      </c>
      <c r="N918" s="17">
        <v>619</v>
      </c>
      <c r="O918" s="17">
        <v>468</v>
      </c>
      <c r="P918" s="26">
        <f>(data[[#This Row],[LoadedMiles]]/data[[#This Row],[TotalMiles]])*100</f>
        <v>75.605815831987073</v>
      </c>
      <c r="Q918" s="25">
        <f>data[[#This Row],[ShippingCost]]/data[[#This Row],[TotalMiles]]</f>
        <v>11.197092084006462</v>
      </c>
      <c r="R918" s="17">
        <v>6931</v>
      </c>
      <c r="S918" s="25">
        <f>data[[#This Row],[Revenue]]/data[[#This Row],[TotalMiles]]</f>
        <v>12.137318255250404</v>
      </c>
      <c r="T918" s="26">
        <f>data[[#This Row],[Revenue]]-data[[#This Row],[ShippingCost]]</f>
        <v>582</v>
      </c>
      <c r="U918" s="17">
        <v>7513</v>
      </c>
      <c r="V918" s="17">
        <v>75</v>
      </c>
      <c r="W918" s="17" t="s">
        <v>25</v>
      </c>
      <c r="X918" s="17">
        <v>4</v>
      </c>
      <c r="Y918" s="17">
        <f>data[[#This Row],[DeliveryDate]]-data[[#This Row],[ShipDate]]</f>
        <v>3</v>
      </c>
      <c r="Z918" s="17" t="str">
        <f>IF(data[[#This Row],[Actual Delivery Days]]&gt;AD919,"Yes","No")</f>
        <v>Yes</v>
      </c>
    </row>
    <row r="919" spans="1:26">
      <c r="A919" s="17">
        <v>10279</v>
      </c>
      <c r="B919" s="17">
        <v>2</v>
      </c>
      <c r="C919" s="17">
        <v>4</v>
      </c>
      <c r="D919" s="17" t="s">
        <v>599</v>
      </c>
      <c r="E919" s="17" t="s">
        <v>51</v>
      </c>
      <c r="F919" s="17" t="str">
        <f>TEXT(data[[#This Row],[ShipDate]],"yyyy - mmmm")</f>
        <v>2016 - April</v>
      </c>
      <c r="G919" s="17" t="str">
        <f>data[[#This Row],[OriginCity]] &amp; " - "  &amp; data[[#This Row],[DestinationCity]]</f>
        <v>Monon - Lansing</v>
      </c>
      <c r="H919" s="17" t="s">
        <v>53</v>
      </c>
      <c r="I919" s="17" t="s">
        <v>44</v>
      </c>
      <c r="J919" s="17">
        <v>3</v>
      </c>
      <c r="K919" s="17" t="s">
        <v>66</v>
      </c>
      <c r="L919" s="17" t="s">
        <v>21</v>
      </c>
      <c r="M919" s="17" t="s">
        <v>122</v>
      </c>
      <c r="N919" s="17">
        <v>996</v>
      </c>
      <c r="O919" s="17">
        <v>731</v>
      </c>
      <c r="P919" s="26">
        <f>(data[[#This Row],[LoadedMiles]]/data[[#This Row],[TotalMiles]])*100</f>
        <v>73.393574297188763</v>
      </c>
      <c r="Q919" s="25">
        <f>data[[#This Row],[ShippingCost]]/data[[#This Row],[TotalMiles]]</f>
        <v>6.1947791164658632</v>
      </c>
      <c r="R919" s="17">
        <v>6170</v>
      </c>
      <c r="S919" s="25">
        <f>data[[#This Row],[Revenue]]/data[[#This Row],[TotalMiles]]</f>
        <v>4.8734939759036147</v>
      </c>
      <c r="T919" s="26">
        <f>data[[#This Row],[Revenue]]-data[[#This Row],[ShippingCost]]</f>
        <v>-1316</v>
      </c>
      <c r="U919" s="17">
        <v>4854</v>
      </c>
      <c r="V919" s="17">
        <v>93</v>
      </c>
      <c r="W919" s="17" t="s">
        <v>25</v>
      </c>
      <c r="X919" s="17">
        <v>5</v>
      </c>
      <c r="Y919" s="17">
        <f>data[[#This Row],[DeliveryDate]]-data[[#This Row],[ShipDate]]</f>
        <v>3</v>
      </c>
      <c r="Z919" s="17" t="str">
        <f>IF(data[[#This Row],[Actual Delivery Days]]&gt;AD920,"Yes","No")</f>
        <v>Yes</v>
      </c>
    </row>
    <row r="920" spans="1:26">
      <c r="A920" s="17">
        <v>10284</v>
      </c>
      <c r="B920" s="17">
        <v>1</v>
      </c>
      <c r="C920" s="17">
        <v>6</v>
      </c>
      <c r="D920" s="17" t="s">
        <v>18</v>
      </c>
      <c r="E920" s="17" t="s">
        <v>141</v>
      </c>
      <c r="F920" s="17" t="str">
        <f>TEXT(data[[#This Row],[ShipDate]],"yyyy - mmmm")</f>
        <v>2016 - August</v>
      </c>
      <c r="G920" s="17" t="str">
        <f>data[[#This Row],[OriginCity]] &amp; " - "  &amp; data[[#This Row],[DestinationCity]]</f>
        <v>Dayton - Elgin</v>
      </c>
      <c r="H920" s="17" t="s">
        <v>93</v>
      </c>
      <c r="I920" s="17" t="s">
        <v>23</v>
      </c>
      <c r="J920" s="17">
        <v>3</v>
      </c>
      <c r="K920" s="17" t="s">
        <v>94</v>
      </c>
      <c r="L920" s="17" t="s">
        <v>31</v>
      </c>
      <c r="M920" s="17" t="s">
        <v>141</v>
      </c>
      <c r="N920" s="17">
        <v>800</v>
      </c>
      <c r="O920" s="17">
        <v>466</v>
      </c>
      <c r="P920" s="26">
        <f>(data[[#This Row],[LoadedMiles]]/data[[#This Row],[TotalMiles]])*100</f>
        <v>58.25</v>
      </c>
      <c r="Q920" s="25">
        <f>data[[#This Row],[ShippingCost]]/data[[#This Row],[TotalMiles]]</f>
        <v>4.0787500000000003</v>
      </c>
      <c r="R920" s="17">
        <v>3263</v>
      </c>
      <c r="S920" s="25">
        <f>data[[#This Row],[Revenue]]/data[[#This Row],[TotalMiles]]</f>
        <v>4.8324999999999996</v>
      </c>
      <c r="T920" s="26">
        <f>data[[#This Row],[Revenue]]-data[[#This Row],[ShippingCost]]</f>
        <v>603</v>
      </c>
      <c r="U920" s="17">
        <v>3866</v>
      </c>
      <c r="V920" s="17">
        <v>68</v>
      </c>
      <c r="W920" s="17" t="s">
        <v>25</v>
      </c>
      <c r="X920" s="17">
        <v>8</v>
      </c>
      <c r="Y920" s="17">
        <f>data[[#This Row],[DeliveryDate]]-data[[#This Row],[ShipDate]]</f>
        <v>0</v>
      </c>
      <c r="Z920" s="17" t="str">
        <f>IF(data[[#This Row],[Actual Delivery Days]]&gt;AD921,"Yes","No")</f>
        <v>No</v>
      </c>
    </row>
    <row r="921" spans="1:26">
      <c r="A921" s="17">
        <v>10291</v>
      </c>
      <c r="B921" s="17">
        <v>2</v>
      </c>
      <c r="C921" s="17">
        <v>8</v>
      </c>
      <c r="D921" s="17" t="s">
        <v>55</v>
      </c>
      <c r="E921" s="17" t="s">
        <v>537</v>
      </c>
      <c r="F921" s="17" t="str">
        <f>TEXT(data[[#This Row],[ShipDate]],"yyyy - mmmm")</f>
        <v>2016 - June</v>
      </c>
      <c r="G921" s="17" t="str">
        <f>data[[#This Row],[OriginCity]] &amp; " - "  &amp; data[[#This Row],[DestinationCity]]</f>
        <v>Davenport - Appleton</v>
      </c>
      <c r="H921" s="17" t="s">
        <v>105</v>
      </c>
      <c r="I921" s="17" t="s">
        <v>106</v>
      </c>
      <c r="J921" s="17">
        <v>3</v>
      </c>
      <c r="K921" s="17" t="s">
        <v>85</v>
      </c>
      <c r="L921" s="17" t="s">
        <v>29</v>
      </c>
      <c r="M921" s="17" t="s">
        <v>319</v>
      </c>
      <c r="N921" s="17">
        <v>703</v>
      </c>
      <c r="O921" s="17">
        <v>578</v>
      </c>
      <c r="P921" s="26">
        <f>(data[[#This Row],[LoadedMiles]]/data[[#This Row],[TotalMiles]])*100</f>
        <v>82.219061166429583</v>
      </c>
      <c r="Q921" s="25">
        <f>data[[#This Row],[ShippingCost]]/data[[#This Row],[TotalMiles]]</f>
        <v>11.237553342816501</v>
      </c>
      <c r="R921" s="17">
        <v>7900</v>
      </c>
      <c r="S921" s="25">
        <f>data[[#This Row],[Revenue]]/data[[#This Row],[TotalMiles]]</f>
        <v>11.445234708392602</v>
      </c>
      <c r="T921" s="26">
        <f>data[[#This Row],[Revenue]]-data[[#This Row],[ShippingCost]]</f>
        <v>146</v>
      </c>
      <c r="U921" s="17">
        <v>8046</v>
      </c>
      <c r="V921" s="17">
        <v>82</v>
      </c>
      <c r="W921" s="17" t="s">
        <v>25</v>
      </c>
      <c r="X921" s="17">
        <v>6</v>
      </c>
      <c r="Y921" s="17">
        <f>data[[#This Row],[DeliveryDate]]-data[[#This Row],[ShipDate]]</f>
        <v>3</v>
      </c>
      <c r="Z921" s="17" t="str">
        <f>IF(data[[#This Row],[Actual Delivery Days]]&gt;AD922,"Yes","No")</f>
        <v>Yes</v>
      </c>
    </row>
    <row r="922" spans="1:26">
      <c r="A922" s="17">
        <v>10297</v>
      </c>
      <c r="B922" s="17">
        <v>2</v>
      </c>
      <c r="C922" s="17">
        <v>7</v>
      </c>
      <c r="D922" s="17" t="s">
        <v>80</v>
      </c>
      <c r="E922" s="17" t="s">
        <v>447</v>
      </c>
      <c r="F922" s="17" t="str">
        <f>TEXT(data[[#This Row],[ShipDate]],"yyyy - mmmm")</f>
        <v>2016 - January</v>
      </c>
      <c r="G922" s="17" t="str">
        <f>data[[#This Row],[OriginCity]] &amp; " - "  &amp; data[[#This Row],[DestinationCity]]</f>
        <v>Northbrook - Naperville</v>
      </c>
      <c r="H922" s="17" t="s">
        <v>45</v>
      </c>
      <c r="I922" s="17" t="s">
        <v>31</v>
      </c>
      <c r="J922" s="17">
        <v>3</v>
      </c>
      <c r="K922" s="17" t="s">
        <v>48</v>
      </c>
      <c r="L922" s="17" t="s">
        <v>31</v>
      </c>
      <c r="M922" s="17" t="s">
        <v>394</v>
      </c>
      <c r="N922" s="17">
        <v>906</v>
      </c>
      <c r="O922" s="17">
        <v>546</v>
      </c>
      <c r="P922" s="26">
        <f>(data[[#This Row],[LoadedMiles]]/data[[#This Row],[TotalMiles]])*100</f>
        <v>60.264900662251655</v>
      </c>
      <c r="Q922" s="25">
        <f>data[[#This Row],[ShippingCost]]/data[[#This Row],[TotalMiles]]</f>
        <v>6.4492273730684326</v>
      </c>
      <c r="R922" s="17">
        <v>5843</v>
      </c>
      <c r="S922" s="25">
        <f>data[[#This Row],[Revenue]]/data[[#This Row],[TotalMiles]]</f>
        <v>7.0507726269315674</v>
      </c>
      <c r="T922" s="26">
        <f>data[[#This Row],[Revenue]]-data[[#This Row],[ShippingCost]]</f>
        <v>545</v>
      </c>
      <c r="U922" s="17">
        <v>6388</v>
      </c>
      <c r="V922" s="17">
        <v>90</v>
      </c>
      <c r="W922" s="17" t="s">
        <v>25</v>
      </c>
      <c r="X922" s="17">
        <v>10</v>
      </c>
      <c r="Y922" s="17">
        <f>data[[#This Row],[DeliveryDate]]-data[[#This Row],[ShipDate]]</f>
        <v>3</v>
      </c>
      <c r="Z922" s="17" t="str">
        <f>IF(data[[#This Row],[Actual Delivery Days]]&gt;AD923,"Yes","No")</f>
        <v>Yes</v>
      </c>
    </row>
    <row r="923" spans="1:26">
      <c r="A923" s="17">
        <v>10299</v>
      </c>
      <c r="B923" s="17">
        <v>1</v>
      </c>
      <c r="C923" s="17">
        <v>5</v>
      </c>
      <c r="D923" s="17" t="s">
        <v>91</v>
      </c>
      <c r="E923" s="17" t="s">
        <v>255</v>
      </c>
      <c r="F923" s="17" t="str">
        <f>TEXT(data[[#This Row],[ShipDate]],"yyyy - mmmm")</f>
        <v>2016 - February</v>
      </c>
      <c r="G923" s="17" t="str">
        <f>data[[#This Row],[OriginCity]] &amp; " - "  &amp; data[[#This Row],[DestinationCity]]</f>
        <v>Joliet - Madison</v>
      </c>
      <c r="H923" s="17" t="s">
        <v>61</v>
      </c>
      <c r="I923" s="17" t="s">
        <v>31</v>
      </c>
      <c r="J923" s="17">
        <v>3</v>
      </c>
      <c r="K923" s="17" t="s">
        <v>62</v>
      </c>
      <c r="L923" s="17" t="s">
        <v>29</v>
      </c>
      <c r="M923" s="17" t="s">
        <v>462</v>
      </c>
      <c r="N923" s="17">
        <v>531</v>
      </c>
      <c r="O923" s="17">
        <v>525</v>
      </c>
      <c r="P923" s="26">
        <f>(data[[#This Row],[LoadedMiles]]/data[[#This Row],[TotalMiles]])*100</f>
        <v>98.870056497175142</v>
      </c>
      <c r="Q923" s="25">
        <f>data[[#This Row],[ShippingCost]]/data[[#This Row],[TotalMiles]]</f>
        <v>12.386064030131827</v>
      </c>
      <c r="R923" s="17">
        <v>6577</v>
      </c>
      <c r="S923" s="25">
        <f>data[[#This Row],[Revenue]]/data[[#This Row],[TotalMiles]]</f>
        <v>13.184557438794727</v>
      </c>
      <c r="T923" s="26">
        <f>data[[#This Row],[Revenue]]-data[[#This Row],[ShippingCost]]</f>
        <v>424</v>
      </c>
      <c r="U923" s="17">
        <v>7001</v>
      </c>
      <c r="V923" s="17">
        <v>62</v>
      </c>
      <c r="W923" s="17" t="s">
        <v>25</v>
      </c>
      <c r="X923" s="17">
        <v>8</v>
      </c>
      <c r="Y923" s="17">
        <f>data[[#This Row],[DeliveryDate]]-data[[#This Row],[ShipDate]]</f>
        <v>3</v>
      </c>
      <c r="Z923" s="17" t="str">
        <f>IF(data[[#This Row],[Actual Delivery Days]]&gt;AD924,"Yes","No")</f>
        <v>Yes</v>
      </c>
    </row>
    <row r="924" spans="1:26">
      <c r="A924" s="17">
        <v>10303</v>
      </c>
      <c r="B924" s="17">
        <v>2</v>
      </c>
      <c r="C924" s="17">
        <v>6</v>
      </c>
      <c r="D924" s="17" t="s">
        <v>107</v>
      </c>
      <c r="E924" s="17" t="s">
        <v>387</v>
      </c>
      <c r="F924" s="17" t="str">
        <f>TEXT(data[[#This Row],[ShipDate]],"yyyy - mmmm")</f>
        <v>2016 - August</v>
      </c>
      <c r="G924" s="17" t="str">
        <f>data[[#This Row],[OriginCity]] &amp; " - "  &amp; data[[#This Row],[DestinationCity]]</f>
        <v>Naperville - Indianapolis</v>
      </c>
      <c r="H924" s="17" t="s">
        <v>48</v>
      </c>
      <c r="I924" s="17" t="s">
        <v>31</v>
      </c>
      <c r="J924" s="17">
        <v>3</v>
      </c>
      <c r="K924" s="17" t="s">
        <v>43</v>
      </c>
      <c r="L924" s="17" t="s">
        <v>44</v>
      </c>
      <c r="M924" s="17" t="s">
        <v>387</v>
      </c>
      <c r="N924" s="17">
        <v>349</v>
      </c>
      <c r="O924" s="17">
        <v>349</v>
      </c>
      <c r="P924" s="26">
        <f>(data[[#This Row],[LoadedMiles]]/data[[#This Row],[TotalMiles]])*100</f>
        <v>100</v>
      </c>
      <c r="Q924" s="25">
        <f>data[[#This Row],[ShippingCost]]/data[[#This Row],[TotalMiles]]</f>
        <v>15.148997134670488</v>
      </c>
      <c r="R924" s="17">
        <v>5287</v>
      </c>
      <c r="S924" s="25">
        <f>data[[#This Row],[Revenue]]/data[[#This Row],[TotalMiles]]</f>
        <v>17.315186246418339</v>
      </c>
      <c r="T924" s="26">
        <f>data[[#This Row],[Revenue]]-data[[#This Row],[ShippingCost]]</f>
        <v>756</v>
      </c>
      <c r="U924" s="17">
        <v>6043</v>
      </c>
      <c r="V924" s="17">
        <v>93</v>
      </c>
      <c r="W924" s="17" t="s">
        <v>25</v>
      </c>
      <c r="X924" s="17">
        <v>10</v>
      </c>
      <c r="Y924" s="17">
        <f>data[[#This Row],[DeliveryDate]]-data[[#This Row],[ShipDate]]</f>
        <v>0</v>
      </c>
      <c r="Z924" s="17" t="str">
        <f>IF(data[[#This Row],[Actual Delivery Days]]&gt;AD925,"Yes","No")</f>
        <v>No</v>
      </c>
    </row>
    <row r="925" spans="1:26">
      <c r="A925" s="17">
        <v>10309</v>
      </c>
      <c r="B925" s="17">
        <v>1</v>
      </c>
      <c r="C925" s="17">
        <v>5</v>
      </c>
      <c r="D925" s="17" t="s">
        <v>126</v>
      </c>
      <c r="E925" s="17" t="s">
        <v>221</v>
      </c>
      <c r="F925" s="17" t="str">
        <f>TEXT(data[[#This Row],[ShipDate]],"yyyy - mmmm")</f>
        <v>2016 - April</v>
      </c>
      <c r="G925" s="17" t="str">
        <f>data[[#This Row],[OriginCity]] &amp; " - "  &amp; data[[#This Row],[DestinationCity]]</f>
        <v>Bangor - Davenport</v>
      </c>
      <c r="H925" s="17" t="s">
        <v>104</v>
      </c>
      <c r="I925" s="17" t="s">
        <v>21</v>
      </c>
      <c r="J925" s="17">
        <v>3</v>
      </c>
      <c r="K925" s="17" t="s">
        <v>105</v>
      </c>
      <c r="L925" s="17" t="s">
        <v>106</v>
      </c>
      <c r="M925" s="17" t="s">
        <v>161</v>
      </c>
      <c r="N925" s="17">
        <v>980</v>
      </c>
      <c r="O925" s="17">
        <v>767</v>
      </c>
      <c r="P925" s="26">
        <f>(data[[#This Row],[LoadedMiles]]/data[[#This Row],[TotalMiles]])*100</f>
        <v>78.265306122448976</v>
      </c>
      <c r="Q925" s="25">
        <f>data[[#This Row],[ShippingCost]]/data[[#This Row],[TotalMiles]]</f>
        <v>5.3275510204081629</v>
      </c>
      <c r="R925" s="17">
        <v>5221</v>
      </c>
      <c r="S925" s="25">
        <f>data[[#This Row],[Revenue]]/data[[#This Row],[TotalMiles]]</f>
        <v>5.5051020408163263</v>
      </c>
      <c r="T925" s="26">
        <f>data[[#This Row],[Revenue]]-data[[#This Row],[ShippingCost]]</f>
        <v>174</v>
      </c>
      <c r="U925" s="17">
        <v>5395</v>
      </c>
      <c r="V925" s="17">
        <v>65</v>
      </c>
      <c r="W925" s="17" t="s">
        <v>25</v>
      </c>
      <c r="X925" s="17">
        <v>10</v>
      </c>
      <c r="Y925" s="17">
        <f>data[[#This Row],[DeliveryDate]]-data[[#This Row],[ShipDate]]</f>
        <v>3</v>
      </c>
      <c r="Z925" s="17" t="str">
        <f>IF(data[[#This Row],[Actual Delivery Days]]&gt;AD926,"Yes","No")</f>
        <v>Yes</v>
      </c>
    </row>
    <row r="926" spans="1:26">
      <c r="A926" s="17">
        <v>10316</v>
      </c>
      <c r="B926" s="17">
        <v>2</v>
      </c>
      <c r="C926" s="17">
        <v>7</v>
      </c>
      <c r="D926" s="17" t="s">
        <v>145</v>
      </c>
      <c r="E926" s="17" t="s">
        <v>610</v>
      </c>
      <c r="F926" s="17" t="str">
        <f>TEXT(data[[#This Row],[ShipDate]],"yyyy - mmmm")</f>
        <v>2016 - June</v>
      </c>
      <c r="G926" s="17" t="str">
        <f>data[[#This Row],[OriginCity]] &amp; " - "  &amp; data[[#This Row],[DestinationCity]]</f>
        <v>Springfield - Skokie</v>
      </c>
      <c r="H926" s="17" t="s">
        <v>30</v>
      </c>
      <c r="I926" s="17" t="s">
        <v>31</v>
      </c>
      <c r="J926" s="17">
        <v>3</v>
      </c>
      <c r="K926" s="17" t="s">
        <v>35</v>
      </c>
      <c r="L926" s="17" t="s">
        <v>31</v>
      </c>
      <c r="M926" s="17" t="s">
        <v>473</v>
      </c>
      <c r="N926" s="17">
        <v>274</v>
      </c>
      <c r="O926" s="17">
        <v>274</v>
      </c>
      <c r="P926" s="26">
        <f>(data[[#This Row],[LoadedMiles]]/data[[#This Row],[TotalMiles]])*100</f>
        <v>100</v>
      </c>
      <c r="Q926" s="25">
        <f>data[[#This Row],[ShippingCost]]/data[[#This Row],[TotalMiles]]</f>
        <v>19.266423357664234</v>
      </c>
      <c r="R926" s="17">
        <v>5279</v>
      </c>
      <c r="S926" s="25">
        <f>data[[#This Row],[Revenue]]/data[[#This Row],[TotalMiles]]</f>
        <v>21.799270072992702</v>
      </c>
      <c r="T926" s="26">
        <f>data[[#This Row],[Revenue]]-data[[#This Row],[ShippingCost]]</f>
        <v>694</v>
      </c>
      <c r="U926" s="17">
        <v>5973</v>
      </c>
      <c r="V926" s="17">
        <v>98</v>
      </c>
      <c r="W926" s="17" t="s">
        <v>25</v>
      </c>
      <c r="X926" s="17">
        <v>4</v>
      </c>
      <c r="Y926" s="17">
        <f>data[[#This Row],[DeliveryDate]]-data[[#This Row],[ShipDate]]</f>
        <v>3</v>
      </c>
      <c r="Z926" s="17" t="str">
        <f>IF(data[[#This Row],[Actual Delivery Days]]&gt;AD927,"Yes","No")</f>
        <v>Yes</v>
      </c>
    </row>
    <row r="927" spans="1:26">
      <c r="A927" s="17">
        <v>10328</v>
      </c>
      <c r="B927" s="17">
        <v>1</v>
      </c>
      <c r="C927" s="17">
        <v>5</v>
      </c>
      <c r="D927" s="17" t="s">
        <v>181</v>
      </c>
      <c r="E927" s="17" t="s">
        <v>158</v>
      </c>
      <c r="F927" s="17" t="str">
        <f>TEXT(data[[#This Row],[ShipDate]],"yyyy - mmmm")</f>
        <v>2016 - April</v>
      </c>
      <c r="G927" s="17" t="str">
        <f>data[[#This Row],[OriginCity]] &amp; " - "  &amp; data[[#This Row],[DestinationCity]]</f>
        <v>Dayton - Elgin</v>
      </c>
      <c r="H927" s="17" t="s">
        <v>93</v>
      </c>
      <c r="I927" s="17" t="s">
        <v>23</v>
      </c>
      <c r="J927" s="17">
        <v>3</v>
      </c>
      <c r="K927" s="17" t="s">
        <v>94</v>
      </c>
      <c r="L927" s="17" t="s">
        <v>31</v>
      </c>
      <c r="M927" s="17" t="s">
        <v>418</v>
      </c>
      <c r="N927" s="17">
        <v>312</v>
      </c>
      <c r="O927" s="17">
        <v>312</v>
      </c>
      <c r="P927" s="26">
        <f>(data[[#This Row],[LoadedMiles]]/data[[#This Row],[TotalMiles]])*100</f>
        <v>100</v>
      </c>
      <c r="Q927" s="25">
        <f>data[[#This Row],[ShippingCost]]/data[[#This Row],[TotalMiles]]</f>
        <v>22.589743589743591</v>
      </c>
      <c r="R927" s="17">
        <v>7048</v>
      </c>
      <c r="S927" s="25">
        <f>data[[#This Row],[Revenue]]/data[[#This Row],[TotalMiles]]</f>
        <v>25.048076923076923</v>
      </c>
      <c r="T927" s="26">
        <f>data[[#This Row],[Revenue]]-data[[#This Row],[ShippingCost]]</f>
        <v>767</v>
      </c>
      <c r="U927" s="17">
        <v>7815</v>
      </c>
      <c r="V927" s="17">
        <v>92</v>
      </c>
      <c r="W927" s="17" t="s">
        <v>25</v>
      </c>
      <c r="X927" s="17">
        <v>4</v>
      </c>
      <c r="Y927" s="17">
        <f>data[[#This Row],[DeliveryDate]]-data[[#This Row],[ShipDate]]</f>
        <v>3</v>
      </c>
      <c r="Z927" s="17" t="str">
        <f>IF(data[[#This Row],[Actual Delivery Days]]&gt;AD928,"Yes","No")</f>
        <v>Yes</v>
      </c>
    </row>
    <row r="928" spans="1:26">
      <c r="A928" s="17">
        <v>10329</v>
      </c>
      <c r="B928" s="17">
        <v>2</v>
      </c>
      <c r="C928" s="17">
        <v>6</v>
      </c>
      <c r="D928" s="17" t="s">
        <v>182</v>
      </c>
      <c r="E928" s="17" t="s">
        <v>362</v>
      </c>
      <c r="F928" s="17" t="str">
        <f>TEXT(data[[#This Row],[ShipDate]],"yyyy - mmmm")</f>
        <v>2016 - February</v>
      </c>
      <c r="G928" s="17" t="str">
        <f>data[[#This Row],[OriginCity]] &amp; " - "  &amp; data[[#This Row],[DestinationCity]]</f>
        <v>Toledo - Detriot</v>
      </c>
      <c r="H928" s="17" t="s">
        <v>22</v>
      </c>
      <c r="I928" s="17" t="s">
        <v>23</v>
      </c>
      <c r="J928" s="17">
        <v>3</v>
      </c>
      <c r="K928" s="17" t="s">
        <v>52</v>
      </c>
      <c r="L928" s="17" t="s">
        <v>21</v>
      </c>
      <c r="M928" s="17" t="s">
        <v>611</v>
      </c>
      <c r="N928" s="17">
        <v>1195</v>
      </c>
      <c r="O928" s="17">
        <v>570</v>
      </c>
      <c r="P928" s="26">
        <f>(data[[#This Row],[LoadedMiles]]/data[[#This Row],[TotalMiles]])*100</f>
        <v>47.69874476987448</v>
      </c>
      <c r="Q928" s="25">
        <f>data[[#This Row],[ShippingCost]]/data[[#This Row],[TotalMiles]]</f>
        <v>1.3255230125523012</v>
      </c>
      <c r="R928" s="17">
        <v>1584</v>
      </c>
      <c r="S928" s="25">
        <f>data[[#This Row],[Revenue]]/data[[#This Row],[TotalMiles]]</f>
        <v>1.6292887029288703</v>
      </c>
      <c r="T928" s="26">
        <f>data[[#This Row],[Revenue]]-data[[#This Row],[ShippingCost]]</f>
        <v>363</v>
      </c>
      <c r="U928" s="17">
        <v>1947</v>
      </c>
      <c r="V928" s="17">
        <v>72</v>
      </c>
      <c r="W928" s="17" t="s">
        <v>25</v>
      </c>
      <c r="X928" s="17">
        <v>3</v>
      </c>
      <c r="Y928" s="17">
        <f>data[[#This Row],[DeliveryDate]]-data[[#This Row],[ShipDate]]</f>
        <v>3</v>
      </c>
      <c r="Z928" s="17" t="str">
        <f>IF(data[[#This Row],[Actual Delivery Days]]&gt;AD929,"Yes","No")</f>
        <v>Yes</v>
      </c>
    </row>
    <row r="929" spans="1:26">
      <c r="A929" s="17">
        <v>10335</v>
      </c>
      <c r="B929" s="17">
        <v>1</v>
      </c>
      <c r="C929" s="17">
        <v>4</v>
      </c>
      <c r="D929" s="17" t="s">
        <v>201</v>
      </c>
      <c r="E929" s="17" t="s">
        <v>418</v>
      </c>
      <c r="F929" s="17" t="str">
        <f>TEXT(data[[#This Row],[ShipDate]],"yyyy - mmmm")</f>
        <v>2016 - April</v>
      </c>
      <c r="G929" s="17" t="str">
        <f>data[[#This Row],[OriginCity]] &amp; " - "  &amp; data[[#This Row],[DestinationCity]]</f>
        <v>Milwaukee - Springfield</v>
      </c>
      <c r="H929" s="17" t="s">
        <v>28</v>
      </c>
      <c r="I929" s="17" t="s">
        <v>29</v>
      </c>
      <c r="J929" s="17">
        <v>3</v>
      </c>
      <c r="K929" s="17" t="s">
        <v>30</v>
      </c>
      <c r="L929" s="17" t="s">
        <v>31</v>
      </c>
      <c r="M929" s="17" t="s">
        <v>100</v>
      </c>
      <c r="N929" s="17">
        <v>1101</v>
      </c>
      <c r="O929" s="17">
        <v>206</v>
      </c>
      <c r="P929" s="26">
        <f>(data[[#This Row],[LoadedMiles]]/data[[#This Row],[TotalMiles]])*100</f>
        <v>18.710263396911898</v>
      </c>
      <c r="Q929" s="25">
        <f>data[[#This Row],[ShippingCost]]/data[[#This Row],[TotalMiles]]</f>
        <v>6.8419618528610355</v>
      </c>
      <c r="R929" s="17">
        <v>7533</v>
      </c>
      <c r="S929" s="25">
        <f>data[[#This Row],[Revenue]]/data[[#This Row],[TotalMiles]]</f>
        <v>4.8764759309718437</v>
      </c>
      <c r="T929" s="26">
        <f>data[[#This Row],[Revenue]]-data[[#This Row],[ShippingCost]]</f>
        <v>-2164</v>
      </c>
      <c r="U929" s="17">
        <v>5369</v>
      </c>
      <c r="V929" s="17">
        <v>65</v>
      </c>
      <c r="W929" s="17" t="s">
        <v>25</v>
      </c>
      <c r="X929" s="17">
        <v>1</v>
      </c>
      <c r="Y929" s="17">
        <f>data[[#This Row],[DeliveryDate]]-data[[#This Row],[ShipDate]]</f>
        <v>3</v>
      </c>
      <c r="Z929" s="17" t="str">
        <f>IF(data[[#This Row],[Actual Delivery Days]]&gt;AD930,"Yes","No")</f>
        <v>Yes</v>
      </c>
    </row>
    <row r="930" spans="1:26">
      <c r="A930" s="17">
        <v>10352</v>
      </c>
      <c r="B930" s="17">
        <v>1</v>
      </c>
      <c r="C930" s="17">
        <v>4</v>
      </c>
      <c r="D930" s="17" t="s">
        <v>242</v>
      </c>
      <c r="E930" s="17" t="s">
        <v>447</v>
      </c>
      <c r="F930" s="17" t="str">
        <f>TEXT(data[[#This Row],[ShipDate]],"yyyy - mmmm")</f>
        <v>2016 - January</v>
      </c>
      <c r="G930" s="17" t="str">
        <f>data[[#This Row],[OriginCity]] &amp; " - "  &amp; data[[#This Row],[DestinationCity]]</f>
        <v>Elgin - Cincinnati</v>
      </c>
      <c r="H930" s="17" t="s">
        <v>94</v>
      </c>
      <c r="I930" s="17" t="s">
        <v>31</v>
      </c>
      <c r="J930" s="17">
        <v>3</v>
      </c>
      <c r="K930" s="17" t="s">
        <v>89</v>
      </c>
      <c r="L930" s="17" t="s">
        <v>23</v>
      </c>
      <c r="M930" s="17" t="s">
        <v>394</v>
      </c>
      <c r="N930" s="17">
        <v>571</v>
      </c>
      <c r="O930" s="17">
        <v>339</v>
      </c>
      <c r="P930" s="26">
        <f>(data[[#This Row],[LoadedMiles]]/data[[#This Row],[TotalMiles]])*100</f>
        <v>59.369527145359022</v>
      </c>
      <c r="Q930" s="25">
        <f>data[[#This Row],[ShippingCost]]/data[[#This Row],[TotalMiles]]</f>
        <v>10.54816112084063</v>
      </c>
      <c r="R930" s="17">
        <v>6023</v>
      </c>
      <c r="S930" s="25">
        <f>data[[#This Row],[Revenue]]/data[[#This Row],[TotalMiles]]</f>
        <v>6.0385288966725046</v>
      </c>
      <c r="T930" s="26">
        <f>data[[#This Row],[Revenue]]-data[[#This Row],[ShippingCost]]</f>
        <v>-2575</v>
      </c>
      <c r="U930" s="17">
        <v>3448</v>
      </c>
      <c r="V930" s="17">
        <v>77</v>
      </c>
      <c r="W930" s="17" t="s">
        <v>25</v>
      </c>
      <c r="X930" s="17">
        <v>6</v>
      </c>
      <c r="Y930" s="17">
        <f>data[[#This Row],[DeliveryDate]]-data[[#This Row],[ShipDate]]</f>
        <v>3</v>
      </c>
      <c r="Z930" s="17" t="str">
        <f>IF(data[[#This Row],[Actual Delivery Days]]&gt;AD931,"Yes","No")</f>
        <v>Yes</v>
      </c>
    </row>
    <row r="931" spans="1:26">
      <c r="A931" s="17">
        <v>10369</v>
      </c>
      <c r="B931" s="17">
        <v>1</v>
      </c>
      <c r="C931" s="17">
        <v>7</v>
      </c>
      <c r="D931" s="17" t="s">
        <v>276</v>
      </c>
      <c r="E931" s="17" t="s">
        <v>65</v>
      </c>
      <c r="F931" s="17" t="str">
        <f>TEXT(data[[#This Row],[ShipDate]],"yyyy - mmmm")</f>
        <v>2016 - April</v>
      </c>
      <c r="G931" s="17" t="str">
        <f>data[[#This Row],[OriginCity]] &amp; " - "  &amp; data[[#This Row],[DestinationCity]]</f>
        <v>Appleton - Grand Rapids</v>
      </c>
      <c r="H931" s="17" t="s">
        <v>85</v>
      </c>
      <c r="I931" s="17" t="s">
        <v>29</v>
      </c>
      <c r="J931" s="17">
        <v>3</v>
      </c>
      <c r="K931" s="17" t="s">
        <v>20</v>
      </c>
      <c r="L931" s="17" t="s">
        <v>21</v>
      </c>
      <c r="M931" s="17" t="s">
        <v>221</v>
      </c>
      <c r="N931" s="17">
        <v>787</v>
      </c>
      <c r="O931" s="17">
        <v>787</v>
      </c>
      <c r="P931" s="26">
        <f>(data[[#This Row],[LoadedMiles]]/data[[#This Row],[TotalMiles]])*100</f>
        <v>100</v>
      </c>
      <c r="Q931" s="25">
        <f>data[[#This Row],[ShippingCost]]/data[[#This Row],[TotalMiles]]</f>
        <v>7.1601016518424396</v>
      </c>
      <c r="R931" s="17">
        <v>5635</v>
      </c>
      <c r="S931" s="25">
        <f>data[[#This Row],[Revenue]]/data[[#This Row],[TotalMiles]]</f>
        <v>7.6963151207115628</v>
      </c>
      <c r="T931" s="26">
        <f>data[[#This Row],[Revenue]]-data[[#This Row],[ShippingCost]]</f>
        <v>422</v>
      </c>
      <c r="U931" s="17">
        <v>6057</v>
      </c>
      <c r="V931" s="17">
        <v>60</v>
      </c>
      <c r="W931" s="17" t="s">
        <v>25</v>
      </c>
      <c r="X931" s="17">
        <v>7</v>
      </c>
      <c r="Y931" s="17">
        <f>data[[#This Row],[DeliveryDate]]-data[[#This Row],[ShipDate]]</f>
        <v>3</v>
      </c>
      <c r="Z931" s="17" t="str">
        <f>IF(data[[#This Row],[Actual Delivery Days]]&gt;AD932,"Yes","No")</f>
        <v>Yes</v>
      </c>
    </row>
    <row r="932" spans="1:26">
      <c r="A932" s="17">
        <v>10372</v>
      </c>
      <c r="B932" s="17">
        <v>2</v>
      </c>
      <c r="C932" s="17">
        <v>5</v>
      </c>
      <c r="D932" s="17" t="s">
        <v>281</v>
      </c>
      <c r="E932" s="17" t="s">
        <v>474</v>
      </c>
      <c r="F932" s="17" t="str">
        <f>TEXT(data[[#This Row],[ShipDate]],"yyyy - mmmm")</f>
        <v>2016 - June</v>
      </c>
      <c r="G932" s="17" t="str">
        <f>data[[#This Row],[OriginCity]] &amp; " - "  &amp; data[[#This Row],[DestinationCity]]</f>
        <v>Toledo - Detriot</v>
      </c>
      <c r="H932" s="17" t="s">
        <v>22</v>
      </c>
      <c r="I932" s="17" t="s">
        <v>23</v>
      </c>
      <c r="J932" s="17">
        <v>3</v>
      </c>
      <c r="K932" s="17" t="s">
        <v>52</v>
      </c>
      <c r="L932" s="17" t="s">
        <v>21</v>
      </c>
      <c r="M932" s="17" t="s">
        <v>613</v>
      </c>
      <c r="N932" s="17">
        <v>679</v>
      </c>
      <c r="O932" s="17">
        <v>616</v>
      </c>
      <c r="P932" s="26">
        <f>(data[[#This Row],[LoadedMiles]]/data[[#This Row],[TotalMiles]])*100</f>
        <v>90.721649484536087</v>
      </c>
      <c r="Q932" s="25">
        <f>data[[#This Row],[ShippingCost]]/data[[#This Row],[TotalMiles]]</f>
        <v>3.6480117820324005</v>
      </c>
      <c r="R932" s="17">
        <v>2477</v>
      </c>
      <c r="S932" s="25">
        <f>data[[#This Row],[Revenue]]/data[[#This Row],[TotalMiles]]</f>
        <v>4.4462444771723124</v>
      </c>
      <c r="T932" s="26">
        <f>data[[#This Row],[Revenue]]-data[[#This Row],[ShippingCost]]</f>
        <v>542</v>
      </c>
      <c r="U932" s="17">
        <v>3019</v>
      </c>
      <c r="V932" s="17">
        <v>67</v>
      </c>
      <c r="W932" s="17" t="s">
        <v>25</v>
      </c>
      <c r="X932" s="17">
        <v>9</v>
      </c>
      <c r="Y932" s="17">
        <f>data[[#This Row],[DeliveryDate]]-data[[#This Row],[ShipDate]]</f>
        <v>3</v>
      </c>
      <c r="Z932" s="17" t="str">
        <f>IF(data[[#This Row],[Actual Delivery Days]]&gt;AD933,"Yes","No")</f>
        <v>Yes</v>
      </c>
    </row>
    <row r="933" spans="1:26">
      <c r="A933" s="17">
        <v>10374</v>
      </c>
      <c r="B933" s="17">
        <v>2</v>
      </c>
      <c r="C933" s="17">
        <v>8</v>
      </c>
      <c r="D933" s="17" t="s">
        <v>287</v>
      </c>
      <c r="E933" s="17" t="s">
        <v>373</v>
      </c>
      <c r="F933" s="17" t="str">
        <f>TEXT(data[[#This Row],[ShipDate]],"yyyy - mmmm")</f>
        <v>2016 - May</v>
      </c>
      <c r="G933" s="17" t="str">
        <f>data[[#This Row],[OriginCity]] &amp; " - "  &amp; data[[#This Row],[DestinationCity]]</f>
        <v>Bangor - Davenport</v>
      </c>
      <c r="H933" s="17" t="s">
        <v>104</v>
      </c>
      <c r="I933" s="17" t="s">
        <v>21</v>
      </c>
      <c r="J933" s="17">
        <v>3</v>
      </c>
      <c r="K933" s="17" t="s">
        <v>105</v>
      </c>
      <c r="L933" s="17" t="s">
        <v>106</v>
      </c>
      <c r="M933" s="17" t="s">
        <v>282</v>
      </c>
      <c r="N933" s="17">
        <v>886</v>
      </c>
      <c r="O933" s="17">
        <v>701</v>
      </c>
      <c r="P933" s="26">
        <f>(data[[#This Row],[LoadedMiles]]/data[[#This Row],[TotalMiles]])*100</f>
        <v>79.119638826185096</v>
      </c>
      <c r="Q933" s="25">
        <f>data[[#This Row],[ShippingCost]]/data[[#This Row],[TotalMiles]]</f>
        <v>3.9514672686230248</v>
      </c>
      <c r="R933" s="17">
        <v>3501</v>
      </c>
      <c r="S933" s="25">
        <f>data[[#This Row],[Revenue]]/data[[#This Row],[TotalMiles]]</f>
        <v>4.302483069977427</v>
      </c>
      <c r="T933" s="26">
        <f>data[[#This Row],[Revenue]]-data[[#This Row],[ShippingCost]]</f>
        <v>311</v>
      </c>
      <c r="U933" s="17">
        <v>3812</v>
      </c>
      <c r="V933" s="17">
        <v>53</v>
      </c>
      <c r="W933" s="17" t="s">
        <v>25</v>
      </c>
      <c r="X933" s="17">
        <v>4</v>
      </c>
      <c r="Y933" s="17">
        <f>data[[#This Row],[DeliveryDate]]-data[[#This Row],[ShipDate]]</f>
        <v>3</v>
      </c>
      <c r="Z933" s="17" t="str">
        <f>IF(data[[#This Row],[Actual Delivery Days]]&gt;AD934,"Yes","No")</f>
        <v>Yes</v>
      </c>
    </row>
    <row r="934" spans="1:26">
      <c r="A934" s="17">
        <v>10375</v>
      </c>
      <c r="B934" s="17">
        <v>2</v>
      </c>
      <c r="C934" s="17">
        <v>6</v>
      </c>
      <c r="D934" s="17" t="s">
        <v>288</v>
      </c>
      <c r="E934" s="17" t="s">
        <v>240</v>
      </c>
      <c r="F934" s="17" t="str">
        <f>TEXT(data[[#This Row],[ShipDate]],"yyyy - mmmm")</f>
        <v>2016 - August</v>
      </c>
      <c r="G934" s="17" t="str">
        <f>data[[#This Row],[OriginCity]] &amp; " - "  &amp; data[[#This Row],[DestinationCity]]</f>
        <v>Elgin - Cincinnati</v>
      </c>
      <c r="H934" s="17" t="s">
        <v>94</v>
      </c>
      <c r="I934" s="17" t="s">
        <v>31</v>
      </c>
      <c r="J934" s="17">
        <v>3</v>
      </c>
      <c r="K934" s="17" t="s">
        <v>89</v>
      </c>
      <c r="L934" s="17" t="s">
        <v>23</v>
      </c>
      <c r="M934" s="17" t="s">
        <v>339</v>
      </c>
      <c r="N934" s="17">
        <v>1138</v>
      </c>
      <c r="O934" s="17">
        <v>244</v>
      </c>
      <c r="P934" s="26">
        <f>(data[[#This Row],[LoadedMiles]]/data[[#This Row],[TotalMiles]])*100</f>
        <v>21.441124780316343</v>
      </c>
      <c r="Q934" s="25">
        <f>data[[#This Row],[ShippingCost]]/data[[#This Row],[TotalMiles]]</f>
        <v>1.4876977152899824</v>
      </c>
      <c r="R934" s="17">
        <v>1693</v>
      </c>
      <c r="S934" s="25">
        <f>data[[#This Row],[Revenue]]/data[[#This Row],[TotalMiles]]</f>
        <v>2.1898066783831283</v>
      </c>
      <c r="T934" s="26">
        <f>data[[#This Row],[Revenue]]-data[[#This Row],[ShippingCost]]</f>
        <v>799</v>
      </c>
      <c r="U934" s="17">
        <v>2492</v>
      </c>
      <c r="V934" s="17">
        <v>99</v>
      </c>
      <c r="W934" s="17" t="s">
        <v>25</v>
      </c>
      <c r="X934" s="17">
        <v>7</v>
      </c>
      <c r="Y934" s="17">
        <f>data[[#This Row],[DeliveryDate]]-data[[#This Row],[ShipDate]]</f>
        <v>2</v>
      </c>
      <c r="Z934" s="17" t="str">
        <f>IF(data[[#This Row],[Actual Delivery Days]]&gt;AD935,"Yes","No")</f>
        <v>Yes</v>
      </c>
    </row>
    <row r="935" spans="1:26">
      <c r="A935" s="17">
        <v>10395</v>
      </c>
      <c r="B935" s="17">
        <v>1</v>
      </c>
      <c r="C935" s="17">
        <v>6</v>
      </c>
      <c r="D935" s="17" t="s">
        <v>325</v>
      </c>
      <c r="E935" s="17" t="s">
        <v>153</v>
      </c>
      <c r="F935" s="17" t="str">
        <f>TEXT(data[[#This Row],[ShipDate]],"yyyy - mmmm")</f>
        <v>2016 - February</v>
      </c>
      <c r="G935" s="17" t="str">
        <f>data[[#This Row],[OriginCity]] &amp; " - "  &amp; data[[#This Row],[DestinationCity]]</f>
        <v>Dayton - Elgin</v>
      </c>
      <c r="H935" s="17" t="s">
        <v>93</v>
      </c>
      <c r="I935" s="17" t="s">
        <v>23</v>
      </c>
      <c r="J935" s="17">
        <v>3</v>
      </c>
      <c r="K935" s="17" t="s">
        <v>94</v>
      </c>
      <c r="L935" s="17" t="s">
        <v>31</v>
      </c>
      <c r="M935" s="17" t="s">
        <v>259</v>
      </c>
      <c r="N935" s="17">
        <v>1006</v>
      </c>
      <c r="O935" s="17">
        <v>307</v>
      </c>
      <c r="P935" s="26">
        <f>(data[[#This Row],[LoadedMiles]]/data[[#This Row],[TotalMiles]])*100</f>
        <v>30.516898608349901</v>
      </c>
      <c r="Q935" s="25">
        <f>data[[#This Row],[ShippingCost]]/data[[#This Row],[TotalMiles]]</f>
        <v>3.9662027833001989</v>
      </c>
      <c r="R935" s="17">
        <v>3990</v>
      </c>
      <c r="S935" s="25">
        <f>data[[#This Row],[Revenue]]/data[[#This Row],[TotalMiles]]</f>
        <v>4.8001988071570576</v>
      </c>
      <c r="T935" s="26">
        <f>data[[#This Row],[Revenue]]-data[[#This Row],[ShippingCost]]</f>
        <v>839</v>
      </c>
      <c r="U935" s="17">
        <v>4829</v>
      </c>
      <c r="V935" s="17">
        <v>92</v>
      </c>
      <c r="W935" s="17" t="s">
        <v>25</v>
      </c>
      <c r="X935" s="17">
        <v>3</v>
      </c>
      <c r="Y935" s="17">
        <f>data[[#This Row],[DeliveryDate]]-data[[#This Row],[ShipDate]]</f>
        <v>1</v>
      </c>
      <c r="Z935" s="17" t="str">
        <f>IF(data[[#This Row],[Actual Delivery Days]]&gt;AD936,"Yes","No")</f>
        <v>Yes</v>
      </c>
    </row>
    <row r="936" spans="1:26">
      <c r="A936" s="17">
        <v>10402</v>
      </c>
      <c r="B936" s="17">
        <v>1</v>
      </c>
      <c r="C936" s="17">
        <v>4</v>
      </c>
      <c r="D936" s="17" t="s">
        <v>335</v>
      </c>
      <c r="E936" s="17" t="s">
        <v>27</v>
      </c>
      <c r="F936" s="17" t="str">
        <f>TEXT(data[[#This Row],[ShipDate]],"yyyy - mmmm")</f>
        <v>2016 - May</v>
      </c>
      <c r="G936" s="17" t="str">
        <f>data[[#This Row],[OriginCity]] &amp; " - "  &amp; data[[#This Row],[DestinationCity]]</f>
        <v>Davenport - Appleton</v>
      </c>
      <c r="H936" s="17" t="s">
        <v>105</v>
      </c>
      <c r="I936" s="17" t="s">
        <v>106</v>
      </c>
      <c r="J936" s="17">
        <v>3</v>
      </c>
      <c r="K936" s="17" t="s">
        <v>85</v>
      </c>
      <c r="L936" s="17" t="s">
        <v>29</v>
      </c>
      <c r="M936" s="17" t="s">
        <v>108</v>
      </c>
      <c r="N936" s="17">
        <v>1165</v>
      </c>
      <c r="O936" s="17">
        <v>729</v>
      </c>
      <c r="P936" s="26">
        <f>(data[[#This Row],[LoadedMiles]]/data[[#This Row],[TotalMiles]])*100</f>
        <v>62.575107296137347</v>
      </c>
      <c r="Q936" s="25">
        <f>data[[#This Row],[ShippingCost]]/data[[#This Row],[TotalMiles]]</f>
        <v>1.9510729613733906</v>
      </c>
      <c r="R936" s="17">
        <v>2273</v>
      </c>
      <c r="S936" s="25">
        <f>data[[#This Row],[Revenue]]/data[[#This Row],[TotalMiles]]</f>
        <v>0.61974248927038622</v>
      </c>
      <c r="T936" s="26">
        <f>data[[#This Row],[Revenue]]-data[[#This Row],[ShippingCost]]</f>
        <v>-1551</v>
      </c>
      <c r="U936" s="17">
        <v>722</v>
      </c>
      <c r="V936" s="17">
        <v>89</v>
      </c>
      <c r="W936" s="17" t="s">
        <v>25</v>
      </c>
      <c r="X936" s="17">
        <v>2</v>
      </c>
      <c r="Y936" s="17">
        <f>data[[#This Row],[DeliveryDate]]-data[[#This Row],[ShipDate]]</f>
        <v>3</v>
      </c>
      <c r="Z936" s="17" t="str">
        <f>IF(data[[#This Row],[Actual Delivery Days]]&gt;AD937,"Yes","No")</f>
        <v>Yes</v>
      </c>
    </row>
    <row r="937" spans="1:26">
      <c r="A937" s="17">
        <v>10404</v>
      </c>
      <c r="B937" s="17">
        <v>2</v>
      </c>
      <c r="C937" s="17">
        <v>8</v>
      </c>
      <c r="D937" s="17" t="s">
        <v>338</v>
      </c>
      <c r="E937" s="17" t="s">
        <v>513</v>
      </c>
      <c r="F937" s="17" t="str">
        <f>TEXT(data[[#This Row],[ShipDate]],"yyyy - mmmm")</f>
        <v>2016 - August</v>
      </c>
      <c r="G937" s="17" t="str">
        <f>data[[#This Row],[OriginCity]] &amp; " - "  &amp; data[[#This Row],[DestinationCity]]</f>
        <v>Milwaukee - Springfield</v>
      </c>
      <c r="H937" s="17" t="s">
        <v>28</v>
      </c>
      <c r="I937" s="17" t="s">
        <v>29</v>
      </c>
      <c r="J937" s="17">
        <v>3</v>
      </c>
      <c r="K937" s="17" t="s">
        <v>30</v>
      </c>
      <c r="L937" s="17" t="s">
        <v>31</v>
      </c>
      <c r="M937" s="17" t="s">
        <v>470</v>
      </c>
      <c r="N937" s="17">
        <v>511</v>
      </c>
      <c r="O937" s="17">
        <v>511</v>
      </c>
      <c r="P937" s="26">
        <f>(data[[#This Row],[LoadedMiles]]/data[[#This Row],[TotalMiles]])*100</f>
        <v>100</v>
      </c>
      <c r="Q937" s="25">
        <f>data[[#This Row],[ShippingCost]]/data[[#This Row],[TotalMiles]]</f>
        <v>7.545988258317025</v>
      </c>
      <c r="R937" s="17">
        <v>3856</v>
      </c>
      <c r="S937" s="25">
        <f>data[[#This Row],[Revenue]]/data[[#This Row],[TotalMiles]]</f>
        <v>8.4520547945205475</v>
      </c>
      <c r="T937" s="26">
        <f>data[[#This Row],[Revenue]]-data[[#This Row],[ShippingCost]]</f>
        <v>463</v>
      </c>
      <c r="U937" s="17">
        <v>4319</v>
      </c>
      <c r="V937" s="17">
        <v>66</v>
      </c>
      <c r="W937" s="17" t="s">
        <v>25</v>
      </c>
      <c r="X937" s="17">
        <v>9</v>
      </c>
      <c r="Y937" s="17">
        <f>data[[#This Row],[DeliveryDate]]-data[[#This Row],[ShipDate]]</f>
        <v>3</v>
      </c>
      <c r="Z937" s="17" t="str">
        <f>IF(data[[#This Row],[Actual Delivery Days]]&gt;AD938,"Yes","No")</f>
        <v>Yes</v>
      </c>
    </row>
    <row r="938" spans="1:26">
      <c r="A938" s="17">
        <v>10411</v>
      </c>
      <c r="B938" s="17">
        <v>2</v>
      </c>
      <c r="C938" s="17">
        <v>7</v>
      </c>
      <c r="D938" s="17" t="s">
        <v>351</v>
      </c>
      <c r="E938" s="17" t="s">
        <v>70</v>
      </c>
      <c r="F938" s="17" t="str">
        <f>TEXT(data[[#This Row],[ShipDate]],"yyyy - mmmm")</f>
        <v>2016 - January</v>
      </c>
      <c r="G938" s="17" t="str">
        <f>data[[#This Row],[OriginCity]] &amp; " - "  &amp; data[[#This Row],[DestinationCity]]</f>
        <v>Monon - Lansing</v>
      </c>
      <c r="H938" s="17" t="s">
        <v>53</v>
      </c>
      <c r="I938" s="17" t="s">
        <v>44</v>
      </c>
      <c r="J938" s="17">
        <v>3</v>
      </c>
      <c r="K938" s="17" t="s">
        <v>66</v>
      </c>
      <c r="L938" s="17" t="s">
        <v>21</v>
      </c>
      <c r="M938" s="17" t="s">
        <v>424</v>
      </c>
      <c r="N938" s="17">
        <v>326</v>
      </c>
      <c r="O938" s="17">
        <v>326</v>
      </c>
      <c r="P938" s="26">
        <f>(data[[#This Row],[LoadedMiles]]/data[[#This Row],[TotalMiles]])*100</f>
        <v>100</v>
      </c>
      <c r="Q938" s="25">
        <f>data[[#This Row],[ShippingCost]]/data[[#This Row],[TotalMiles]]</f>
        <v>11.680981595092025</v>
      </c>
      <c r="R938" s="17">
        <v>3808</v>
      </c>
      <c r="S938" s="25">
        <f>data[[#This Row],[Revenue]]/data[[#This Row],[TotalMiles]]</f>
        <v>12.55521472392638</v>
      </c>
      <c r="T938" s="26">
        <f>data[[#This Row],[Revenue]]-data[[#This Row],[ShippingCost]]</f>
        <v>285</v>
      </c>
      <c r="U938" s="17">
        <v>4093</v>
      </c>
      <c r="V938" s="17">
        <v>80</v>
      </c>
      <c r="W938" s="17" t="s">
        <v>25</v>
      </c>
      <c r="X938" s="17">
        <v>6</v>
      </c>
      <c r="Y938" s="17">
        <f>data[[#This Row],[DeliveryDate]]-data[[#This Row],[ShipDate]]</f>
        <v>3</v>
      </c>
      <c r="Z938" s="17" t="str">
        <f>IF(data[[#This Row],[Actual Delivery Days]]&gt;AD939,"Yes","No")</f>
        <v>Yes</v>
      </c>
    </row>
    <row r="939" spans="1:26">
      <c r="A939" s="17">
        <v>10427</v>
      </c>
      <c r="B939" s="17">
        <v>1</v>
      </c>
      <c r="C939" s="17">
        <v>6</v>
      </c>
      <c r="D939" s="17" t="s">
        <v>378</v>
      </c>
      <c r="E939" s="17" t="s">
        <v>350</v>
      </c>
      <c r="F939" s="17" t="str">
        <f>TEXT(data[[#This Row],[ShipDate]],"yyyy - mmmm")</f>
        <v>2016 - May</v>
      </c>
      <c r="G939" s="17" t="str">
        <f>data[[#This Row],[OriginCity]] &amp; " - "  &amp; data[[#This Row],[DestinationCity]]</f>
        <v>Springfield - Skokie</v>
      </c>
      <c r="H939" s="17" t="s">
        <v>30</v>
      </c>
      <c r="I939" s="17" t="s">
        <v>31</v>
      </c>
      <c r="J939" s="17">
        <v>3</v>
      </c>
      <c r="K939" s="17" t="s">
        <v>35</v>
      </c>
      <c r="L939" s="17" t="s">
        <v>31</v>
      </c>
      <c r="M939" s="17" t="s">
        <v>42</v>
      </c>
      <c r="N939" s="17">
        <v>1019</v>
      </c>
      <c r="O939" s="17">
        <v>210</v>
      </c>
      <c r="P939" s="26">
        <f>(data[[#This Row],[LoadedMiles]]/data[[#This Row],[TotalMiles]])*100</f>
        <v>20.608439646712462</v>
      </c>
      <c r="Q939" s="25">
        <f>data[[#This Row],[ShippingCost]]/data[[#This Row],[TotalMiles]]</f>
        <v>5.7899901864573111E-2</v>
      </c>
      <c r="R939" s="17">
        <v>59</v>
      </c>
      <c r="S939" s="25">
        <f>data[[#This Row],[Revenue]]/data[[#This Row],[TotalMiles]]</f>
        <v>0.29048086359175662</v>
      </c>
      <c r="T939" s="26">
        <f>data[[#This Row],[Revenue]]-data[[#This Row],[ShippingCost]]</f>
        <v>237</v>
      </c>
      <c r="U939" s="17">
        <v>296</v>
      </c>
      <c r="V939" s="17">
        <v>97</v>
      </c>
      <c r="W939" s="17" t="s">
        <v>25</v>
      </c>
      <c r="X939" s="17">
        <v>5</v>
      </c>
      <c r="Y939" s="17">
        <f>data[[#This Row],[DeliveryDate]]-data[[#This Row],[ShipDate]]</f>
        <v>3</v>
      </c>
      <c r="Z939" s="17" t="str">
        <f>IF(data[[#This Row],[Actual Delivery Days]]&gt;AD940,"Yes","No")</f>
        <v>Yes</v>
      </c>
    </row>
    <row r="940" spans="1:26">
      <c r="A940" s="17">
        <v>10428</v>
      </c>
      <c r="B940" s="17">
        <v>1</v>
      </c>
      <c r="C940" s="17">
        <v>5</v>
      </c>
      <c r="D940" s="17" t="s">
        <v>380</v>
      </c>
      <c r="E940" s="17" t="s">
        <v>381</v>
      </c>
      <c r="F940" s="17" t="str">
        <f>TEXT(data[[#This Row],[ShipDate]],"yyyy - mmmm")</f>
        <v>2016 - March</v>
      </c>
      <c r="G940" s="17" t="str">
        <f>data[[#This Row],[OriginCity]] &amp; " - "  &amp; data[[#This Row],[DestinationCity]]</f>
        <v>Chicago - Rockford</v>
      </c>
      <c r="H940" s="17" t="s">
        <v>39</v>
      </c>
      <c r="I940" s="17" t="s">
        <v>31</v>
      </c>
      <c r="J940" s="17">
        <v>3</v>
      </c>
      <c r="K940" s="17" t="s">
        <v>40</v>
      </c>
      <c r="L940" s="17" t="s">
        <v>31</v>
      </c>
      <c r="M940" s="17" t="s">
        <v>253</v>
      </c>
      <c r="N940" s="17">
        <v>635</v>
      </c>
      <c r="O940" s="17">
        <v>426</v>
      </c>
      <c r="P940" s="26">
        <f>(data[[#This Row],[LoadedMiles]]/data[[#This Row],[TotalMiles]])*100</f>
        <v>67.086614173228341</v>
      </c>
      <c r="Q940" s="25">
        <f>data[[#This Row],[ShippingCost]]/data[[#This Row],[TotalMiles]]</f>
        <v>11.623622047244094</v>
      </c>
      <c r="R940" s="17">
        <v>7381</v>
      </c>
      <c r="S940" s="25">
        <f>data[[#This Row],[Revenue]]/data[[#This Row],[TotalMiles]]</f>
        <v>12.703937007874016</v>
      </c>
      <c r="T940" s="26">
        <f>data[[#This Row],[Revenue]]-data[[#This Row],[ShippingCost]]</f>
        <v>686</v>
      </c>
      <c r="U940" s="17">
        <v>8067</v>
      </c>
      <c r="V940" s="17">
        <v>97</v>
      </c>
      <c r="W940" s="17" t="s">
        <v>25</v>
      </c>
      <c r="X940" s="17">
        <v>4</v>
      </c>
      <c r="Y940" s="17">
        <f>data[[#This Row],[DeliveryDate]]-data[[#This Row],[ShipDate]]</f>
        <v>3</v>
      </c>
      <c r="Z940" s="17" t="str">
        <f>IF(data[[#This Row],[Actual Delivery Days]]&gt;AD941,"Yes","No")</f>
        <v>Yes</v>
      </c>
    </row>
    <row r="941" spans="1:26">
      <c r="A941" s="17">
        <v>10440</v>
      </c>
      <c r="B941" s="17">
        <v>1</v>
      </c>
      <c r="C941" s="17">
        <v>6</v>
      </c>
      <c r="D941" s="17" t="s">
        <v>398</v>
      </c>
      <c r="E941" s="17" t="s">
        <v>426</v>
      </c>
      <c r="F941" s="17" t="str">
        <f>TEXT(data[[#This Row],[ShipDate]],"yyyy - mmmm")</f>
        <v>2016 - July</v>
      </c>
      <c r="G941" s="17" t="str">
        <f>data[[#This Row],[OriginCity]] &amp; " - "  &amp; data[[#This Row],[DestinationCity]]</f>
        <v>Cincinnati - Gary</v>
      </c>
      <c r="H941" s="17" t="s">
        <v>89</v>
      </c>
      <c r="I941" s="17" t="s">
        <v>23</v>
      </c>
      <c r="J941" s="17">
        <v>3</v>
      </c>
      <c r="K941" s="17" t="s">
        <v>57</v>
      </c>
      <c r="L941" s="17" t="s">
        <v>44</v>
      </c>
      <c r="M941" s="17" t="s">
        <v>144</v>
      </c>
      <c r="N941" s="17">
        <v>453</v>
      </c>
      <c r="O941" s="17">
        <v>453</v>
      </c>
      <c r="P941" s="26">
        <f>(data[[#This Row],[LoadedMiles]]/data[[#This Row],[TotalMiles]])*100</f>
        <v>100</v>
      </c>
      <c r="Q941" s="25">
        <f>data[[#This Row],[ShippingCost]]/data[[#This Row],[TotalMiles]]</f>
        <v>0.40397350993377484</v>
      </c>
      <c r="R941" s="17">
        <v>183</v>
      </c>
      <c r="S941" s="25">
        <f>data[[#This Row],[Revenue]]/data[[#This Row],[TotalMiles]]</f>
        <v>0.68653421633554079</v>
      </c>
      <c r="T941" s="26">
        <f>data[[#This Row],[Revenue]]-data[[#This Row],[ShippingCost]]</f>
        <v>128</v>
      </c>
      <c r="U941" s="17">
        <v>311</v>
      </c>
      <c r="V941" s="17">
        <v>75</v>
      </c>
      <c r="W941" s="17" t="s">
        <v>25</v>
      </c>
      <c r="X941" s="17">
        <v>8</v>
      </c>
      <c r="Y941" s="17">
        <f>data[[#This Row],[DeliveryDate]]-data[[#This Row],[ShipDate]]</f>
        <v>3</v>
      </c>
      <c r="Z941" s="17" t="str">
        <f>IF(data[[#This Row],[Actual Delivery Days]]&gt;AD942,"Yes","No")</f>
        <v>Yes</v>
      </c>
    </row>
    <row r="942" spans="1:26">
      <c r="A942" s="17">
        <v>10444</v>
      </c>
      <c r="B942" s="17">
        <v>1</v>
      </c>
      <c r="C942" s="17">
        <v>8</v>
      </c>
      <c r="D942" s="17" t="s">
        <v>406</v>
      </c>
      <c r="E942" s="17" t="s">
        <v>184</v>
      </c>
      <c r="F942" s="17" t="str">
        <f>TEXT(data[[#This Row],[ShipDate]],"yyyy - mmmm")</f>
        <v>2016 - August</v>
      </c>
      <c r="G942" s="17" t="str">
        <f>data[[#This Row],[OriginCity]] &amp; " - "  &amp; data[[#This Row],[DestinationCity]]</f>
        <v>Elgin - Cincinnati</v>
      </c>
      <c r="H942" s="17" t="s">
        <v>94</v>
      </c>
      <c r="I942" s="17" t="s">
        <v>31</v>
      </c>
      <c r="J942" s="17">
        <v>3</v>
      </c>
      <c r="K942" s="17" t="s">
        <v>89</v>
      </c>
      <c r="L942" s="17" t="s">
        <v>23</v>
      </c>
      <c r="M942" s="17" t="s">
        <v>184</v>
      </c>
      <c r="N942" s="17">
        <v>255</v>
      </c>
      <c r="O942" s="17">
        <v>255</v>
      </c>
      <c r="P942" s="26">
        <f>(data[[#This Row],[LoadedMiles]]/data[[#This Row],[TotalMiles]])*100</f>
        <v>100</v>
      </c>
      <c r="Q942" s="25">
        <f>data[[#This Row],[ShippingCost]]/data[[#This Row],[TotalMiles]]</f>
        <v>12.925490196078432</v>
      </c>
      <c r="R942" s="17">
        <v>3296</v>
      </c>
      <c r="S942" s="25">
        <f>data[[#This Row],[Revenue]]/data[[#This Row],[TotalMiles]]</f>
        <v>16.75686274509804</v>
      </c>
      <c r="T942" s="26">
        <f>data[[#This Row],[Revenue]]-data[[#This Row],[ShippingCost]]</f>
        <v>977</v>
      </c>
      <c r="U942" s="17">
        <v>4273</v>
      </c>
      <c r="V942" s="17">
        <v>50</v>
      </c>
      <c r="W942" s="17" t="s">
        <v>25</v>
      </c>
      <c r="X942" s="17">
        <v>9</v>
      </c>
      <c r="Y942" s="17">
        <f>data[[#This Row],[DeliveryDate]]-data[[#This Row],[ShipDate]]</f>
        <v>0</v>
      </c>
      <c r="Z942" s="17" t="str">
        <f>IF(data[[#This Row],[Actual Delivery Days]]&gt;AD943,"Yes","No")</f>
        <v>No</v>
      </c>
    </row>
    <row r="943" spans="1:26">
      <c r="A943" s="17">
        <v>10476</v>
      </c>
      <c r="B943" s="17">
        <v>2</v>
      </c>
      <c r="C943" s="17">
        <v>7</v>
      </c>
      <c r="D943" s="17" t="s">
        <v>459</v>
      </c>
      <c r="E943" s="17" t="s">
        <v>615</v>
      </c>
      <c r="F943" s="17" t="str">
        <f>TEXT(data[[#This Row],[ShipDate]],"yyyy - mmmm")</f>
        <v>2016 - January</v>
      </c>
      <c r="G943" s="17" t="str">
        <f>data[[#This Row],[OriginCity]] &amp; " - "  &amp; data[[#This Row],[DestinationCity]]</f>
        <v>Gary - Milwaukee</v>
      </c>
      <c r="H943" s="17" t="s">
        <v>57</v>
      </c>
      <c r="I943" s="17" t="s">
        <v>44</v>
      </c>
      <c r="J943" s="17">
        <v>3</v>
      </c>
      <c r="K943" s="17" t="s">
        <v>28</v>
      </c>
      <c r="L943" s="17" t="s">
        <v>29</v>
      </c>
      <c r="M943" s="17" t="s">
        <v>583</v>
      </c>
      <c r="N943" s="17">
        <v>567</v>
      </c>
      <c r="O943" s="17">
        <v>404</v>
      </c>
      <c r="P943" s="26">
        <f>(data[[#This Row],[LoadedMiles]]/data[[#This Row],[TotalMiles]])*100</f>
        <v>71.25220458553791</v>
      </c>
      <c r="Q943" s="25">
        <f>data[[#This Row],[ShippingCost]]/data[[#This Row],[TotalMiles]]</f>
        <v>0.19929453262786595</v>
      </c>
      <c r="R943" s="17">
        <v>113</v>
      </c>
      <c r="S943" s="25">
        <f>data[[#This Row],[Revenue]]/data[[#This Row],[TotalMiles]]</f>
        <v>0.73721340388007051</v>
      </c>
      <c r="T943" s="26">
        <f>data[[#This Row],[Revenue]]-data[[#This Row],[ShippingCost]]</f>
        <v>305</v>
      </c>
      <c r="U943" s="17">
        <v>418</v>
      </c>
      <c r="V943" s="17">
        <v>90</v>
      </c>
      <c r="W943" s="17" t="s">
        <v>25</v>
      </c>
      <c r="X943" s="17">
        <v>3</v>
      </c>
      <c r="Y943" s="17">
        <f>data[[#This Row],[DeliveryDate]]-data[[#This Row],[ShipDate]]</f>
        <v>3</v>
      </c>
      <c r="Z943" s="17" t="str">
        <f>IF(data[[#This Row],[Actual Delivery Days]]&gt;AD944,"Yes","No")</f>
        <v>Yes</v>
      </c>
    </row>
    <row r="944" spans="1:26">
      <c r="A944" s="17">
        <v>10483</v>
      </c>
      <c r="B944" s="17">
        <v>2</v>
      </c>
      <c r="C944" s="17">
        <v>7</v>
      </c>
      <c r="D944" s="17" t="s">
        <v>471</v>
      </c>
      <c r="E944" s="17" t="s">
        <v>304</v>
      </c>
      <c r="F944" s="17" t="str">
        <f>TEXT(data[[#This Row],[ShipDate]],"yyyy - mmmm")</f>
        <v>2016 - January</v>
      </c>
      <c r="G944" s="17" t="str">
        <f>data[[#This Row],[OriginCity]] &amp; " - "  &amp; data[[#This Row],[DestinationCity]]</f>
        <v>Cincinnati - Gary</v>
      </c>
      <c r="H944" s="17" t="s">
        <v>89</v>
      </c>
      <c r="I944" s="17" t="s">
        <v>23</v>
      </c>
      <c r="J944" s="17">
        <v>3</v>
      </c>
      <c r="K944" s="17" t="s">
        <v>57</v>
      </c>
      <c r="L944" s="17" t="s">
        <v>44</v>
      </c>
      <c r="M944" s="17" t="s">
        <v>112</v>
      </c>
      <c r="N944" s="17">
        <v>724</v>
      </c>
      <c r="O944" s="17">
        <v>314</v>
      </c>
      <c r="P944" s="26">
        <f>(data[[#This Row],[LoadedMiles]]/data[[#This Row],[TotalMiles]])*100</f>
        <v>43.370165745856355</v>
      </c>
      <c r="Q944" s="25">
        <f>data[[#This Row],[ShippingCost]]/data[[#This Row],[TotalMiles]]</f>
        <v>3.0055248618784529</v>
      </c>
      <c r="R944" s="17">
        <v>2176</v>
      </c>
      <c r="S944" s="25">
        <f>data[[#This Row],[Revenue]]/data[[#This Row],[TotalMiles]]</f>
        <v>4.0511049723756907</v>
      </c>
      <c r="T944" s="26">
        <f>data[[#This Row],[Revenue]]-data[[#This Row],[ShippingCost]]</f>
        <v>757</v>
      </c>
      <c r="U944" s="17">
        <v>2933</v>
      </c>
      <c r="V944" s="17">
        <v>59</v>
      </c>
      <c r="W944" s="17" t="s">
        <v>25</v>
      </c>
      <c r="X944" s="17">
        <v>6</v>
      </c>
      <c r="Y944" s="17">
        <f>data[[#This Row],[DeliveryDate]]-data[[#This Row],[ShipDate]]</f>
        <v>3</v>
      </c>
      <c r="Z944" s="17" t="str">
        <f>IF(data[[#This Row],[Actual Delivery Days]]&gt;AD945,"Yes","No")</f>
        <v>Yes</v>
      </c>
    </row>
    <row r="945" spans="1:26">
      <c r="A945" s="17">
        <v>10499</v>
      </c>
      <c r="B945" s="17">
        <v>1</v>
      </c>
      <c r="C945" s="17">
        <v>8</v>
      </c>
      <c r="D945" s="17" t="s">
        <v>494</v>
      </c>
      <c r="E945" s="17" t="s">
        <v>49</v>
      </c>
      <c r="F945" s="17" t="str">
        <f>TEXT(data[[#This Row],[ShipDate]],"yyyy - mmmm")</f>
        <v>2016 - April</v>
      </c>
      <c r="G945" s="17" t="str">
        <f>data[[#This Row],[OriginCity]] &amp; " - "  &amp; data[[#This Row],[DestinationCity]]</f>
        <v>Madison - Kalamazoo</v>
      </c>
      <c r="H945" s="17" t="s">
        <v>62</v>
      </c>
      <c r="I945" s="17" t="s">
        <v>29</v>
      </c>
      <c r="J945" s="17">
        <v>3</v>
      </c>
      <c r="K945" s="17" t="s">
        <v>71</v>
      </c>
      <c r="L945" s="17" t="s">
        <v>21</v>
      </c>
      <c r="M945" s="17" t="s">
        <v>285</v>
      </c>
      <c r="N945" s="17">
        <v>355</v>
      </c>
      <c r="O945" s="17">
        <v>355</v>
      </c>
      <c r="P945" s="26">
        <f>(data[[#This Row],[LoadedMiles]]/data[[#This Row],[TotalMiles]])*100</f>
        <v>100</v>
      </c>
      <c r="Q945" s="25">
        <f>data[[#This Row],[ShippingCost]]/data[[#This Row],[TotalMiles]]</f>
        <v>3.2056338028169016</v>
      </c>
      <c r="R945" s="17">
        <v>1138</v>
      </c>
      <c r="S945" s="25">
        <f>data[[#This Row],[Revenue]]/data[[#This Row],[TotalMiles]]</f>
        <v>4.7943661971830984</v>
      </c>
      <c r="T945" s="26">
        <f>data[[#This Row],[Revenue]]-data[[#This Row],[ShippingCost]]</f>
        <v>564</v>
      </c>
      <c r="U945" s="17">
        <v>1702</v>
      </c>
      <c r="V945" s="17">
        <v>53</v>
      </c>
      <c r="W945" s="17" t="s">
        <v>25</v>
      </c>
      <c r="X945" s="17">
        <v>5</v>
      </c>
      <c r="Y945" s="17">
        <f>data[[#This Row],[DeliveryDate]]-data[[#This Row],[ShipDate]]</f>
        <v>3</v>
      </c>
      <c r="Z945" s="17" t="str">
        <f>IF(data[[#This Row],[Actual Delivery Days]]&gt;AD946,"Yes","No")</f>
        <v>Yes</v>
      </c>
    </row>
    <row r="946" spans="1:26">
      <c r="A946" s="17">
        <v>10501</v>
      </c>
      <c r="B946" s="17">
        <v>1</v>
      </c>
      <c r="C946" s="17">
        <v>7</v>
      </c>
      <c r="D946" s="17" t="s">
        <v>497</v>
      </c>
      <c r="E946" s="17" t="s">
        <v>608</v>
      </c>
      <c r="F946" s="17" t="str">
        <f>TEXT(data[[#This Row],[ShipDate]],"yyyy - mmmm")</f>
        <v>2016 - July</v>
      </c>
      <c r="G946" s="17" t="str">
        <f>data[[#This Row],[OriginCity]] &amp; " - "  &amp; data[[#This Row],[DestinationCity]]</f>
        <v>Rockford - Green Bay</v>
      </c>
      <c r="H946" s="17" t="s">
        <v>40</v>
      </c>
      <c r="I946" s="17" t="s">
        <v>31</v>
      </c>
      <c r="J946" s="17">
        <v>3</v>
      </c>
      <c r="K946" s="17" t="s">
        <v>75</v>
      </c>
      <c r="L946" s="17" t="s">
        <v>29</v>
      </c>
      <c r="M946" s="17" t="s">
        <v>540</v>
      </c>
      <c r="N946" s="17">
        <v>963</v>
      </c>
      <c r="O946" s="17">
        <v>301</v>
      </c>
      <c r="P946" s="26">
        <f>(data[[#This Row],[LoadedMiles]]/data[[#This Row],[TotalMiles]])*100</f>
        <v>31.256490134994806</v>
      </c>
      <c r="Q946" s="25">
        <f>data[[#This Row],[ShippingCost]]/data[[#This Row],[TotalMiles]]</f>
        <v>6.29595015576324</v>
      </c>
      <c r="R946" s="17">
        <v>6063</v>
      </c>
      <c r="S946" s="25">
        <f>data[[#This Row],[Revenue]]/data[[#This Row],[TotalMiles]]</f>
        <v>7.2128764278296993</v>
      </c>
      <c r="T946" s="26">
        <f>data[[#This Row],[Revenue]]-data[[#This Row],[ShippingCost]]</f>
        <v>883</v>
      </c>
      <c r="U946" s="17">
        <v>6946</v>
      </c>
      <c r="V946" s="17">
        <v>80</v>
      </c>
      <c r="W946" s="17" t="s">
        <v>25</v>
      </c>
      <c r="X946" s="17">
        <v>8</v>
      </c>
      <c r="Y946" s="17">
        <f>data[[#This Row],[DeliveryDate]]-data[[#This Row],[ShipDate]]</f>
        <v>3</v>
      </c>
      <c r="Z946" s="17" t="str">
        <f>IF(data[[#This Row],[Actual Delivery Days]]&gt;AD947,"Yes","No")</f>
        <v>Yes</v>
      </c>
    </row>
    <row r="947" spans="1:26">
      <c r="A947" s="17">
        <v>10502</v>
      </c>
      <c r="B947" s="17">
        <v>1</v>
      </c>
      <c r="C947" s="17">
        <v>5</v>
      </c>
      <c r="D947" s="17" t="s">
        <v>500</v>
      </c>
      <c r="E947" s="17" t="s">
        <v>365</v>
      </c>
      <c r="F947" s="17" t="str">
        <f>TEXT(data[[#This Row],[ShipDate]],"yyyy - mmmm")</f>
        <v>2016 - June</v>
      </c>
      <c r="G947" s="17" t="str">
        <f>data[[#This Row],[OriginCity]] &amp; " - "  &amp; data[[#This Row],[DestinationCity]]</f>
        <v>Appleton - Grand Rapids</v>
      </c>
      <c r="H947" s="17" t="s">
        <v>85</v>
      </c>
      <c r="I947" s="17" t="s">
        <v>29</v>
      </c>
      <c r="J947" s="17">
        <v>3</v>
      </c>
      <c r="K947" s="17" t="s">
        <v>20</v>
      </c>
      <c r="L947" s="17" t="s">
        <v>21</v>
      </c>
      <c r="M947" s="17" t="s">
        <v>135</v>
      </c>
      <c r="N947" s="17">
        <v>456</v>
      </c>
      <c r="O947" s="17">
        <v>456</v>
      </c>
      <c r="P947" s="26">
        <f>(data[[#This Row],[LoadedMiles]]/data[[#This Row],[TotalMiles]])*100</f>
        <v>100</v>
      </c>
      <c r="Q947" s="25">
        <f>data[[#This Row],[ShippingCost]]/data[[#This Row],[TotalMiles]]</f>
        <v>15.49780701754386</v>
      </c>
      <c r="R947" s="17">
        <v>7067</v>
      </c>
      <c r="S947" s="25">
        <f>data[[#This Row],[Revenue]]/data[[#This Row],[TotalMiles]]</f>
        <v>17.07017543859649</v>
      </c>
      <c r="T947" s="26">
        <f>data[[#This Row],[Revenue]]-data[[#This Row],[ShippingCost]]</f>
        <v>717</v>
      </c>
      <c r="U947" s="17">
        <v>7784</v>
      </c>
      <c r="V947" s="17">
        <v>64</v>
      </c>
      <c r="W947" s="17" t="s">
        <v>25</v>
      </c>
      <c r="X947" s="17">
        <v>7</v>
      </c>
      <c r="Y947" s="17">
        <f>data[[#This Row],[DeliveryDate]]-data[[#This Row],[ShipDate]]</f>
        <v>3</v>
      </c>
      <c r="Z947" s="17" t="str">
        <f>IF(data[[#This Row],[Actual Delivery Days]]&gt;AD948,"Yes","No")</f>
        <v>Yes</v>
      </c>
    </row>
    <row r="948" spans="1:26">
      <c r="A948" s="17">
        <v>10517</v>
      </c>
      <c r="B948" s="17">
        <v>2</v>
      </c>
      <c r="C948" s="17">
        <v>5</v>
      </c>
      <c r="D948" s="17" t="s">
        <v>518</v>
      </c>
      <c r="E948" s="17" t="s">
        <v>240</v>
      </c>
      <c r="F948" s="17" t="str">
        <f>TEXT(data[[#This Row],[ShipDate]],"yyyy - mmmm")</f>
        <v>2016 - August</v>
      </c>
      <c r="G948" s="17" t="str">
        <f>data[[#This Row],[OriginCity]] &amp; " - "  &amp; data[[#This Row],[DestinationCity]]</f>
        <v>Detriot - Monon</v>
      </c>
      <c r="H948" s="17" t="s">
        <v>52</v>
      </c>
      <c r="I948" s="17" t="s">
        <v>21</v>
      </c>
      <c r="J948" s="17">
        <v>3</v>
      </c>
      <c r="K948" s="17" t="s">
        <v>53</v>
      </c>
      <c r="L948" s="17" t="s">
        <v>44</v>
      </c>
      <c r="M948" s="17" t="s">
        <v>621</v>
      </c>
      <c r="N948" s="17">
        <v>1041</v>
      </c>
      <c r="O948" s="17">
        <v>359</v>
      </c>
      <c r="P948" s="26">
        <f>(data[[#This Row],[LoadedMiles]]/data[[#This Row],[TotalMiles]])*100</f>
        <v>34.486071085494721</v>
      </c>
      <c r="Q948" s="25">
        <f>data[[#This Row],[ShippingCost]]/data[[#This Row],[TotalMiles]]</f>
        <v>2.1027857829010568</v>
      </c>
      <c r="R948" s="17">
        <v>2189</v>
      </c>
      <c r="S948" s="25">
        <f>data[[#This Row],[Revenue]]/data[[#This Row],[TotalMiles]]</f>
        <v>2.5485110470701251</v>
      </c>
      <c r="T948" s="26">
        <f>data[[#This Row],[Revenue]]-data[[#This Row],[ShippingCost]]</f>
        <v>464</v>
      </c>
      <c r="U948" s="17">
        <v>2653</v>
      </c>
      <c r="V948" s="17">
        <v>57</v>
      </c>
      <c r="W948" s="17" t="s">
        <v>25</v>
      </c>
      <c r="X948" s="17">
        <v>2</v>
      </c>
      <c r="Y948" s="17">
        <f>data[[#This Row],[DeliveryDate]]-data[[#This Row],[ShipDate]]</f>
        <v>3</v>
      </c>
      <c r="Z948" s="17" t="str">
        <f>IF(data[[#This Row],[Actual Delivery Days]]&gt;AD949,"Yes","No")</f>
        <v>Yes</v>
      </c>
    </row>
    <row r="949" spans="1:26">
      <c r="A949" s="17">
        <v>10519</v>
      </c>
      <c r="B949" s="17">
        <v>1</v>
      </c>
      <c r="C949" s="17">
        <v>5</v>
      </c>
      <c r="D949" s="17" t="s">
        <v>520</v>
      </c>
      <c r="E949" s="17" t="s">
        <v>430</v>
      </c>
      <c r="F949" s="17" t="str">
        <f>TEXT(data[[#This Row],[ShipDate]],"yyyy - mmmm")</f>
        <v>2016 - March</v>
      </c>
      <c r="G949" s="17" t="str">
        <f>data[[#This Row],[OriginCity]] &amp; " - "  &amp; data[[#This Row],[DestinationCity]]</f>
        <v>Joliet - Madison</v>
      </c>
      <c r="H949" s="17" t="s">
        <v>61</v>
      </c>
      <c r="I949" s="17" t="s">
        <v>31</v>
      </c>
      <c r="J949" s="17">
        <v>3</v>
      </c>
      <c r="K949" s="17" t="s">
        <v>62</v>
      </c>
      <c r="L949" s="17" t="s">
        <v>29</v>
      </c>
      <c r="M949" s="17" t="s">
        <v>453</v>
      </c>
      <c r="N949" s="17">
        <v>537</v>
      </c>
      <c r="O949" s="17">
        <v>249</v>
      </c>
      <c r="P949" s="26">
        <f>(data[[#This Row],[LoadedMiles]]/data[[#This Row],[TotalMiles]])*100</f>
        <v>46.368715083798882</v>
      </c>
      <c r="Q949" s="25">
        <f>data[[#This Row],[ShippingCost]]/data[[#This Row],[TotalMiles]]</f>
        <v>2.6815642458100557</v>
      </c>
      <c r="R949" s="17">
        <v>1440</v>
      </c>
      <c r="S949" s="25">
        <f>data[[#This Row],[Revenue]]/data[[#This Row],[TotalMiles]]</f>
        <v>4.033519553072626</v>
      </c>
      <c r="T949" s="26">
        <f>data[[#This Row],[Revenue]]-data[[#This Row],[ShippingCost]]</f>
        <v>726</v>
      </c>
      <c r="U949" s="17">
        <v>2166</v>
      </c>
      <c r="V949" s="17">
        <v>50</v>
      </c>
      <c r="W949" s="17" t="s">
        <v>25</v>
      </c>
      <c r="X949" s="17">
        <v>8</v>
      </c>
      <c r="Y949" s="17">
        <f>data[[#This Row],[DeliveryDate]]-data[[#This Row],[ShipDate]]</f>
        <v>3</v>
      </c>
      <c r="Z949" s="17" t="str">
        <f>IF(data[[#This Row],[Actual Delivery Days]]&gt;AD950,"Yes","No")</f>
        <v>Yes</v>
      </c>
    </row>
    <row r="950" spans="1:26">
      <c r="A950" s="17">
        <v>10520</v>
      </c>
      <c r="B950" s="17">
        <v>1</v>
      </c>
      <c r="C950" s="17">
        <v>5</v>
      </c>
      <c r="D950" s="17" t="s">
        <v>523</v>
      </c>
      <c r="E950" s="17" t="s">
        <v>606</v>
      </c>
      <c r="F950" s="17" t="str">
        <f>TEXT(data[[#This Row],[ShipDate]],"yyyy - mmmm")</f>
        <v>2016 - May</v>
      </c>
      <c r="G950" s="17" t="str">
        <f>data[[#This Row],[OriginCity]] &amp; " - "  &amp; data[[#This Row],[DestinationCity]]</f>
        <v>Monon - Lansing</v>
      </c>
      <c r="H950" s="17" t="s">
        <v>53</v>
      </c>
      <c r="I950" s="17" t="s">
        <v>44</v>
      </c>
      <c r="J950" s="17">
        <v>3</v>
      </c>
      <c r="K950" s="17" t="s">
        <v>66</v>
      </c>
      <c r="L950" s="17" t="s">
        <v>21</v>
      </c>
      <c r="M950" s="17" t="s">
        <v>197</v>
      </c>
      <c r="N950" s="17">
        <v>573</v>
      </c>
      <c r="O950" s="17">
        <v>571</v>
      </c>
      <c r="P950" s="26">
        <f>(data[[#This Row],[LoadedMiles]]/data[[#This Row],[TotalMiles]])*100</f>
        <v>99.650959860383949</v>
      </c>
      <c r="Q950" s="25">
        <f>data[[#This Row],[ShippingCost]]/data[[#This Row],[TotalMiles]]</f>
        <v>9.3926701570680624</v>
      </c>
      <c r="R950" s="17">
        <v>5382</v>
      </c>
      <c r="S950" s="25">
        <f>data[[#This Row],[Revenue]]/data[[#This Row],[TotalMiles]]</f>
        <v>10.678883071553228</v>
      </c>
      <c r="T950" s="26">
        <f>data[[#This Row],[Revenue]]-data[[#This Row],[ShippingCost]]</f>
        <v>737</v>
      </c>
      <c r="U950" s="17">
        <v>6119</v>
      </c>
      <c r="V950" s="17">
        <v>56</v>
      </c>
      <c r="W950" s="17" t="s">
        <v>25</v>
      </c>
      <c r="X950" s="17">
        <v>5</v>
      </c>
      <c r="Y950" s="17">
        <f>data[[#This Row],[DeliveryDate]]-data[[#This Row],[ShipDate]]</f>
        <v>3</v>
      </c>
      <c r="Z950" s="17" t="str">
        <f>IF(data[[#This Row],[Actual Delivery Days]]&gt;AD951,"Yes","No")</f>
        <v>Yes</v>
      </c>
    </row>
    <row r="951" spans="1:26">
      <c r="A951" s="17">
        <v>10531</v>
      </c>
      <c r="B951" s="17">
        <v>1</v>
      </c>
      <c r="C951" s="17">
        <v>7</v>
      </c>
      <c r="D951" s="17" t="s">
        <v>539</v>
      </c>
      <c r="E951" s="17" t="s">
        <v>368</v>
      </c>
      <c r="F951" s="17" t="str">
        <f>TEXT(data[[#This Row],[ShipDate]],"yyyy - mmmm")</f>
        <v>2016 - May</v>
      </c>
      <c r="G951" s="17" t="str">
        <f>data[[#This Row],[OriginCity]] &amp; " - "  &amp; data[[#This Row],[DestinationCity]]</f>
        <v>Skokie - Chicago</v>
      </c>
      <c r="H951" s="17" t="s">
        <v>35</v>
      </c>
      <c r="I951" s="17" t="s">
        <v>31</v>
      </c>
      <c r="J951" s="17">
        <v>3</v>
      </c>
      <c r="K951" s="17" t="s">
        <v>39</v>
      </c>
      <c r="L951" s="17" t="s">
        <v>31</v>
      </c>
      <c r="M951" s="17" t="s">
        <v>373</v>
      </c>
      <c r="N951" s="17">
        <v>531</v>
      </c>
      <c r="O951" s="17">
        <v>531</v>
      </c>
      <c r="P951" s="26">
        <f>(data[[#This Row],[LoadedMiles]]/data[[#This Row],[TotalMiles]])*100</f>
        <v>100</v>
      </c>
      <c r="Q951" s="25">
        <f>data[[#This Row],[ShippingCost]]/data[[#This Row],[TotalMiles]]</f>
        <v>15.190207156308851</v>
      </c>
      <c r="R951" s="17">
        <v>8066</v>
      </c>
      <c r="S951" s="25">
        <f>data[[#This Row],[Revenue]]/data[[#This Row],[TotalMiles]]</f>
        <v>16.937853107344633</v>
      </c>
      <c r="T951" s="26">
        <f>data[[#This Row],[Revenue]]-data[[#This Row],[ShippingCost]]</f>
        <v>928</v>
      </c>
      <c r="U951" s="17">
        <v>8994</v>
      </c>
      <c r="V951" s="17">
        <v>58</v>
      </c>
      <c r="W951" s="17" t="s">
        <v>25</v>
      </c>
      <c r="X951" s="17">
        <v>10</v>
      </c>
      <c r="Y951" s="17">
        <f>data[[#This Row],[DeliveryDate]]-data[[#This Row],[ShipDate]]</f>
        <v>3</v>
      </c>
      <c r="Z951" s="17" t="str">
        <f>IF(data[[#This Row],[Actual Delivery Days]]&gt;AD952,"Yes","No")</f>
        <v>Yes</v>
      </c>
    </row>
    <row r="952" spans="1:26">
      <c r="A952" s="17">
        <v>10537</v>
      </c>
      <c r="B952" s="17">
        <v>1</v>
      </c>
      <c r="C952" s="17">
        <v>6</v>
      </c>
      <c r="D952" s="17" t="s">
        <v>547</v>
      </c>
      <c r="E952" s="17" t="s">
        <v>56</v>
      </c>
      <c r="F952" s="17" t="str">
        <f>TEXT(data[[#This Row],[ShipDate]],"yyyy - mmmm")</f>
        <v>2016 - May</v>
      </c>
      <c r="G952" s="17" t="str">
        <f>data[[#This Row],[OriginCity]] &amp; " - "  &amp; data[[#This Row],[DestinationCity]]</f>
        <v>Chicago - Rockford</v>
      </c>
      <c r="H952" s="17" t="s">
        <v>39</v>
      </c>
      <c r="I952" s="17" t="s">
        <v>31</v>
      </c>
      <c r="J952" s="17">
        <v>3</v>
      </c>
      <c r="K952" s="17" t="s">
        <v>40</v>
      </c>
      <c r="L952" s="17" t="s">
        <v>31</v>
      </c>
      <c r="M952" s="17" t="s">
        <v>350</v>
      </c>
      <c r="N952" s="17">
        <v>861</v>
      </c>
      <c r="O952" s="17">
        <v>429</v>
      </c>
      <c r="P952" s="26">
        <f>(data[[#This Row],[LoadedMiles]]/data[[#This Row],[TotalMiles]])*100</f>
        <v>49.825783972125436</v>
      </c>
      <c r="Q952" s="25">
        <f>data[[#This Row],[ShippingCost]]/data[[#This Row],[TotalMiles]]</f>
        <v>1.8060394889663183</v>
      </c>
      <c r="R952" s="17">
        <v>1555</v>
      </c>
      <c r="S952" s="25">
        <f>data[[#This Row],[Revenue]]/data[[#This Row],[TotalMiles]]</f>
        <v>2.6469221835075492</v>
      </c>
      <c r="T952" s="26">
        <f>data[[#This Row],[Revenue]]-data[[#This Row],[ShippingCost]]</f>
        <v>724</v>
      </c>
      <c r="U952" s="17">
        <v>2279</v>
      </c>
      <c r="V952" s="17">
        <v>70</v>
      </c>
      <c r="W952" s="17" t="s">
        <v>25</v>
      </c>
      <c r="X952" s="17">
        <v>6</v>
      </c>
      <c r="Y952" s="17">
        <f>data[[#This Row],[DeliveryDate]]-data[[#This Row],[ShipDate]]</f>
        <v>3</v>
      </c>
      <c r="Z952" s="17" t="str">
        <f>IF(data[[#This Row],[Actual Delivery Days]]&gt;AD953,"Yes","No")</f>
        <v>Yes</v>
      </c>
    </row>
    <row r="953" spans="1:26">
      <c r="A953" s="17">
        <v>10539</v>
      </c>
      <c r="B953" s="17">
        <v>2</v>
      </c>
      <c r="C953" s="17">
        <v>6</v>
      </c>
      <c r="D953" s="17" t="s">
        <v>549</v>
      </c>
      <c r="E953" s="17" t="s">
        <v>283</v>
      </c>
      <c r="F953" s="17" t="str">
        <f>TEXT(data[[#This Row],[ShipDate]],"yyyy - mmmm")</f>
        <v>2016 - June</v>
      </c>
      <c r="G953" s="17" t="str">
        <f>data[[#This Row],[OriginCity]] &amp; " - "  &amp; data[[#This Row],[DestinationCity]]</f>
        <v>Northbrook - Naperville</v>
      </c>
      <c r="H953" s="17" t="s">
        <v>45</v>
      </c>
      <c r="I953" s="17" t="s">
        <v>31</v>
      </c>
      <c r="J953" s="17">
        <v>3</v>
      </c>
      <c r="K953" s="17" t="s">
        <v>48</v>
      </c>
      <c r="L953" s="17" t="s">
        <v>31</v>
      </c>
      <c r="M953" s="17" t="s">
        <v>410</v>
      </c>
      <c r="N953" s="17">
        <v>915</v>
      </c>
      <c r="O953" s="17">
        <v>594</v>
      </c>
      <c r="P953" s="26">
        <f>(data[[#This Row],[LoadedMiles]]/data[[#This Row],[TotalMiles]])*100</f>
        <v>64.918032786885249</v>
      </c>
      <c r="Q953" s="25">
        <f>data[[#This Row],[ShippingCost]]/data[[#This Row],[TotalMiles]]</f>
        <v>8.4371584699453557</v>
      </c>
      <c r="R953" s="17">
        <v>7720</v>
      </c>
      <c r="S953" s="25">
        <f>data[[#This Row],[Revenue]]/data[[#This Row],[TotalMiles]]</f>
        <v>8.7846994535519123</v>
      </c>
      <c r="T953" s="26">
        <f>data[[#This Row],[Revenue]]-data[[#This Row],[ShippingCost]]</f>
        <v>318</v>
      </c>
      <c r="U953" s="17">
        <v>8038</v>
      </c>
      <c r="V953" s="17">
        <v>61</v>
      </c>
      <c r="W953" s="17" t="s">
        <v>25</v>
      </c>
      <c r="X953" s="17">
        <v>2</v>
      </c>
      <c r="Y953" s="17">
        <f>data[[#This Row],[DeliveryDate]]-data[[#This Row],[ShipDate]]</f>
        <v>3</v>
      </c>
      <c r="Z953" s="17" t="str">
        <f>IF(data[[#This Row],[Actual Delivery Days]]&gt;AD954,"Yes","No")</f>
        <v>Yes</v>
      </c>
    </row>
    <row r="954" spans="1:26">
      <c r="A954" s="17">
        <v>10540</v>
      </c>
      <c r="B954" s="17">
        <v>1</v>
      </c>
      <c r="C954" s="17">
        <v>5</v>
      </c>
      <c r="D954" s="17" t="s">
        <v>550</v>
      </c>
      <c r="E954" s="17" t="s">
        <v>221</v>
      </c>
      <c r="F954" s="17" t="str">
        <f>TEXT(data[[#This Row],[ShipDate]],"yyyy - mmmm")</f>
        <v>2016 - April</v>
      </c>
      <c r="G954" s="17" t="str">
        <f>data[[#This Row],[OriginCity]] &amp; " - "  &amp; data[[#This Row],[DestinationCity]]</f>
        <v>Detriot - Monon</v>
      </c>
      <c r="H954" s="17" t="s">
        <v>52</v>
      </c>
      <c r="I954" s="17" t="s">
        <v>21</v>
      </c>
      <c r="J954" s="17">
        <v>3</v>
      </c>
      <c r="K954" s="17" t="s">
        <v>53</v>
      </c>
      <c r="L954" s="17" t="s">
        <v>44</v>
      </c>
      <c r="M954" s="17" t="s">
        <v>161</v>
      </c>
      <c r="N954" s="17">
        <v>1025</v>
      </c>
      <c r="O954" s="17">
        <v>480</v>
      </c>
      <c r="P954" s="26">
        <f>(data[[#This Row],[LoadedMiles]]/data[[#This Row],[TotalMiles]])*100</f>
        <v>46.829268292682933</v>
      </c>
      <c r="Q954" s="25">
        <f>data[[#This Row],[ShippingCost]]/data[[#This Row],[TotalMiles]]</f>
        <v>2.1102439024390245</v>
      </c>
      <c r="R954" s="17">
        <v>2163</v>
      </c>
      <c r="S954" s="25">
        <f>data[[#This Row],[Revenue]]/data[[#This Row],[TotalMiles]]</f>
        <v>2.9726829268292683</v>
      </c>
      <c r="T954" s="26">
        <f>data[[#This Row],[Revenue]]-data[[#This Row],[ShippingCost]]</f>
        <v>884</v>
      </c>
      <c r="U954" s="17">
        <v>3047</v>
      </c>
      <c r="V954" s="17">
        <v>55</v>
      </c>
      <c r="W954" s="17" t="s">
        <v>25</v>
      </c>
      <c r="X954" s="17">
        <v>3</v>
      </c>
      <c r="Y954" s="17">
        <f>data[[#This Row],[DeliveryDate]]-data[[#This Row],[ShipDate]]</f>
        <v>3</v>
      </c>
      <c r="Z954" s="17" t="str">
        <f>IF(data[[#This Row],[Actual Delivery Days]]&gt;AD955,"Yes","No")</f>
        <v>Yes</v>
      </c>
    </row>
    <row r="955" spans="1:26">
      <c r="A955" s="17">
        <v>10545</v>
      </c>
      <c r="B955" s="17">
        <v>1</v>
      </c>
      <c r="C955" s="17">
        <v>8</v>
      </c>
      <c r="D955" s="17" t="s">
        <v>560</v>
      </c>
      <c r="E955" s="17" t="s">
        <v>358</v>
      </c>
      <c r="F955" s="17" t="str">
        <f>TEXT(data[[#This Row],[ShipDate]],"yyyy - mmmm")</f>
        <v>2016 - January</v>
      </c>
      <c r="G955" s="17" t="str">
        <f>data[[#This Row],[OriginCity]] &amp; " - "  &amp; data[[#This Row],[DestinationCity]]</f>
        <v>Cincinnati - Gary</v>
      </c>
      <c r="H955" s="17" t="s">
        <v>89</v>
      </c>
      <c r="I955" s="17" t="s">
        <v>23</v>
      </c>
      <c r="J955" s="17">
        <v>3</v>
      </c>
      <c r="K955" s="17" t="s">
        <v>57</v>
      </c>
      <c r="L955" s="17" t="s">
        <v>44</v>
      </c>
      <c r="M955" s="17" t="s">
        <v>257</v>
      </c>
      <c r="N955" s="17">
        <v>1054</v>
      </c>
      <c r="O955" s="17">
        <v>353</v>
      </c>
      <c r="P955" s="26">
        <f>(data[[#This Row],[LoadedMiles]]/data[[#This Row],[TotalMiles]])*100</f>
        <v>33.491461100569261</v>
      </c>
      <c r="Q955" s="25">
        <f>data[[#This Row],[ShippingCost]]/data[[#This Row],[TotalMiles]]</f>
        <v>6.1916508538899429</v>
      </c>
      <c r="R955" s="17">
        <v>6526</v>
      </c>
      <c r="S955" s="25">
        <f>data[[#This Row],[Revenue]]/data[[#This Row],[TotalMiles]]</f>
        <v>6.5417457305502849</v>
      </c>
      <c r="T955" s="26">
        <f>data[[#This Row],[Revenue]]-data[[#This Row],[ShippingCost]]</f>
        <v>369</v>
      </c>
      <c r="U955" s="17">
        <v>6895</v>
      </c>
      <c r="V955" s="17">
        <v>61</v>
      </c>
      <c r="W955" s="17" t="s">
        <v>25</v>
      </c>
      <c r="X955" s="17">
        <v>1</v>
      </c>
      <c r="Y955" s="17">
        <f>data[[#This Row],[DeliveryDate]]-data[[#This Row],[ShipDate]]</f>
        <v>3</v>
      </c>
      <c r="Z955" s="17" t="str">
        <f>IF(data[[#This Row],[Actual Delivery Days]]&gt;AD956,"Yes","No")</f>
        <v>Yes</v>
      </c>
    </row>
    <row r="956" spans="1:26">
      <c r="A956" s="17">
        <v>10550</v>
      </c>
      <c r="B956" s="17">
        <v>2</v>
      </c>
      <c r="C956" s="17">
        <v>6</v>
      </c>
      <c r="D956" s="17" t="s">
        <v>566</v>
      </c>
      <c r="E956" s="17" t="s">
        <v>164</v>
      </c>
      <c r="F956" s="17" t="str">
        <f>TEXT(data[[#This Row],[ShipDate]],"yyyy - mmmm")</f>
        <v>2016 - February</v>
      </c>
      <c r="G956" s="17" t="str">
        <f>data[[#This Row],[OriginCity]] &amp; " - "  &amp; data[[#This Row],[DestinationCity]]</f>
        <v>Skokie - Chicago</v>
      </c>
      <c r="H956" s="17" t="s">
        <v>35</v>
      </c>
      <c r="I956" s="17" t="s">
        <v>31</v>
      </c>
      <c r="J956" s="17">
        <v>3</v>
      </c>
      <c r="K956" s="17" t="s">
        <v>39</v>
      </c>
      <c r="L956" s="17" t="s">
        <v>31</v>
      </c>
      <c r="M956" s="17" t="s">
        <v>290</v>
      </c>
      <c r="N956" s="17">
        <v>373</v>
      </c>
      <c r="O956" s="17">
        <v>207</v>
      </c>
      <c r="P956" s="26">
        <f>(data[[#This Row],[LoadedMiles]]/data[[#This Row],[TotalMiles]])*100</f>
        <v>55.495978552278821</v>
      </c>
      <c r="Q956" s="25">
        <f>data[[#This Row],[ShippingCost]]/data[[#This Row],[TotalMiles]]</f>
        <v>18.394101876675602</v>
      </c>
      <c r="R956" s="17">
        <v>6861</v>
      </c>
      <c r="S956" s="25">
        <f>data[[#This Row],[Revenue]]/data[[#This Row],[TotalMiles]]</f>
        <v>19.061662198391421</v>
      </c>
      <c r="T956" s="26">
        <f>data[[#This Row],[Revenue]]-data[[#This Row],[ShippingCost]]</f>
        <v>249</v>
      </c>
      <c r="U956" s="17">
        <v>7110</v>
      </c>
      <c r="V956" s="17">
        <v>67</v>
      </c>
      <c r="W956" s="17" t="s">
        <v>25</v>
      </c>
      <c r="X956" s="17">
        <v>6</v>
      </c>
      <c r="Y956" s="17">
        <f>data[[#This Row],[DeliveryDate]]-data[[#This Row],[ShipDate]]</f>
        <v>3</v>
      </c>
      <c r="Z956" s="17" t="str">
        <f>IF(data[[#This Row],[Actual Delivery Days]]&gt;AD957,"Yes","No")</f>
        <v>Yes</v>
      </c>
    </row>
    <row r="957" spans="1:26">
      <c r="A957" s="17">
        <v>10551</v>
      </c>
      <c r="B957" s="17">
        <v>2</v>
      </c>
      <c r="C957" s="17">
        <v>8</v>
      </c>
      <c r="D957" s="17" t="s">
        <v>568</v>
      </c>
      <c r="E957" s="17" t="s">
        <v>449</v>
      </c>
      <c r="F957" s="17" t="str">
        <f>TEXT(data[[#This Row],[ShipDate]],"yyyy - mmmm")</f>
        <v>2016 - March</v>
      </c>
      <c r="G957" s="17" t="str">
        <f>data[[#This Row],[OriginCity]] &amp; " - "  &amp; data[[#This Row],[DestinationCity]]</f>
        <v>Kalamazoo - Bangor</v>
      </c>
      <c r="H957" s="17" t="s">
        <v>71</v>
      </c>
      <c r="I957" s="17" t="s">
        <v>21</v>
      </c>
      <c r="J957" s="17">
        <v>3</v>
      </c>
      <c r="K957" s="17" t="s">
        <v>104</v>
      </c>
      <c r="L957" s="17" t="s">
        <v>21</v>
      </c>
      <c r="M957" s="17" t="s">
        <v>337</v>
      </c>
      <c r="N957" s="17">
        <v>525</v>
      </c>
      <c r="O957" s="17">
        <v>525</v>
      </c>
      <c r="P957" s="26">
        <f>(data[[#This Row],[LoadedMiles]]/data[[#This Row],[TotalMiles]])*100</f>
        <v>100</v>
      </c>
      <c r="Q957" s="25">
        <f>data[[#This Row],[ShippingCost]]/data[[#This Row],[TotalMiles]]</f>
        <v>12.792380952380952</v>
      </c>
      <c r="R957" s="17">
        <v>6716</v>
      </c>
      <c r="S957" s="25">
        <f>data[[#This Row],[Revenue]]/data[[#This Row],[TotalMiles]]</f>
        <v>14.083809523809524</v>
      </c>
      <c r="T957" s="26">
        <f>data[[#This Row],[Revenue]]-data[[#This Row],[ShippingCost]]</f>
        <v>678</v>
      </c>
      <c r="U957" s="17">
        <v>7394</v>
      </c>
      <c r="V957" s="17">
        <v>82</v>
      </c>
      <c r="W957" s="17" t="s">
        <v>25</v>
      </c>
      <c r="X957" s="17">
        <v>4</v>
      </c>
      <c r="Y957" s="17">
        <f>data[[#This Row],[DeliveryDate]]-data[[#This Row],[ShipDate]]</f>
        <v>3</v>
      </c>
      <c r="Z957" s="17" t="str">
        <f>IF(data[[#This Row],[Actual Delivery Days]]&gt;AD958,"Yes","No")</f>
        <v>Yes</v>
      </c>
    </row>
    <row r="958" spans="1:26">
      <c r="A958" s="17">
        <v>10556</v>
      </c>
      <c r="B958" s="17">
        <v>1</v>
      </c>
      <c r="C958" s="17">
        <v>6</v>
      </c>
      <c r="D958" s="17" t="s">
        <v>573</v>
      </c>
      <c r="E958" s="17" t="s">
        <v>101</v>
      </c>
      <c r="F958" s="17" t="str">
        <f>TEXT(data[[#This Row],[ShipDate]],"yyyy - mmmm")</f>
        <v>2016 - April</v>
      </c>
      <c r="G958" s="17" t="str">
        <f>data[[#This Row],[OriginCity]] &amp; " - "  &amp; data[[#This Row],[DestinationCity]]</f>
        <v>Chicago - Rockford</v>
      </c>
      <c r="H958" s="17" t="s">
        <v>39</v>
      </c>
      <c r="I958" s="17" t="s">
        <v>31</v>
      </c>
      <c r="J958" s="17">
        <v>3</v>
      </c>
      <c r="K958" s="17" t="s">
        <v>40</v>
      </c>
      <c r="L958" s="17" t="s">
        <v>31</v>
      </c>
      <c r="M958" s="17" t="s">
        <v>480</v>
      </c>
      <c r="N958" s="17">
        <v>1046</v>
      </c>
      <c r="O958" s="17">
        <v>374</v>
      </c>
      <c r="P958" s="26">
        <f>(data[[#This Row],[LoadedMiles]]/data[[#This Row],[TotalMiles]])*100</f>
        <v>35.755258126195031</v>
      </c>
      <c r="Q958" s="25">
        <f>data[[#This Row],[ShippingCost]]/data[[#This Row],[TotalMiles]]</f>
        <v>3.1892925430210326</v>
      </c>
      <c r="R958" s="17">
        <v>3336</v>
      </c>
      <c r="S958" s="25">
        <f>data[[#This Row],[Revenue]]/data[[#This Row],[TotalMiles]]</f>
        <v>3.652963671128107</v>
      </c>
      <c r="T958" s="26">
        <f>data[[#This Row],[Revenue]]-data[[#This Row],[ShippingCost]]</f>
        <v>485</v>
      </c>
      <c r="U958" s="17">
        <v>3821</v>
      </c>
      <c r="V958" s="17">
        <v>96</v>
      </c>
      <c r="W958" s="17" t="s">
        <v>25</v>
      </c>
      <c r="X958" s="17">
        <v>4</v>
      </c>
      <c r="Y958" s="17">
        <f>data[[#This Row],[DeliveryDate]]-data[[#This Row],[ShipDate]]</f>
        <v>3</v>
      </c>
      <c r="Z958" s="17" t="str">
        <f>IF(data[[#This Row],[Actual Delivery Days]]&gt;AD959,"Yes","No")</f>
        <v>Yes</v>
      </c>
    </row>
    <row r="959" spans="1:26">
      <c r="A959" s="17">
        <v>10564</v>
      </c>
      <c r="B959" s="17">
        <v>2</v>
      </c>
      <c r="C959" s="17">
        <v>7</v>
      </c>
      <c r="D959" s="17" t="s">
        <v>582</v>
      </c>
      <c r="E959" s="17" t="s">
        <v>184</v>
      </c>
      <c r="F959" s="17" t="str">
        <f>TEXT(data[[#This Row],[ShipDate]],"yyyy - mmmm")</f>
        <v>2016 - August</v>
      </c>
      <c r="G959" s="17" t="str">
        <f>data[[#This Row],[OriginCity]] &amp; " - "  &amp; data[[#This Row],[DestinationCity]]</f>
        <v>Green Bay - Joliet</v>
      </c>
      <c r="H959" s="17" t="s">
        <v>75</v>
      </c>
      <c r="I959" s="17" t="s">
        <v>29</v>
      </c>
      <c r="J959" s="17">
        <v>3</v>
      </c>
      <c r="K959" s="17" t="s">
        <v>61</v>
      </c>
      <c r="L959" s="17" t="s">
        <v>31</v>
      </c>
      <c r="M959" s="17" t="s">
        <v>387</v>
      </c>
      <c r="N959" s="17">
        <v>643</v>
      </c>
      <c r="O959" s="17">
        <v>599</v>
      </c>
      <c r="P959" s="26">
        <f>(data[[#This Row],[LoadedMiles]]/data[[#This Row],[TotalMiles]])*100</f>
        <v>93.157076205287709</v>
      </c>
      <c r="Q959" s="25">
        <f>data[[#This Row],[ShippingCost]]/data[[#This Row],[TotalMiles]]</f>
        <v>2.6236391912908243</v>
      </c>
      <c r="R959" s="17">
        <v>1687</v>
      </c>
      <c r="S959" s="25">
        <f>data[[#This Row],[Revenue]]/data[[#This Row],[TotalMiles]]</f>
        <v>4.0046656298600309</v>
      </c>
      <c r="T959" s="26">
        <f>data[[#This Row],[Revenue]]-data[[#This Row],[ShippingCost]]</f>
        <v>888</v>
      </c>
      <c r="U959" s="17">
        <v>2575</v>
      </c>
      <c r="V959" s="17">
        <v>63</v>
      </c>
      <c r="W959" s="17" t="s">
        <v>25</v>
      </c>
      <c r="X959" s="17">
        <v>1</v>
      </c>
      <c r="Y959" s="17">
        <f>data[[#This Row],[DeliveryDate]]-data[[#This Row],[ShipDate]]</f>
        <v>3</v>
      </c>
      <c r="Z959" s="17" t="str">
        <f>IF(data[[#This Row],[Actual Delivery Days]]&gt;AD960,"Yes","No")</f>
        <v>Yes</v>
      </c>
    </row>
    <row r="960" spans="1:26">
      <c r="A960" s="17">
        <v>10589</v>
      </c>
      <c r="B960" s="17">
        <v>1</v>
      </c>
      <c r="C960" s="17">
        <v>6</v>
      </c>
      <c r="D960" s="17" t="s">
        <v>46</v>
      </c>
      <c r="E960" s="17" t="s">
        <v>216</v>
      </c>
      <c r="F960" s="17" t="str">
        <f>TEXT(data[[#This Row],[ShipDate]],"yyyy - mmmm")</f>
        <v>2016 - August</v>
      </c>
      <c r="G960" s="17" t="str">
        <f>data[[#This Row],[OriginCity]] &amp; " - "  &amp; data[[#This Row],[DestinationCity]]</f>
        <v>Rockford - Green Bay</v>
      </c>
      <c r="H960" s="17" t="s">
        <v>40</v>
      </c>
      <c r="I960" s="17" t="s">
        <v>31</v>
      </c>
      <c r="J960" s="17">
        <v>3</v>
      </c>
      <c r="K960" s="17" t="s">
        <v>75</v>
      </c>
      <c r="L960" s="17" t="s">
        <v>29</v>
      </c>
      <c r="M960" s="17" t="s">
        <v>103</v>
      </c>
      <c r="N960" s="17">
        <v>1121</v>
      </c>
      <c r="O960" s="17">
        <v>410</v>
      </c>
      <c r="P960" s="26">
        <f>(data[[#This Row],[LoadedMiles]]/data[[#This Row],[TotalMiles]])*100</f>
        <v>36.574487065120422</v>
      </c>
      <c r="Q960" s="25">
        <f>data[[#This Row],[ShippingCost]]/data[[#This Row],[TotalMiles]]</f>
        <v>6.3264942016057093</v>
      </c>
      <c r="R960" s="17">
        <v>7092</v>
      </c>
      <c r="S960" s="25">
        <f>data[[#This Row],[Revenue]]/data[[#This Row],[TotalMiles]]</f>
        <v>6.683318465655665</v>
      </c>
      <c r="T960" s="26">
        <f>data[[#This Row],[Revenue]]-data[[#This Row],[ShippingCost]]</f>
        <v>400</v>
      </c>
      <c r="U960" s="17">
        <v>7492</v>
      </c>
      <c r="V960" s="17">
        <v>98</v>
      </c>
      <c r="W960" s="17" t="s">
        <v>25</v>
      </c>
      <c r="X960" s="17">
        <v>10</v>
      </c>
      <c r="Y960" s="17">
        <f>data[[#This Row],[DeliveryDate]]-data[[#This Row],[ShipDate]]</f>
        <v>3</v>
      </c>
      <c r="Z960" s="17" t="str">
        <f>IF(data[[#This Row],[Actual Delivery Days]]&gt;AD961,"Yes","No")</f>
        <v>Yes</v>
      </c>
    </row>
    <row r="961" spans="1:26">
      <c r="A961" s="17">
        <v>10590</v>
      </c>
      <c r="B961" s="17">
        <v>1</v>
      </c>
      <c r="C961" s="17">
        <v>8</v>
      </c>
      <c r="D961" s="17" t="s">
        <v>50</v>
      </c>
      <c r="E961" s="17" t="s">
        <v>597</v>
      </c>
      <c r="F961" s="17" t="str">
        <f>TEXT(data[[#This Row],[ShipDate]],"yyyy - mmmm")</f>
        <v>2016 - August</v>
      </c>
      <c r="G961" s="17" t="str">
        <f>data[[#This Row],[OriginCity]] &amp; " - "  &amp; data[[#This Row],[DestinationCity]]</f>
        <v>Appleton - Grand Rapids</v>
      </c>
      <c r="H961" s="17" t="s">
        <v>85</v>
      </c>
      <c r="I961" s="17" t="s">
        <v>29</v>
      </c>
      <c r="J961" s="17">
        <v>3</v>
      </c>
      <c r="K961" s="17" t="s">
        <v>20</v>
      </c>
      <c r="L961" s="17" t="s">
        <v>21</v>
      </c>
      <c r="M961" s="17" t="s">
        <v>216</v>
      </c>
      <c r="N961" s="17">
        <v>526</v>
      </c>
      <c r="O961" s="17">
        <v>335</v>
      </c>
      <c r="P961" s="26">
        <f>(data[[#This Row],[LoadedMiles]]/data[[#This Row],[TotalMiles]])*100</f>
        <v>63.688212927756652</v>
      </c>
      <c r="Q961" s="25">
        <f>data[[#This Row],[ShippingCost]]/data[[#This Row],[TotalMiles]]</f>
        <v>3.9695817490494298</v>
      </c>
      <c r="R961" s="17">
        <v>2088</v>
      </c>
      <c r="S961" s="25">
        <f>data[[#This Row],[Revenue]]/data[[#This Row],[TotalMiles]]</f>
        <v>4.7813688212927756</v>
      </c>
      <c r="T961" s="26">
        <f>data[[#This Row],[Revenue]]-data[[#This Row],[ShippingCost]]</f>
        <v>427</v>
      </c>
      <c r="U961" s="17">
        <v>2515</v>
      </c>
      <c r="V961" s="17">
        <v>67</v>
      </c>
      <c r="W961" s="17" t="s">
        <v>25</v>
      </c>
      <c r="X961" s="17">
        <v>10</v>
      </c>
      <c r="Y961" s="17">
        <f>data[[#This Row],[DeliveryDate]]-data[[#This Row],[ShipDate]]</f>
        <v>3</v>
      </c>
      <c r="Z961" s="17" t="str">
        <f>IF(data[[#This Row],[Actual Delivery Days]]&gt;AD962,"Yes","No")</f>
        <v>Yes</v>
      </c>
    </row>
    <row r="962" spans="1:26">
      <c r="A962" s="17">
        <v>10591</v>
      </c>
      <c r="B962" s="17">
        <v>2</v>
      </c>
      <c r="C962" s="17">
        <v>6</v>
      </c>
      <c r="D962" s="17" t="s">
        <v>55</v>
      </c>
      <c r="E962" s="17" t="s">
        <v>410</v>
      </c>
      <c r="F962" s="17" t="str">
        <f>TEXT(data[[#This Row],[ShipDate]],"yyyy - mmmm")</f>
        <v>2016 - June</v>
      </c>
      <c r="G962" s="17" t="str">
        <f>data[[#This Row],[OriginCity]] &amp; " - "  &amp; data[[#This Row],[DestinationCity]]</f>
        <v>Cincinnati - Gary</v>
      </c>
      <c r="H962" s="17" t="s">
        <v>89</v>
      </c>
      <c r="I962" s="17" t="s">
        <v>23</v>
      </c>
      <c r="J962" s="17">
        <v>3</v>
      </c>
      <c r="K962" s="17" t="s">
        <v>57</v>
      </c>
      <c r="L962" s="17" t="s">
        <v>44</v>
      </c>
      <c r="M962" s="17" t="s">
        <v>147</v>
      </c>
      <c r="N962" s="17">
        <v>390</v>
      </c>
      <c r="O962" s="17">
        <v>320</v>
      </c>
      <c r="P962" s="26">
        <f>(data[[#This Row],[LoadedMiles]]/data[[#This Row],[TotalMiles]])*100</f>
        <v>82.051282051282044</v>
      </c>
      <c r="Q962" s="25">
        <f>data[[#This Row],[ShippingCost]]/data[[#This Row],[TotalMiles]]</f>
        <v>6.0307692307692307</v>
      </c>
      <c r="R962" s="17">
        <v>2352</v>
      </c>
      <c r="S962" s="25">
        <f>data[[#This Row],[Revenue]]/data[[#This Row],[TotalMiles]]</f>
        <v>7.8384615384615381</v>
      </c>
      <c r="T962" s="26">
        <f>data[[#This Row],[Revenue]]-data[[#This Row],[ShippingCost]]</f>
        <v>705</v>
      </c>
      <c r="U962" s="17">
        <v>3057</v>
      </c>
      <c r="V962" s="17">
        <v>75</v>
      </c>
      <c r="W962" s="17" t="s">
        <v>25</v>
      </c>
      <c r="X962" s="17">
        <v>9</v>
      </c>
      <c r="Y962" s="17">
        <f>data[[#This Row],[DeliveryDate]]-data[[#This Row],[ShipDate]]</f>
        <v>3</v>
      </c>
      <c r="Z962" s="17" t="str">
        <f>IF(data[[#This Row],[Actual Delivery Days]]&gt;AD963,"Yes","No")</f>
        <v>Yes</v>
      </c>
    </row>
    <row r="963" spans="1:26">
      <c r="A963" s="17">
        <v>10602</v>
      </c>
      <c r="B963" s="17">
        <v>2</v>
      </c>
      <c r="C963" s="17">
        <v>7</v>
      </c>
      <c r="D963" s="17" t="s">
        <v>102</v>
      </c>
      <c r="E963" s="17" t="s">
        <v>418</v>
      </c>
      <c r="F963" s="17" t="str">
        <f>TEXT(data[[#This Row],[ShipDate]],"yyyy - mmmm")</f>
        <v>2016 - April</v>
      </c>
      <c r="G963" s="17" t="str">
        <f>data[[#This Row],[OriginCity]] &amp; " - "  &amp; data[[#This Row],[DestinationCity]]</f>
        <v>Chicago - Rockford</v>
      </c>
      <c r="H963" s="17" t="s">
        <v>39</v>
      </c>
      <c r="I963" s="17" t="s">
        <v>31</v>
      </c>
      <c r="J963" s="17">
        <v>3</v>
      </c>
      <c r="K963" s="17" t="s">
        <v>40</v>
      </c>
      <c r="L963" s="17" t="s">
        <v>31</v>
      </c>
      <c r="M963" s="17" t="s">
        <v>100</v>
      </c>
      <c r="N963" s="17">
        <v>271</v>
      </c>
      <c r="O963" s="17">
        <v>209</v>
      </c>
      <c r="P963" s="26">
        <f>(data[[#This Row],[LoadedMiles]]/data[[#This Row],[TotalMiles]])*100</f>
        <v>77.12177121771218</v>
      </c>
      <c r="Q963" s="25">
        <f>data[[#This Row],[ShippingCost]]/data[[#This Row],[TotalMiles]]</f>
        <v>21.778597785977858</v>
      </c>
      <c r="R963" s="17">
        <v>5902</v>
      </c>
      <c r="S963" s="25">
        <f>data[[#This Row],[Revenue]]/data[[#This Row],[TotalMiles]]</f>
        <v>23.845018450184501</v>
      </c>
      <c r="T963" s="26">
        <f>data[[#This Row],[Revenue]]-data[[#This Row],[ShippingCost]]</f>
        <v>560</v>
      </c>
      <c r="U963" s="17">
        <v>6462</v>
      </c>
      <c r="V963" s="17">
        <v>79</v>
      </c>
      <c r="W963" s="17" t="s">
        <v>25</v>
      </c>
      <c r="X963" s="17">
        <v>10</v>
      </c>
      <c r="Y963" s="17">
        <f>data[[#This Row],[DeliveryDate]]-data[[#This Row],[ShipDate]]</f>
        <v>3</v>
      </c>
      <c r="Z963" s="17" t="str">
        <f>IF(data[[#This Row],[Actual Delivery Days]]&gt;AD964,"Yes","No")</f>
        <v>Yes</v>
      </c>
    </row>
    <row r="964" spans="1:26">
      <c r="A964" s="17">
        <v>10603</v>
      </c>
      <c r="B964" s="17">
        <v>1</v>
      </c>
      <c r="C964" s="17">
        <v>5</v>
      </c>
      <c r="D964" s="17" t="s">
        <v>107</v>
      </c>
      <c r="E964" s="17" t="s">
        <v>608</v>
      </c>
      <c r="F964" s="17" t="str">
        <f>TEXT(data[[#This Row],[ShipDate]],"yyyy - mmmm")</f>
        <v>2016 - July</v>
      </c>
      <c r="G964" s="17" t="str">
        <f>data[[#This Row],[OriginCity]] &amp; " - "  &amp; data[[#This Row],[DestinationCity]]</f>
        <v>Indianapolis - Northbrook</v>
      </c>
      <c r="H964" s="17" t="s">
        <v>43</v>
      </c>
      <c r="I964" s="17" t="s">
        <v>44</v>
      </c>
      <c r="J964" s="17">
        <v>3</v>
      </c>
      <c r="K964" s="17" t="s">
        <v>45</v>
      </c>
      <c r="L964" s="17" t="s">
        <v>31</v>
      </c>
      <c r="M964" s="17" t="s">
        <v>540</v>
      </c>
      <c r="N964" s="17">
        <v>880</v>
      </c>
      <c r="O964" s="17">
        <v>256</v>
      </c>
      <c r="P964" s="26">
        <f>(data[[#This Row],[LoadedMiles]]/data[[#This Row],[TotalMiles]])*100</f>
        <v>29.09090909090909</v>
      </c>
      <c r="Q964" s="25">
        <f>data[[#This Row],[ShippingCost]]/data[[#This Row],[TotalMiles]]</f>
        <v>1.8238636363636365</v>
      </c>
      <c r="R964" s="17">
        <v>1605</v>
      </c>
      <c r="S964" s="25">
        <f>data[[#This Row],[Revenue]]/data[[#This Row],[TotalMiles]]</f>
        <v>2.6806818181818182</v>
      </c>
      <c r="T964" s="26">
        <f>data[[#This Row],[Revenue]]-data[[#This Row],[ShippingCost]]</f>
        <v>754</v>
      </c>
      <c r="U964" s="17">
        <v>2359</v>
      </c>
      <c r="V964" s="17">
        <v>74</v>
      </c>
      <c r="W964" s="17" t="s">
        <v>25</v>
      </c>
      <c r="X964" s="17">
        <v>3</v>
      </c>
      <c r="Y964" s="17">
        <f>data[[#This Row],[DeliveryDate]]-data[[#This Row],[ShipDate]]</f>
        <v>3</v>
      </c>
      <c r="Z964" s="17" t="str">
        <f>IF(data[[#This Row],[Actual Delivery Days]]&gt;AD965,"Yes","No")</f>
        <v>Yes</v>
      </c>
    </row>
    <row r="965" spans="1:26">
      <c r="A965" s="17">
        <v>10609</v>
      </c>
      <c r="B965" s="17">
        <v>1</v>
      </c>
      <c r="C965" s="17">
        <v>8</v>
      </c>
      <c r="D965" s="17" t="s">
        <v>123</v>
      </c>
      <c r="E965" s="17" t="s">
        <v>58</v>
      </c>
      <c r="F965" s="17" t="str">
        <f>TEXT(data[[#This Row],[ShipDate]],"yyyy - mmmm")</f>
        <v>2016 - May</v>
      </c>
      <c r="G965" s="17" t="str">
        <f>data[[#This Row],[OriginCity]] &amp; " - "  &amp; data[[#This Row],[DestinationCity]]</f>
        <v>Madison - Kalamazoo</v>
      </c>
      <c r="H965" s="17" t="s">
        <v>62</v>
      </c>
      <c r="I965" s="17" t="s">
        <v>29</v>
      </c>
      <c r="J965" s="17">
        <v>3</v>
      </c>
      <c r="K965" s="17" t="s">
        <v>71</v>
      </c>
      <c r="L965" s="17" t="s">
        <v>21</v>
      </c>
      <c r="M965" s="17" t="s">
        <v>27</v>
      </c>
      <c r="N965" s="17">
        <v>1046</v>
      </c>
      <c r="O965" s="17">
        <v>708</v>
      </c>
      <c r="P965" s="26">
        <f>(data[[#This Row],[LoadedMiles]]/data[[#This Row],[TotalMiles]])*100</f>
        <v>67.686424474187376</v>
      </c>
      <c r="Q965" s="25">
        <f>data[[#This Row],[ShippingCost]]/data[[#This Row],[TotalMiles]]</f>
        <v>2.7380497131931167</v>
      </c>
      <c r="R965" s="17">
        <v>2864</v>
      </c>
      <c r="S965" s="25">
        <f>data[[#This Row],[Revenue]]/data[[#This Row],[TotalMiles]]</f>
        <v>3.0994263862332696</v>
      </c>
      <c r="T965" s="26">
        <f>data[[#This Row],[Revenue]]-data[[#This Row],[ShippingCost]]</f>
        <v>378</v>
      </c>
      <c r="U965" s="17">
        <v>3242</v>
      </c>
      <c r="V965" s="17">
        <v>75</v>
      </c>
      <c r="W965" s="17" t="s">
        <v>25</v>
      </c>
      <c r="X965" s="17">
        <v>3</v>
      </c>
      <c r="Y965" s="17">
        <f>data[[#This Row],[DeliveryDate]]-data[[#This Row],[ShipDate]]</f>
        <v>3</v>
      </c>
      <c r="Z965" s="17" t="str">
        <f>IF(data[[#This Row],[Actual Delivery Days]]&gt;AD966,"Yes","No")</f>
        <v>Yes</v>
      </c>
    </row>
    <row r="966" spans="1:26">
      <c r="A966" s="17">
        <v>10611</v>
      </c>
      <c r="B966" s="17">
        <v>2</v>
      </c>
      <c r="C966" s="17">
        <v>4</v>
      </c>
      <c r="D966" s="17" t="s">
        <v>128</v>
      </c>
      <c r="E966" s="17" t="s">
        <v>298</v>
      </c>
      <c r="F966" s="17" t="str">
        <f>TEXT(data[[#This Row],[ShipDate]],"yyyy - mmmm")</f>
        <v>2016 - July</v>
      </c>
      <c r="G966" s="17" t="str">
        <f>data[[#This Row],[OriginCity]] &amp; " - "  &amp; data[[#This Row],[DestinationCity]]</f>
        <v>Naperville - Indianapolis</v>
      </c>
      <c r="H966" s="17" t="s">
        <v>48</v>
      </c>
      <c r="I966" s="17" t="s">
        <v>31</v>
      </c>
      <c r="J966" s="17">
        <v>3</v>
      </c>
      <c r="K966" s="17" t="s">
        <v>43</v>
      </c>
      <c r="L966" s="17" t="s">
        <v>44</v>
      </c>
      <c r="M966" s="17" t="s">
        <v>299</v>
      </c>
      <c r="N966" s="17">
        <v>254</v>
      </c>
      <c r="O966" s="17">
        <v>246</v>
      </c>
      <c r="P966" s="26">
        <f>(data[[#This Row],[LoadedMiles]]/data[[#This Row],[TotalMiles]])*100</f>
        <v>96.850393700787393</v>
      </c>
      <c r="Q966" s="25">
        <f>data[[#This Row],[ShippingCost]]/data[[#This Row],[TotalMiles]]</f>
        <v>27.641732283464567</v>
      </c>
      <c r="R966" s="17">
        <v>7021</v>
      </c>
      <c r="S966" s="25">
        <f>data[[#This Row],[Revenue]]/data[[#This Row],[TotalMiles]]</f>
        <v>18.464566929133859</v>
      </c>
      <c r="T966" s="26">
        <f>data[[#This Row],[Revenue]]-data[[#This Row],[ShippingCost]]</f>
        <v>-2331</v>
      </c>
      <c r="U966" s="17">
        <v>4690</v>
      </c>
      <c r="V966" s="17">
        <v>71</v>
      </c>
      <c r="W966" s="17" t="s">
        <v>25</v>
      </c>
      <c r="X966" s="17">
        <v>7</v>
      </c>
      <c r="Y966" s="17">
        <f>data[[#This Row],[DeliveryDate]]-data[[#This Row],[ShipDate]]</f>
        <v>3</v>
      </c>
      <c r="Z966" s="17" t="str">
        <f>IF(data[[#This Row],[Actual Delivery Days]]&gt;AD967,"Yes","No")</f>
        <v>Yes</v>
      </c>
    </row>
    <row r="967" spans="1:26">
      <c r="A967" s="17">
        <v>10612</v>
      </c>
      <c r="B967" s="17">
        <v>2</v>
      </c>
      <c r="C967" s="17">
        <v>6</v>
      </c>
      <c r="D967" s="17" t="s">
        <v>134</v>
      </c>
      <c r="E967" s="17" t="s">
        <v>625</v>
      </c>
      <c r="F967" s="17" t="str">
        <f>TEXT(data[[#This Row],[ShipDate]],"yyyy - mmmm")</f>
        <v>2016 - January</v>
      </c>
      <c r="G967" s="17" t="str">
        <f>data[[#This Row],[OriginCity]] &amp; " - "  &amp; data[[#This Row],[DestinationCity]]</f>
        <v>Appleton - Grand Rapids</v>
      </c>
      <c r="H967" s="17" t="s">
        <v>85</v>
      </c>
      <c r="I967" s="17" t="s">
        <v>29</v>
      </c>
      <c r="J967" s="17">
        <v>3</v>
      </c>
      <c r="K967" s="17" t="s">
        <v>20</v>
      </c>
      <c r="L967" s="17" t="s">
        <v>21</v>
      </c>
      <c r="M967" s="17" t="s">
        <v>263</v>
      </c>
      <c r="N967" s="17">
        <v>1057</v>
      </c>
      <c r="O967" s="17">
        <v>534</v>
      </c>
      <c r="P967" s="26">
        <f>(data[[#This Row],[LoadedMiles]]/data[[#This Row],[TotalMiles]])*100</f>
        <v>50.520340586565752</v>
      </c>
      <c r="Q967" s="25">
        <f>data[[#This Row],[ShippingCost]]/data[[#This Row],[TotalMiles]]</f>
        <v>4.8249763481551564E-2</v>
      </c>
      <c r="R967" s="17">
        <v>51</v>
      </c>
      <c r="S967" s="25">
        <f>data[[#This Row],[Revenue]]/data[[#This Row],[TotalMiles]]</f>
        <v>0.98202459791863761</v>
      </c>
      <c r="T967" s="26">
        <f>data[[#This Row],[Revenue]]-data[[#This Row],[ShippingCost]]</f>
        <v>987</v>
      </c>
      <c r="U967" s="17">
        <v>1038</v>
      </c>
      <c r="V967" s="17">
        <v>65</v>
      </c>
      <c r="W967" s="17" t="s">
        <v>25</v>
      </c>
      <c r="X967" s="17">
        <v>6</v>
      </c>
      <c r="Y967" s="17">
        <f>data[[#This Row],[DeliveryDate]]-data[[#This Row],[ShipDate]]</f>
        <v>3</v>
      </c>
      <c r="Z967" s="17" t="str">
        <f>IF(data[[#This Row],[Actual Delivery Days]]&gt;AD968,"Yes","No")</f>
        <v>Yes</v>
      </c>
    </row>
    <row r="968" spans="1:26">
      <c r="A968" s="17">
        <v>10621</v>
      </c>
      <c r="B968" s="17">
        <v>1</v>
      </c>
      <c r="C968" s="17">
        <v>4</v>
      </c>
      <c r="D968" s="17" t="s">
        <v>159</v>
      </c>
      <c r="E968" s="17" t="s">
        <v>255</v>
      </c>
      <c r="F968" s="17" t="str">
        <f>TEXT(data[[#This Row],[ShipDate]],"yyyy - mmmm")</f>
        <v>2016 - February</v>
      </c>
      <c r="G968" s="17" t="str">
        <f>data[[#This Row],[OriginCity]] &amp; " - "  &amp; data[[#This Row],[DestinationCity]]</f>
        <v>Davenport - Appleton</v>
      </c>
      <c r="H968" s="17" t="s">
        <v>105</v>
      </c>
      <c r="I968" s="17" t="s">
        <v>106</v>
      </c>
      <c r="J968" s="17">
        <v>3</v>
      </c>
      <c r="K968" s="17" t="s">
        <v>85</v>
      </c>
      <c r="L968" s="17" t="s">
        <v>29</v>
      </c>
      <c r="M968" s="17" t="s">
        <v>462</v>
      </c>
      <c r="N968" s="17">
        <v>349</v>
      </c>
      <c r="O968" s="17">
        <v>349</v>
      </c>
      <c r="P968" s="26">
        <f>(data[[#This Row],[LoadedMiles]]/data[[#This Row],[TotalMiles]])*100</f>
        <v>100</v>
      </c>
      <c r="Q968" s="25">
        <f>data[[#This Row],[ShippingCost]]/data[[#This Row],[TotalMiles]]</f>
        <v>22.011461318051577</v>
      </c>
      <c r="R968" s="17">
        <v>7682</v>
      </c>
      <c r="S968" s="25">
        <f>data[[#This Row],[Revenue]]/data[[#This Row],[TotalMiles]]</f>
        <v>17.002865329512893</v>
      </c>
      <c r="T968" s="26">
        <f>data[[#This Row],[Revenue]]-data[[#This Row],[ShippingCost]]</f>
        <v>-1748</v>
      </c>
      <c r="U968" s="17">
        <v>5934</v>
      </c>
      <c r="V968" s="17">
        <v>58</v>
      </c>
      <c r="W968" s="17" t="s">
        <v>25</v>
      </c>
      <c r="X968" s="17">
        <v>2</v>
      </c>
      <c r="Y968" s="17">
        <f>data[[#This Row],[DeliveryDate]]-data[[#This Row],[ShipDate]]</f>
        <v>3</v>
      </c>
      <c r="Z968" s="17" t="str">
        <f>IF(data[[#This Row],[Actual Delivery Days]]&gt;AD969,"Yes","No")</f>
        <v>Yes</v>
      </c>
    </row>
    <row r="969" spans="1:26">
      <c r="A969" s="17">
        <v>10622</v>
      </c>
      <c r="B969" s="17">
        <v>1</v>
      </c>
      <c r="C969" s="17">
        <v>7</v>
      </c>
      <c r="D969" s="17" t="s">
        <v>162</v>
      </c>
      <c r="E969" s="17" t="s">
        <v>129</v>
      </c>
      <c r="F969" s="17" t="str">
        <f>TEXT(data[[#This Row],[ShipDate]],"yyyy - mmmm")</f>
        <v>2016 - March</v>
      </c>
      <c r="G969" s="17" t="str">
        <f>data[[#This Row],[OriginCity]] &amp; " - "  &amp; data[[#This Row],[DestinationCity]]</f>
        <v>Grand Rapids - Toledo</v>
      </c>
      <c r="H969" s="17" t="s">
        <v>20</v>
      </c>
      <c r="I969" s="17" t="s">
        <v>21</v>
      </c>
      <c r="J969" s="17">
        <v>3</v>
      </c>
      <c r="K969" s="17" t="s">
        <v>22</v>
      </c>
      <c r="L969" s="17" t="s">
        <v>23</v>
      </c>
      <c r="M969" s="17" t="s">
        <v>130</v>
      </c>
      <c r="N969" s="17">
        <v>1088</v>
      </c>
      <c r="O969" s="17">
        <v>202</v>
      </c>
      <c r="P969" s="26">
        <f>(data[[#This Row],[LoadedMiles]]/data[[#This Row],[TotalMiles]])*100</f>
        <v>18.566176470588236</v>
      </c>
      <c r="Q969" s="25">
        <f>data[[#This Row],[ShippingCost]]/data[[#This Row],[TotalMiles]]</f>
        <v>2.7573529411764705E-2</v>
      </c>
      <c r="R969" s="17">
        <v>30</v>
      </c>
      <c r="S969" s="25">
        <f>data[[#This Row],[Revenue]]/data[[#This Row],[TotalMiles]]</f>
        <v>0.75459558823529416</v>
      </c>
      <c r="T969" s="26">
        <f>data[[#This Row],[Revenue]]-data[[#This Row],[ShippingCost]]</f>
        <v>791</v>
      </c>
      <c r="U969" s="17">
        <v>821</v>
      </c>
      <c r="V969" s="17">
        <v>69</v>
      </c>
      <c r="W969" s="17" t="s">
        <v>25</v>
      </c>
      <c r="X969" s="17">
        <v>2</v>
      </c>
      <c r="Y969" s="17">
        <f>data[[#This Row],[DeliveryDate]]-data[[#This Row],[ShipDate]]</f>
        <v>3</v>
      </c>
      <c r="Z969" s="17" t="str">
        <f>IF(data[[#This Row],[Actual Delivery Days]]&gt;AD970,"Yes","No")</f>
        <v>Yes</v>
      </c>
    </row>
    <row r="970" spans="1:26">
      <c r="A970" s="17">
        <v>10627</v>
      </c>
      <c r="B970" s="17">
        <v>2</v>
      </c>
      <c r="C970" s="17">
        <v>6</v>
      </c>
      <c r="D970" s="17" t="s">
        <v>175</v>
      </c>
      <c r="E970" s="17" t="s">
        <v>285</v>
      </c>
      <c r="F970" s="17" t="str">
        <f>TEXT(data[[#This Row],[ShipDate]],"yyyy - mmmm")</f>
        <v>2016 - May</v>
      </c>
      <c r="G970" s="17" t="str">
        <f>data[[#This Row],[OriginCity]] &amp; " - "  &amp; data[[#This Row],[DestinationCity]]</f>
        <v>Detriot - Monon</v>
      </c>
      <c r="H970" s="17" t="s">
        <v>52</v>
      </c>
      <c r="I970" s="17" t="s">
        <v>21</v>
      </c>
      <c r="J970" s="17">
        <v>3</v>
      </c>
      <c r="K970" s="17" t="s">
        <v>53</v>
      </c>
      <c r="L970" s="17" t="s">
        <v>44</v>
      </c>
      <c r="M970" s="17" t="s">
        <v>286</v>
      </c>
      <c r="N970" s="17">
        <v>1058</v>
      </c>
      <c r="O970" s="17">
        <v>423</v>
      </c>
      <c r="P970" s="26">
        <f>(data[[#This Row],[LoadedMiles]]/data[[#This Row],[TotalMiles]])*100</f>
        <v>39.981096408317576</v>
      </c>
      <c r="Q970" s="25">
        <f>data[[#This Row],[ShippingCost]]/data[[#This Row],[TotalMiles]]</f>
        <v>5.2712665406427224</v>
      </c>
      <c r="R970" s="17">
        <v>5577</v>
      </c>
      <c r="S970" s="25">
        <f>data[[#This Row],[Revenue]]/data[[#This Row],[TotalMiles]]</f>
        <v>5.6181474480151232</v>
      </c>
      <c r="T970" s="26">
        <f>data[[#This Row],[Revenue]]-data[[#This Row],[ShippingCost]]</f>
        <v>367</v>
      </c>
      <c r="U970" s="17">
        <v>5944</v>
      </c>
      <c r="V970" s="17">
        <v>93</v>
      </c>
      <c r="W970" s="17" t="s">
        <v>25</v>
      </c>
      <c r="X970" s="17">
        <v>3</v>
      </c>
      <c r="Y970" s="17">
        <f>data[[#This Row],[DeliveryDate]]-data[[#This Row],[ShipDate]]</f>
        <v>3</v>
      </c>
      <c r="Z970" s="17" t="str">
        <f>IF(data[[#This Row],[Actual Delivery Days]]&gt;AD971,"Yes","No")</f>
        <v>Yes</v>
      </c>
    </row>
    <row r="971" spans="1:26">
      <c r="A971" s="17">
        <v>10629</v>
      </c>
      <c r="B971" s="17">
        <v>2</v>
      </c>
      <c r="C971" s="17">
        <v>5</v>
      </c>
      <c r="D971" s="17" t="s">
        <v>181</v>
      </c>
      <c r="E971" s="17" t="s">
        <v>616</v>
      </c>
      <c r="F971" s="17" t="str">
        <f>TEXT(data[[#This Row],[ShipDate]],"yyyy - mmmm")</f>
        <v>2016 - May</v>
      </c>
      <c r="G971" s="17" t="str">
        <f>data[[#This Row],[OriginCity]] &amp; " - "  &amp; data[[#This Row],[DestinationCity]]</f>
        <v>Joliet - Madison</v>
      </c>
      <c r="H971" s="17" t="s">
        <v>61</v>
      </c>
      <c r="I971" s="17" t="s">
        <v>31</v>
      </c>
      <c r="J971" s="17">
        <v>3</v>
      </c>
      <c r="K971" s="17" t="s">
        <v>62</v>
      </c>
      <c r="L971" s="17" t="s">
        <v>29</v>
      </c>
      <c r="M971" s="17" t="s">
        <v>437</v>
      </c>
      <c r="N971" s="17">
        <v>205</v>
      </c>
      <c r="O971" s="17">
        <v>205</v>
      </c>
      <c r="P971" s="26">
        <f>(data[[#This Row],[LoadedMiles]]/data[[#This Row],[TotalMiles]])*100</f>
        <v>100</v>
      </c>
      <c r="Q971" s="25">
        <f>data[[#This Row],[ShippingCost]]/data[[#This Row],[TotalMiles]]</f>
        <v>38.897560975609757</v>
      </c>
      <c r="R971" s="17">
        <v>7974</v>
      </c>
      <c r="S971" s="25">
        <f>data[[#This Row],[Revenue]]/data[[#This Row],[TotalMiles]]</f>
        <v>43.502439024390242</v>
      </c>
      <c r="T971" s="26">
        <f>data[[#This Row],[Revenue]]-data[[#This Row],[ShippingCost]]</f>
        <v>944</v>
      </c>
      <c r="U971" s="17">
        <v>8918</v>
      </c>
      <c r="V971" s="17">
        <v>54</v>
      </c>
      <c r="W971" s="17" t="s">
        <v>25</v>
      </c>
      <c r="X971" s="17">
        <v>5</v>
      </c>
      <c r="Y971" s="17">
        <f>data[[#This Row],[DeliveryDate]]-data[[#This Row],[ShipDate]]</f>
        <v>3</v>
      </c>
      <c r="Z971" s="17" t="str">
        <f>IF(data[[#This Row],[Actual Delivery Days]]&gt;AD972,"Yes","No")</f>
        <v>Yes</v>
      </c>
    </row>
    <row r="972" spans="1:26">
      <c r="A972" s="17">
        <v>10641</v>
      </c>
      <c r="B972" s="17">
        <v>2</v>
      </c>
      <c r="C972" s="17">
        <v>8</v>
      </c>
      <c r="D972" s="17" t="s">
        <v>210</v>
      </c>
      <c r="E972" s="17" t="s">
        <v>298</v>
      </c>
      <c r="F972" s="17" t="str">
        <f>TEXT(data[[#This Row],[ShipDate]],"yyyy - mmmm")</f>
        <v>2016 - July</v>
      </c>
      <c r="G972" s="17" t="str">
        <f>data[[#This Row],[OriginCity]] &amp; " - "  &amp; data[[#This Row],[DestinationCity]]</f>
        <v>Skokie - Chicago</v>
      </c>
      <c r="H972" s="17" t="s">
        <v>35</v>
      </c>
      <c r="I972" s="17" t="s">
        <v>31</v>
      </c>
      <c r="J972" s="17">
        <v>3</v>
      </c>
      <c r="K972" s="17" t="s">
        <v>39</v>
      </c>
      <c r="L972" s="17" t="s">
        <v>31</v>
      </c>
      <c r="M972" s="17" t="s">
        <v>299</v>
      </c>
      <c r="N972" s="17">
        <v>432</v>
      </c>
      <c r="O972" s="17">
        <v>432</v>
      </c>
      <c r="P972" s="26">
        <f>(data[[#This Row],[LoadedMiles]]/data[[#This Row],[TotalMiles]])*100</f>
        <v>100</v>
      </c>
      <c r="Q972" s="25">
        <f>data[[#This Row],[ShippingCost]]/data[[#This Row],[TotalMiles]]</f>
        <v>13.958333333333334</v>
      </c>
      <c r="R972" s="17">
        <v>6030</v>
      </c>
      <c r="S972" s="25">
        <f>data[[#This Row],[Revenue]]/data[[#This Row],[TotalMiles]]</f>
        <v>15.905092592592593</v>
      </c>
      <c r="T972" s="26">
        <f>data[[#This Row],[Revenue]]-data[[#This Row],[ShippingCost]]</f>
        <v>841</v>
      </c>
      <c r="U972" s="17">
        <v>6871</v>
      </c>
      <c r="V972" s="17">
        <v>65</v>
      </c>
      <c r="W972" s="17" t="s">
        <v>25</v>
      </c>
      <c r="X972" s="17">
        <v>8</v>
      </c>
      <c r="Y972" s="17">
        <f>data[[#This Row],[DeliveryDate]]-data[[#This Row],[ShipDate]]</f>
        <v>3</v>
      </c>
      <c r="Z972" s="17" t="str">
        <f>IF(data[[#This Row],[Actual Delivery Days]]&gt;AD973,"Yes","No")</f>
        <v>Yes</v>
      </c>
    </row>
    <row r="973" spans="1:26">
      <c r="A973" s="17">
        <v>10646</v>
      </c>
      <c r="B973" s="17">
        <v>1</v>
      </c>
      <c r="C973" s="17">
        <v>7</v>
      </c>
      <c r="D973" s="17" t="s">
        <v>220</v>
      </c>
      <c r="E973" s="17" t="s">
        <v>149</v>
      </c>
      <c r="F973" s="17" t="str">
        <f>TEXT(data[[#This Row],[ShipDate]],"yyyy - mmmm")</f>
        <v>2016 - July</v>
      </c>
      <c r="G973" s="17" t="str">
        <f>data[[#This Row],[OriginCity]] &amp; " - "  &amp; data[[#This Row],[DestinationCity]]</f>
        <v>Springfield - Skokie</v>
      </c>
      <c r="H973" s="17" t="s">
        <v>30</v>
      </c>
      <c r="I973" s="17" t="s">
        <v>31</v>
      </c>
      <c r="J973" s="17">
        <v>3</v>
      </c>
      <c r="K973" s="17" t="s">
        <v>35</v>
      </c>
      <c r="L973" s="17" t="s">
        <v>31</v>
      </c>
      <c r="M973" s="17" t="s">
        <v>386</v>
      </c>
      <c r="N973" s="17">
        <v>989</v>
      </c>
      <c r="O973" s="17">
        <v>385</v>
      </c>
      <c r="P973" s="26">
        <f>(data[[#This Row],[LoadedMiles]]/data[[#This Row],[TotalMiles]])*100</f>
        <v>38.928210313447927</v>
      </c>
      <c r="Q973" s="25">
        <f>data[[#This Row],[ShippingCost]]/data[[#This Row],[TotalMiles]]</f>
        <v>4.7755308392315472</v>
      </c>
      <c r="R973" s="17">
        <v>4723</v>
      </c>
      <c r="S973" s="25">
        <f>data[[#This Row],[Revenue]]/data[[#This Row],[TotalMiles]]</f>
        <v>5.5085945399393328</v>
      </c>
      <c r="T973" s="26">
        <f>data[[#This Row],[Revenue]]-data[[#This Row],[ShippingCost]]</f>
        <v>725</v>
      </c>
      <c r="U973" s="17">
        <v>5448</v>
      </c>
      <c r="V973" s="17">
        <v>94</v>
      </c>
      <c r="W973" s="17" t="s">
        <v>25</v>
      </c>
      <c r="X973" s="17">
        <v>10</v>
      </c>
      <c r="Y973" s="17">
        <f>data[[#This Row],[DeliveryDate]]-data[[#This Row],[ShipDate]]</f>
        <v>3</v>
      </c>
      <c r="Z973" s="17" t="str">
        <f>IF(data[[#This Row],[Actual Delivery Days]]&gt;AD974,"Yes","No")</f>
        <v>Yes</v>
      </c>
    </row>
    <row r="974" spans="1:26">
      <c r="A974" s="17">
        <v>10647</v>
      </c>
      <c r="B974" s="17">
        <v>1</v>
      </c>
      <c r="C974" s="17">
        <v>5</v>
      </c>
      <c r="D974" s="17" t="s">
        <v>223</v>
      </c>
      <c r="E974" s="17" t="s">
        <v>114</v>
      </c>
      <c r="F974" s="17" t="str">
        <f>TEXT(data[[#This Row],[ShipDate]],"yyyy - mmmm")</f>
        <v>2016 - April</v>
      </c>
      <c r="G974" s="17" t="str">
        <f>data[[#This Row],[OriginCity]] &amp; " - "  &amp; data[[#This Row],[DestinationCity]]</f>
        <v>Chicago - Rockford</v>
      </c>
      <c r="H974" s="17" t="s">
        <v>39</v>
      </c>
      <c r="I974" s="17" t="s">
        <v>31</v>
      </c>
      <c r="J974" s="17">
        <v>3</v>
      </c>
      <c r="K974" s="17" t="s">
        <v>40</v>
      </c>
      <c r="L974" s="17" t="s">
        <v>31</v>
      </c>
      <c r="M974" s="17" t="s">
        <v>624</v>
      </c>
      <c r="N974" s="17">
        <v>409</v>
      </c>
      <c r="O974" s="17">
        <v>257</v>
      </c>
      <c r="P974" s="26">
        <f>(data[[#This Row],[LoadedMiles]]/data[[#This Row],[TotalMiles]])*100</f>
        <v>62.836185819070899</v>
      </c>
      <c r="Q974" s="25">
        <f>data[[#This Row],[ShippingCost]]/data[[#This Row],[TotalMiles]]</f>
        <v>5.3667481662591685</v>
      </c>
      <c r="R974" s="17">
        <v>2195</v>
      </c>
      <c r="S974" s="25">
        <f>data[[#This Row],[Revenue]]/data[[#This Row],[TotalMiles]]</f>
        <v>7.2102689486552567</v>
      </c>
      <c r="T974" s="26">
        <f>data[[#This Row],[Revenue]]-data[[#This Row],[ShippingCost]]</f>
        <v>754</v>
      </c>
      <c r="U974" s="17">
        <v>2949</v>
      </c>
      <c r="V974" s="17">
        <v>83</v>
      </c>
      <c r="W974" s="17" t="s">
        <v>25</v>
      </c>
      <c r="X974" s="17">
        <v>8</v>
      </c>
      <c r="Y974" s="17">
        <f>data[[#This Row],[DeliveryDate]]-data[[#This Row],[ShipDate]]</f>
        <v>3</v>
      </c>
      <c r="Z974" s="17" t="str">
        <f>IF(data[[#This Row],[Actual Delivery Days]]&gt;AD975,"Yes","No")</f>
        <v>Yes</v>
      </c>
    </row>
    <row r="975" spans="1:26">
      <c r="A975" s="17">
        <v>10649</v>
      </c>
      <c r="B975" s="17">
        <v>2</v>
      </c>
      <c r="C975" s="17">
        <v>6</v>
      </c>
      <c r="D975" s="17" t="s">
        <v>228</v>
      </c>
      <c r="E975" s="17" t="s">
        <v>307</v>
      </c>
      <c r="F975" s="17" t="str">
        <f>TEXT(data[[#This Row],[ShipDate]],"yyyy - mmmm")</f>
        <v>2016 - August</v>
      </c>
      <c r="G975" s="17" t="str">
        <f>data[[#This Row],[OriginCity]] &amp; " - "  &amp; data[[#This Row],[DestinationCity]]</f>
        <v>Northbrook - Naperville</v>
      </c>
      <c r="H975" s="17" t="s">
        <v>45</v>
      </c>
      <c r="I975" s="17" t="s">
        <v>31</v>
      </c>
      <c r="J975" s="17">
        <v>3</v>
      </c>
      <c r="K975" s="17" t="s">
        <v>48</v>
      </c>
      <c r="L975" s="17" t="s">
        <v>31</v>
      </c>
      <c r="M975" s="17" t="s">
        <v>341</v>
      </c>
      <c r="N975" s="17">
        <v>1159</v>
      </c>
      <c r="O975" s="17">
        <v>778</v>
      </c>
      <c r="P975" s="26">
        <f>(data[[#This Row],[LoadedMiles]]/data[[#This Row],[TotalMiles]])*100</f>
        <v>67.126833477135463</v>
      </c>
      <c r="Q975" s="25">
        <f>data[[#This Row],[ShippingCost]]/data[[#This Row],[TotalMiles]]</f>
        <v>3.1475409836065573</v>
      </c>
      <c r="R975" s="17">
        <v>3648</v>
      </c>
      <c r="S975" s="25">
        <f>data[[#This Row],[Revenue]]/data[[#This Row],[TotalMiles]]</f>
        <v>3.9318377911993099</v>
      </c>
      <c r="T975" s="26">
        <f>data[[#This Row],[Revenue]]-data[[#This Row],[ShippingCost]]</f>
        <v>909</v>
      </c>
      <c r="U975" s="17">
        <v>4557</v>
      </c>
      <c r="V975" s="17">
        <v>97</v>
      </c>
      <c r="W975" s="17" t="s">
        <v>25</v>
      </c>
      <c r="X975" s="17">
        <v>10</v>
      </c>
      <c r="Y975" s="17">
        <f>data[[#This Row],[DeliveryDate]]-data[[#This Row],[ShipDate]]</f>
        <v>3</v>
      </c>
      <c r="Z975" s="17" t="str">
        <f>IF(data[[#This Row],[Actual Delivery Days]]&gt;AD976,"Yes","No")</f>
        <v>Yes</v>
      </c>
    </row>
    <row r="976" spans="1:26">
      <c r="A976" s="17">
        <v>10660</v>
      </c>
      <c r="B976" s="17">
        <v>2</v>
      </c>
      <c r="C976" s="17">
        <v>7</v>
      </c>
      <c r="D976" s="17" t="s">
        <v>251</v>
      </c>
      <c r="E976" s="17" t="s">
        <v>426</v>
      </c>
      <c r="F976" s="17" t="str">
        <f>TEXT(data[[#This Row],[ShipDate]],"yyyy - mmmm")</f>
        <v>2016 - July</v>
      </c>
      <c r="G976" s="17" t="str">
        <f>data[[#This Row],[OriginCity]] &amp; " - "  &amp; data[[#This Row],[DestinationCity]]</f>
        <v>Toledo - Detriot</v>
      </c>
      <c r="H976" s="17" t="s">
        <v>22</v>
      </c>
      <c r="I976" s="17" t="s">
        <v>23</v>
      </c>
      <c r="J976" s="17">
        <v>3</v>
      </c>
      <c r="K976" s="17" t="s">
        <v>52</v>
      </c>
      <c r="L976" s="17" t="s">
        <v>21</v>
      </c>
      <c r="M976" s="17" t="s">
        <v>144</v>
      </c>
      <c r="N976" s="17">
        <v>261</v>
      </c>
      <c r="O976" s="17">
        <v>261</v>
      </c>
      <c r="P976" s="26">
        <f>(data[[#This Row],[LoadedMiles]]/data[[#This Row],[TotalMiles]])*100</f>
        <v>100</v>
      </c>
      <c r="Q976" s="25">
        <f>data[[#This Row],[ShippingCost]]/data[[#This Row],[TotalMiles]]</f>
        <v>3.0153256704980844</v>
      </c>
      <c r="R976" s="17">
        <v>787</v>
      </c>
      <c r="S976" s="25">
        <f>data[[#This Row],[Revenue]]/data[[#This Row],[TotalMiles]]</f>
        <v>6.6513409961685825</v>
      </c>
      <c r="T976" s="26">
        <f>data[[#This Row],[Revenue]]-data[[#This Row],[ShippingCost]]</f>
        <v>949</v>
      </c>
      <c r="U976" s="17">
        <v>1736</v>
      </c>
      <c r="V976" s="17">
        <v>69</v>
      </c>
      <c r="W976" s="17" t="s">
        <v>25</v>
      </c>
      <c r="X976" s="17">
        <v>4</v>
      </c>
      <c r="Y976" s="17">
        <f>data[[#This Row],[DeliveryDate]]-data[[#This Row],[ShipDate]]</f>
        <v>3</v>
      </c>
      <c r="Z976" s="17" t="str">
        <f>IF(data[[#This Row],[Actual Delivery Days]]&gt;AD977,"Yes","No")</f>
        <v>Yes</v>
      </c>
    </row>
    <row r="977" spans="1:26">
      <c r="A977" s="17">
        <v>10667</v>
      </c>
      <c r="B977" s="17">
        <v>1</v>
      </c>
      <c r="C977" s="17">
        <v>4</v>
      </c>
      <c r="D977" s="17" t="s">
        <v>266</v>
      </c>
      <c r="E977" s="17" t="s">
        <v>296</v>
      </c>
      <c r="F977" s="17" t="str">
        <f>TEXT(data[[#This Row],[ShipDate]],"yyyy - mmmm")</f>
        <v>2016 - March</v>
      </c>
      <c r="G977" s="17" t="str">
        <f>data[[#This Row],[OriginCity]] &amp; " - "  &amp; data[[#This Row],[DestinationCity]]</f>
        <v>Grand Rapids - Toledo</v>
      </c>
      <c r="H977" s="17" t="s">
        <v>20</v>
      </c>
      <c r="I977" s="17" t="s">
        <v>21</v>
      </c>
      <c r="J977" s="17">
        <v>3</v>
      </c>
      <c r="K977" s="17" t="s">
        <v>22</v>
      </c>
      <c r="L977" s="17" t="s">
        <v>23</v>
      </c>
      <c r="M977" s="17" t="s">
        <v>274</v>
      </c>
      <c r="N977" s="17">
        <v>999</v>
      </c>
      <c r="O977" s="17">
        <v>574</v>
      </c>
      <c r="P977" s="26">
        <f>(data[[#This Row],[LoadedMiles]]/data[[#This Row],[TotalMiles]])*100</f>
        <v>57.457457457457458</v>
      </c>
      <c r="Q977" s="25">
        <f>data[[#This Row],[ShippingCost]]/data[[#This Row],[TotalMiles]]</f>
        <v>1.5695695695695695</v>
      </c>
      <c r="R977" s="17">
        <v>1568</v>
      </c>
      <c r="S977" s="25">
        <f>data[[#This Row],[Revenue]]/data[[#This Row],[TotalMiles]]</f>
        <v>5.1051051051051052E-2</v>
      </c>
      <c r="T977" s="26">
        <f>data[[#This Row],[Revenue]]-data[[#This Row],[ShippingCost]]</f>
        <v>-1517</v>
      </c>
      <c r="U977" s="17">
        <v>51</v>
      </c>
      <c r="V977" s="17">
        <v>54</v>
      </c>
      <c r="W977" s="17" t="s">
        <v>25</v>
      </c>
      <c r="X977" s="17">
        <v>1</v>
      </c>
      <c r="Y977" s="17">
        <f>data[[#This Row],[DeliveryDate]]-data[[#This Row],[ShipDate]]</f>
        <v>3</v>
      </c>
      <c r="Z977" s="17" t="str">
        <f>IF(data[[#This Row],[Actual Delivery Days]]&gt;AD978,"Yes","No")</f>
        <v>Yes</v>
      </c>
    </row>
    <row r="978" spans="1:26">
      <c r="A978" s="17">
        <v>10668</v>
      </c>
      <c r="B978" s="17">
        <v>2</v>
      </c>
      <c r="C978" s="17">
        <v>7</v>
      </c>
      <c r="D978" s="17" t="s">
        <v>267</v>
      </c>
      <c r="E978" s="17" t="s">
        <v>430</v>
      </c>
      <c r="F978" s="17" t="str">
        <f>TEXT(data[[#This Row],[ShipDate]],"yyyy - mmmm")</f>
        <v>2016 - March</v>
      </c>
      <c r="G978" s="17" t="str">
        <f>data[[#This Row],[OriginCity]] &amp; " - "  &amp; data[[#This Row],[DestinationCity]]</f>
        <v>Milwaukee - Springfield</v>
      </c>
      <c r="H978" s="17" t="s">
        <v>28</v>
      </c>
      <c r="I978" s="17" t="s">
        <v>29</v>
      </c>
      <c r="J978" s="17">
        <v>3</v>
      </c>
      <c r="K978" s="17" t="s">
        <v>30</v>
      </c>
      <c r="L978" s="17" t="s">
        <v>31</v>
      </c>
      <c r="M978" s="17" t="s">
        <v>453</v>
      </c>
      <c r="N978" s="17">
        <v>1013</v>
      </c>
      <c r="O978" s="17">
        <v>492</v>
      </c>
      <c r="P978" s="26">
        <f>(data[[#This Row],[LoadedMiles]]/data[[#This Row],[TotalMiles]])*100</f>
        <v>48.568608094768017</v>
      </c>
      <c r="Q978" s="25">
        <f>data[[#This Row],[ShippingCost]]/data[[#This Row],[TotalMiles]]</f>
        <v>0.77295162882527146</v>
      </c>
      <c r="R978" s="17">
        <v>783</v>
      </c>
      <c r="S978" s="25">
        <f>data[[#This Row],[Revenue]]/data[[#This Row],[TotalMiles]]</f>
        <v>1.6890424481737414</v>
      </c>
      <c r="T978" s="26">
        <f>data[[#This Row],[Revenue]]-data[[#This Row],[ShippingCost]]</f>
        <v>928</v>
      </c>
      <c r="U978" s="17">
        <v>1711</v>
      </c>
      <c r="V978" s="17">
        <v>64</v>
      </c>
      <c r="W978" s="17" t="s">
        <v>25</v>
      </c>
      <c r="X978" s="17">
        <v>4</v>
      </c>
      <c r="Y978" s="17">
        <f>data[[#This Row],[DeliveryDate]]-data[[#This Row],[ShipDate]]</f>
        <v>3</v>
      </c>
      <c r="Z978" s="17" t="str">
        <f>IF(data[[#This Row],[Actual Delivery Days]]&gt;AD979,"Yes","No")</f>
        <v>Yes</v>
      </c>
    </row>
    <row r="979" spans="1:26">
      <c r="A979" s="17">
        <v>10669</v>
      </c>
      <c r="B979" s="17">
        <v>1</v>
      </c>
      <c r="C979" s="17">
        <v>6</v>
      </c>
      <c r="D979" s="17" t="s">
        <v>269</v>
      </c>
      <c r="E979" s="17" t="s">
        <v>410</v>
      </c>
      <c r="F979" s="17" t="str">
        <f>TEXT(data[[#This Row],[ShipDate]],"yyyy - mmmm")</f>
        <v>2016 - June</v>
      </c>
      <c r="G979" s="17" t="str">
        <f>data[[#This Row],[OriginCity]] &amp; " - "  &amp; data[[#This Row],[DestinationCity]]</f>
        <v>Springfield - Skokie</v>
      </c>
      <c r="H979" s="17" t="s">
        <v>30</v>
      </c>
      <c r="I979" s="17" t="s">
        <v>31</v>
      </c>
      <c r="J979" s="17">
        <v>3</v>
      </c>
      <c r="K979" s="17" t="s">
        <v>35</v>
      </c>
      <c r="L979" s="17" t="s">
        <v>31</v>
      </c>
      <c r="M979" s="17" t="s">
        <v>147</v>
      </c>
      <c r="N979" s="17">
        <v>651</v>
      </c>
      <c r="O979" s="17">
        <v>632</v>
      </c>
      <c r="P979" s="26">
        <f>(data[[#This Row],[LoadedMiles]]/data[[#This Row],[TotalMiles]])*100</f>
        <v>97.081413210445461</v>
      </c>
      <c r="Q979" s="25">
        <f>data[[#This Row],[ShippingCost]]/data[[#This Row],[TotalMiles]]</f>
        <v>7.4654377880184333</v>
      </c>
      <c r="R979" s="17">
        <v>4860</v>
      </c>
      <c r="S979" s="25">
        <f>data[[#This Row],[Revenue]]/data[[#This Row],[TotalMiles]]</f>
        <v>8.7066052227342556</v>
      </c>
      <c r="T979" s="26">
        <f>data[[#This Row],[Revenue]]-data[[#This Row],[ShippingCost]]</f>
        <v>808</v>
      </c>
      <c r="U979" s="17">
        <v>5668</v>
      </c>
      <c r="V979" s="17">
        <v>97</v>
      </c>
      <c r="W979" s="17" t="s">
        <v>25</v>
      </c>
      <c r="X979" s="17">
        <v>5</v>
      </c>
      <c r="Y979" s="17">
        <f>data[[#This Row],[DeliveryDate]]-data[[#This Row],[ShipDate]]</f>
        <v>3</v>
      </c>
      <c r="Z979" s="17" t="str">
        <f>IF(data[[#This Row],[Actual Delivery Days]]&gt;AD980,"Yes","No")</f>
        <v>Yes</v>
      </c>
    </row>
    <row r="980" spans="1:26">
      <c r="A980" s="17">
        <v>10682</v>
      </c>
      <c r="B980" s="17">
        <v>1</v>
      </c>
      <c r="C980" s="17">
        <v>7</v>
      </c>
      <c r="D980" s="17" t="s">
        <v>297</v>
      </c>
      <c r="E980" s="17" t="s">
        <v>394</v>
      </c>
      <c r="F980" s="17" t="str">
        <f>TEXT(data[[#This Row],[ShipDate]],"yyyy - mmmm")</f>
        <v>2016 - January</v>
      </c>
      <c r="G980" s="17" t="str">
        <f>data[[#This Row],[OriginCity]] &amp; " - "  &amp; data[[#This Row],[DestinationCity]]</f>
        <v>Toledo - Detriot</v>
      </c>
      <c r="H980" s="17" t="s">
        <v>22</v>
      </c>
      <c r="I980" s="17" t="s">
        <v>23</v>
      </c>
      <c r="J980" s="17">
        <v>3</v>
      </c>
      <c r="K980" s="17" t="s">
        <v>52</v>
      </c>
      <c r="L980" s="17" t="s">
        <v>21</v>
      </c>
      <c r="M980" s="17" t="s">
        <v>396</v>
      </c>
      <c r="N980" s="17">
        <v>328</v>
      </c>
      <c r="O980" s="17">
        <v>328</v>
      </c>
      <c r="P980" s="26">
        <f>(data[[#This Row],[LoadedMiles]]/data[[#This Row],[TotalMiles]])*100</f>
        <v>100</v>
      </c>
      <c r="Q980" s="25">
        <f>data[[#This Row],[ShippingCost]]/data[[#This Row],[TotalMiles]]</f>
        <v>16.314024390243901</v>
      </c>
      <c r="R980" s="17">
        <v>5351</v>
      </c>
      <c r="S980" s="25">
        <f>data[[#This Row],[Revenue]]/data[[#This Row],[TotalMiles]]</f>
        <v>17.121951219512194</v>
      </c>
      <c r="T980" s="26">
        <f>data[[#This Row],[Revenue]]-data[[#This Row],[ShippingCost]]</f>
        <v>265</v>
      </c>
      <c r="U980" s="17">
        <v>5616</v>
      </c>
      <c r="V980" s="17">
        <v>82</v>
      </c>
      <c r="W980" s="17" t="s">
        <v>25</v>
      </c>
      <c r="X980" s="17">
        <v>3</v>
      </c>
      <c r="Y980" s="17">
        <f>data[[#This Row],[DeliveryDate]]-data[[#This Row],[ShipDate]]</f>
        <v>3</v>
      </c>
      <c r="Z980" s="17" t="str">
        <f>IF(data[[#This Row],[Actual Delivery Days]]&gt;AD981,"Yes","No")</f>
        <v>Yes</v>
      </c>
    </row>
    <row r="981" spans="1:26">
      <c r="A981" s="17">
        <v>10683</v>
      </c>
      <c r="B981" s="17">
        <v>2</v>
      </c>
      <c r="C981" s="17">
        <v>8</v>
      </c>
      <c r="D981" s="17" t="s">
        <v>303</v>
      </c>
      <c r="E981" s="17" t="s">
        <v>42</v>
      </c>
      <c r="F981" s="17" t="str">
        <f>TEXT(data[[#This Row],[ShipDate]],"yyyy - mmmm")</f>
        <v>2016 - May</v>
      </c>
      <c r="G981" s="17" t="str">
        <f>data[[#This Row],[OriginCity]] &amp; " - "  &amp; data[[#This Row],[DestinationCity]]</f>
        <v>Bangor - Davenport</v>
      </c>
      <c r="H981" s="17" t="s">
        <v>104</v>
      </c>
      <c r="I981" s="17" t="s">
        <v>21</v>
      </c>
      <c r="J981" s="17">
        <v>3</v>
      </c>
      <c r="K981" s="17" t="s">
        <v>105</v>
      </c>
      <c r="L981" s="17" t="s">
        <v>106</v>
      </c>
      <c r="M981" s="17" t="s">
        <v>32</v>
      </c>
      <c r="N981" s="17">
        <v>1123</v>
      </c>
      <c r="O981" s="17">
        <v>415</v>
      </c>
      <c r="P981" s="26">
        <f>(data[[#This Row],[LoadedMiles]]/data[[#This Row],[TotalMiles]])*100</f>
        <v>36.954585930543189</v>
      </c>
      <c r="Q981" s="25">
        <f>data[[#This Row],[ShippingCost]]/data[[#This Row],[TotalMiles]]</f>
        <v>2.4122885129118434</v>
      </c>
      <c r="R981" s="17">
        <v>2709</v>
      </c>
      <c r="S981" s="25">
        <f>data[[#This Row],[Revenue]]/data[[#This Row],[TotalMiles]]</f>
        <v>3.135351736420303</v>
      </c>
      <c r="T981" s="26">
        <f>data[[#This Row],[Revenue]]-data[[#This Row],[ShippingCost]]</f>
        <v>812</v>
      </c>
      <c r="U981" s="17">
        <v>3521</v>
      </c>
      <c r="V981" s="17">
        <v>74</v>
      </c>
      <c r="W981" s="17" t="s">
        <v>25</v>
      </c>
      <c r="X981" s="17">
        <v>4</v>
      </c>
      <c r="Y981" s="17">
        <f>data[[#This Row],[DeliveryDate]]-data[[#This Row],[ShipDate]]</f>
        <v>3</v>
      </c>
      <c r="Z981" s="17" t="str">
        <f>IF(data[[#This Row],[Actual Delivery Days]]&gt;AD982,"Yes","No")</f>
        <v>Yes</v>
      </c>
    </row>
    <row r="982" spans="1:26">
      <c r="A982" s="17">
        <v>10700</v>
      </c>
      <c r="B982" s="17">
        <v>1</v>
      </c>
      <c r="C982" s="17">
        <v>4</v>
      </c>
      <c r="D982" s="17" t="s">
        <v>331</v>
      </c>
      <c r="E982" s="17" t="s">
        <v>174</v>
      </c>
      <c r="F982" s="17" t="str">
        <f>TEXT(data[[#This Row],[ShipDate]],"yyyy - mmmm")</f>
        <v>2016 - January</v>
      </c>
      <c r="G982" s="17" t="str">
        <f>data[[#This Row],[OriginCity]] &amp; " - "  &amp; data[[#This Row],[DestinationCity]]</f>
        <v>Rockford - Green Bay</v>
      </c>
      <c r="H982" s="17" t="s">
        <v>40</v>
      </c>
      <c r="I982" s="17" t="s">
        <v>31</v>
      </c>
      <c r="J982" s="17">
        <v>3</v>
      </c>
      <c r="K982" s="17" t="s">
        <v>75</v>
      </c>
      <c r="L982" s="17" t="s">
        <v>29</v>
      </c>
      <c r="M982" s="17" t="s">
        <v>625</v>
      </c>
      <c r="N982" s="17">
        <v>419</v>
      </c>
      <c r="O982" s="17">
        <v>419</v>
      </c>
      <c r="P982" s="26">
        <f>(data[[#This Row],[LoadedMiles]]/data[[#This Row],[TotalMiles]])*100</f>
        <v>100</v>
      </c>
      <c r="Q982" s="25">
        <f>data[[#This Row],[ShippingCost]]/data[[#This Row],[TotalMiles]]</f>
        <v>15.064439140811455</v>
      </c>
      <c r="R982" s="17">
        <v>6312</v>
      </c>
      <c r="S982" s="25">
        <f>data[[#This Row],[Revenue]]/data[[#This Row],[TotalMiles]]</f>
        <v>10.186157517899762</v>
      </c>
      <c r="T982" s="26">
        <f>data[[#This Row],[Revenue]]-data[[#This Row],[ShippingCost]]</f>
        <v>-2044</v>
      </c>
      <c r="U982" s="17">
        <v>4268</v>
      </c>
      <c r="V982" s="17">
        <v>93</v>
      </c>
      <c r="W982" s="17" t="s">
        <v>25</v>
      </c>
      <c r="X982" s="17">
        <v>6</v>
      </c>
      <c r="Y982" s="17">
        <f>data[[#This Row],[DeliveryDate]]-data[[#This Row],[ShipDate]]</f>
        <v>3</v>
      </c>
      <c r="Z982" s="17" t="str">
        <f>IF(data[[#This Row],[Actual Delivery Days]]&gt;AD983,"Yes","No")</f>
        <v>Yes</v>
      </c>
    </row>
    <row r="983" spans="1:26">
      <c r="A983" s="17">
        <v>10719</v>
      </c>
      <c r="B983" s="17">
        <v>1</v>
      </c>
      <c r="C983" s="17">
        <v>7</v>
      </c>
      <c r="D983" s="17" t="s">
        <v>364</v>
      </c>
      <c r="E983" s="17" t="s">
        <v>197</v>
      </c>
      <c r="F983" s="17" t="str">
        <f>TEXT(data[[#This Row],[ShipDate]],"yyyy - mmmm")</f>
        <v>2016 - May</v>
      </c>
      <c r="G983" s="17" t="str">
        <f>data[[#This Row],[OriginCity]] &amp; " - "  &amp; data[[#This Row],[DestinationCity]]</f>
        <v>Monon - Lansing</v>
      </c>
      <c r="H983" s="17" t="s">
        <v>53</v>
      </c>
      <c r="I983" s="17" t="s">
        <v>44</v>
      </c>
      <c r="J983" s="17">
        <v>3</v>
      </c>
      <c r="K983" s="17" t="s">
        <v>66</v>
      </c>
      <c r="L983" s="17" t="s">
        <v>21</v>
      </c>
      <c r="M983" s="17" t="s">
        <v>218</v>
      </c>
      <c r="N983" s="17">
        <v>721</v>
      </c>
      <c r="O983" s="17">
        <v>541</v>
      </c>
      <c r="P983" s="26">
        <f>(data[[#This Row],[LoadedMiles]]/data[[#This Row],[TotalMiles]])*100</f>
        <v>75.034674063800281</v>
      </c>
      <c r="Q983" s="25">
        <f>data[[#This Row],[ShippingCost]]/data[[#This Row],[TotalMiles]]</f>
        <v>3.6560332871012484</v>
      </c>
      <c r="R983" s="17">
        <v>2636</v>
      </c>
      <c r="S983" s="25">
        <f>data[[#This Row],[Revenue]]/data[[#This Row],[TotalMiles]]</f>
        <v>4.7267683772538138</v>
      </c>
      <c r="T983" s="26">
        <f>data[[#This Row],[Revenue]]-data[[#This Row],[ShippingCost]]</f>
        <v>772</v>
      </c>
      <c r="U983" s="17">
        <v>3408</v>
      </c>
      <c r="V983" s="17">
        <v>82</v>
      </c>
      <c r="W983" s="17" t="s">
        <v>25</v>
      </c>
      <c r="X983" s="17">
        <v>10</v>
      </c>
      <c r="Y983" s="17">
        <f>data[[#This Row],[DeliveryDate]]-data[[#This Row],[ShipDate]]</f>
        <v>3</v>
      </c>
      <c r="Z983" s="17" t="str">
        <f>IF(data[[#This Row],[Actual Delivery Days]]&gt;AD984,"Yes","No")</f>
        <v>Yes</v>
      </c>
    </row>
    <row r="984" spans="1:26">
      <c r="A984" s="17">
        <v>10721</v>
      </c>
      <c r="B984" s="17">
        <v>2</v>
      </c>
      <c r="C984" s="17">
        <v>4</v>
      </c>
      <c r="D984" s="17" t="s">
        <v>369</v>
      </c>
      <c r="E984" s="17" t="s">
        <v>177</v>
      </c>
      <c r="F984" s="17" t="str">
        <f>TEXT(data[[#This Row],[ShipDate]],"yyyy - mmmm")</f>
        <v>2016 - June</v>
      </c>
      <c r="G984" s="17" t="str">
        <f>data[[#This Row],[OriginCity]] &amp; " - "  &amp; data[[#This Row],[DestinationCity]]</f>
        <v>Green Bay - Joliet</v>
      </c>
      <c r="H984" s="17" t="s">
        <v>75</v>
      </c>
      <c r="I984" s="17" t="s">
        <v>29</v>
      </c>
      <c r="J984" s="17">
        <v>3</v>
      </c>
      <c r="K984" s="17" t="s">
        <v>61</v>
      </c>
      <c r="L984" s="17" t="s">
        <v>31</v>
      </c>
      <c r="M984" s="17" t="s">
        <v>542</v>
      </c>
      <c r="N984" s="17">
        <v>1141</v>
      </c>
      <c r="O984" s="17">
        <v>420</v>
      </c>
      <c r="P984" s="26">
        <f>(data[[#This Row],[LoadedMiles]]/data[[#This Row],[TotalMiles]])*100</f>
        <v>36.809815950920246</v>
      </c>
      <c r="Q984" s="25">
        <f>data[[#This Row],[ShippingCost]]/data[[#This Row],[TotalMiles]]</f>
        <v>5.2506573181419807</v>
      </c>
      <c r="R984" s="17">
        <v>5991</v>
      </c>
      <c r="S984" s="25">
        <f>data[[#This Row],[Revenue]]/data[[#This Row],[TotalMiles]]</f>
        <v>3.1051709027169152</v>
      </c>
      <c r="T984" s="26">
        <f>data[[#This Row],[Revenue]]-data[[#This Row],[ShippingCost]]</f>
        <v>-2448</v>
      </c>
      <c r="U984" s="17">
        <v>3543</v>
      </c>
      <c r="V984" s="17">
        <v>60</v>
      </c>
      <c r="W984" s="17" t="s">
        <v>25</v>
      </c>
      <c r="X984" s="17">
        <v>4</v>
      </c>
      <c r="Y984" s="17">
        <f>data[[#This Row],[DeliveryDate]]-data[[#This Row],[ShipDate]]</f>
        <v>3</v>
      </c>
      <c r="Z984" s="17" t="str">
        <f>IF(data[[#This Row],[Actual Delivery Days]]&gt;AD985,"Yes","No")</f>
        <v>Yes</v>
      </c>
    </row>
    <row r="985" spans="1:26">
      <c r="A985" s="17">
        <v>10723</v>
      </c>
      <c r="B985" s="17">
        <v>2</v>
      </c>
      <c r="C985" s="17">
        <v>8</v>
      </c>
      <c r="D985" s="17" t="s">
        <v>371</v>
      </c>
      <c r="E985" s="17" t="s">
        <v>259</v>
      </c>
      <c r="F985" s="17" t="str">
        <f>TEXT(data[[#This Row],[ShipDate]],"yyyy - mmmm")</f>
        <v>2016 - February</v>
      </c>
      <c r="G985" s="17" t="str">
        <f>data[[#This Row],[OriginCity]] &amp; " - "  &amp; data[[#This Row],[DestinationCity]]</f>
        <v>Rockford - Green Bay</v>
      </c>
      <c r="H985" s="17" t="s">
        <v>40</v>
      </c>
      <c r="I985" s="17" t="s">
        <v>31</v>
      </c>
      <c r="J985" s="17">
        <v>3</v>
      </c>
      <c r="K985" s="17" t="s">
        <v>75</v>
      </c>
      <c r="L985" s="17" t="s">
        <v>29</v>
      </c>
      <c r="M985" s="17" t="s">
        <v>163</v>
      </c>
      <c r="N985" s="17">
        <v>1069</v>
      </c>
      <c r="O985" s="17">
        <v>561</v>
      </c>
      <c r="P985" s="26">
        <f>(data[[#This Row],[LoadedMiles]]/data[[#This Row],[TotalMiles]])*100</f>
        <v>52.47895229186156</v>
      </c>
      <c r="Q985" s="25">
        <f>data[[#This Row],[ShippingCost]]/data[[#This Row],[TotalMiles]]</f>
        <v>0.39943872778297473</v>
      </c>
      <c r="R985" s="17">
        <v>427</v>
      </c>
      <c r="S985" s="25">
        <f>data[[#This Row],[Revenue]]/data[[#This Row],[TotalMiles]]</f>
        <v>0.80355472404116002</v>
      </c>
      <c r="T985" s="26">
        <f>data[[#This Row],[Revenue]]-data[[#This Row],[ShippingCost]]</f>
        <v>432</v>
      </c>
      <c r="U985" s="17">
        <v>859</v>
      </c>
      <c r="V985" s="17">
        <v>84</v>
      </c>
      <c r="W985" s="17" t="s">
        <v>25</v>
      </c>
      <c r="X985" s="17">
        <v>2</v>
      </c>
      <c r="Y985" s="17">
        <f>data[[#This Row],[DeliveryDate]]-data[[#This Row],[ShipDate]]</f>
        <v>3</v>
      </c>
      <c r="Z985" s="17" t="str">
        <f>IF(data[[#This Row],[Actual Delivery Days]]&gt;AD986,"Yes","No")</f>
        <v>Yes</v>
      </c>
    </row>
    <row r="986" spans="1:26">
      <c r="A986" s="17">
        <v>10725</v>
      </c>
      <c r="B986" s="17">
        <v>2</v>
      </c>
      <c r="C986" s="17">
        <v>6</v>
      </c>
      <c r="D986" s="17" t="s">
        <v>375</v>
      </c>
      <c r="E986" s="17" t="s">
        <v>454</v>
      </c>
      <c r="F986" s="17" t="str">
        <f>TEXT(data[[#This Row],[ShipDate]],"yyyy - mmmm")</f>
        <v>2016 - March</v>
      </c>
      <c r="G986" s="17" t="str">
        <f>data[[#This Row],[OriginCity]] &amp; " - "  &amp; data[[#This Row],[DestinationCity]]</f>
        <v>Dayton - Elgin</v>
      </c>
      <c r="H986" s="17" t="s">
        <v>93</v>
      </c>
      <c r="I986" s="17" t="s">
        <v>23</v>
      </c>
      <c r="J986" s="17">
        <v>3</v>
      </c>
      <c r="K986" s="17" t="s">
        <v>94</v>
      </c>
      <c r="L986" s="17" t="s">
        <v>31</v>
      </c>
      <c r="M986" s="17" t="s">
        <v>454</v>
      </c>
      <c r="N986" s="17">
        <v>778</v>
      </c>
      <c r="O986" s="17">
        <v>758</v>
      </c>
      <c r="P986" s="26">
        <f>(data[[#This Row],[LoadedMiles]]/data[[#This Row],[TotalMiles]])*100</f>
        <v>97.429305912596391</v>
      </c>
      <c r="Q986" s="25">
        <f>data[[#This Row],[ShippingCost]]/data[[#This Row],[TotalMiles]]</f>
        <v>3.9473007712082264</v>
      </c>
      <c r="R986" s="17">
        <v>3071</v>
      </c>
      <c r="S986" s="25">
        <f>data[[#This Row],[Revenue]]/data[[#This Row],[TotalMiles]]</f>
        <v>4.8598971722365034</v>
      </c>
      <c r="T986" s="26">
        <f>data[[#This Row],[Revenue]]-data[[#This Row],[ShippingCost]]</f>
        <v>710</v>
      </c>
      <c r="U986" s="17">
        <v>3781</v>
      </c>
      <c r="V986" s="17">
        <v>54</v>
      </c>
      <c r="W986" s="17" t="s">
        <v>25</v>
      </c>
      <c r="X986" s="17">
        <v>10</v>
      </c>
      <c r="Y986" s="17">
        <f>data[[#This Row],[DeliveryDate]]-data[[#This Row],[ShipDate]]</f>
        <v>0</v>
      </c>
      <c r="Z986" s="17" t="str">
        <f>IF(data[[#This Row],[Actual Delivery Days]]&gt;AD987,"Yes","No")</f>
        <v>No</v>
      </c>
    </row>
    <row r="987" spans="1:26">
      <c r="A987" s="17">
        <v>10749</v>
      </c>
      <c r="B987" s="17">
        <v>1</v>
      </c>
      <c r="C987" s="17">
        <v>6</v>
      </c>
      <c r="D987" s="17" t="s">
        <v>421</v>
      </c>
      <c r="E987" s="17" t="s">
        <v>84</v>
      </c>
      <c r="F987" s="17" t="str">
        <f>TEXT(data[[#This Row],[ShipDate]],"yyyy - mmmm")</f>
        <v>2016 - May</v>
      </c>
      <c r="G987" s="17" t="str">
        <f>data[[#This Row],[OriginCity]] &amp; " - "  &amp; data[[#This Row],[DestinationCity]]</f>
        <v>Skokie - Chicago</v>
      </c>
      <c r="H987" s="17" t="s">
        <v>35</v>
      </c>
      <c r="I987" s="17" t="s">
        <v>31</v>
      </c>
      <c r="J987" s="17">
        <v>3</v>
      </c>
      <c r="K987" s="17" t="s">
        <v>39</v>
      </c>
      <c r="L987" s="17" t="s">
        <v>31</v>
      </c>
      <c r="M987" s="17" t="s">
        <v>367</v>
      </c>
      <c r="N987" s="17">
        <v>1171</v>
      </c>
      <c r="O987" s="17">
        <v>798</v>
      </c>
      <c r="P987" s="26">
        <f>(data[[#This Row],[LoadedMiles]]/data[[#This Row],[TotalMiles]])*100</f>
        <v>68.146883005977799</v>
      </c>
      <c r="Q987" s="25">
        <f>data[[#This Row],[ShippingCost]]/data[[#This Row],[TotalMiles]]</f>
        <v>2.1485909479077709</v>
      </c>
      <c r="R987" s="17">
        <v>2516</v>
      </c>
      <c r="S987" s="25">
        <f>data[[#This Row],[Revenue]]/data[[#This Row],[TotalMiles]]</f>
        <v>2.6276686592655851</v>
      </c>
      <c r="T987" s="26">
        <f>data[[#This Row],[Revenue]]-data[[#This Row],[ShippingCost]]</f>
        <v>561</v>
      </c>
      <c r="U987" s="17">
        <v>3077</v>
      </c>
      <c r="V987" s="17">
        <v>77</v>
      </c>
      <c r="W987" s="17" t="s">
        <v>25</v>
      </c>
      <c r="X987" s="17">
        <v>7</v>
      </c>
      <c r="Y987" s="17">
        <f>data[[#This Row],[DeliveryDate]]-data[[#This Row],[ShipDate]]</f>
        <v>3</v>
      </c>
      <c r="Z987" s="17" t="str">
        <f>IF(data[[#This Row],[Actual Delivery Days]]&gt;AD988,"Yes","No")</f>
        <v>Yes</v>
      </c>
    </row>
    <row r="988" spans="1:26">
      <c r="A988" s="17">
        <v>10755</v>
      </c>
      <c r="B988" s="17">
        <v>1</v>
      </c>
      <c r="C988" s="17">
        <v>4</v>
      </c>
      <c r="D988" s="17" t="s">
        <v>433</v>
      </c>
      <c r="E988" s="17" t="s">
        <v>410</v>
      </c>
      <c r="F988" s="17" t="str">
        <f>TEXT(data[[#This Row],[ShipDate]],"yyyy - mmmm")</f>
        <v>2016 - June</v>
      </c>
      <c r="G988" s="17" t="str">
        <f>data[[#This Row],[OriginCity]] &amp; " - "  &amp; data[[#This Row],[DestinationCity]]</f>
        <v>Northbrook - Naperville</v>
      </c>
      <c r="H988" s="17" t="s">
        <v>45</v>
      </c>
      <c r="I988" s="17" t="s">
        <v>31</v>
      </c>
      <c r="J988" s="17">
        <v>3</v>
      </c>
      <c r="K988" s="17" t="s">
        <v>48</v>
      </c>
      <c r="L988" s="17" t="s">
        <v>31</v>
      </c>
      <c r="M988" s="17" t="s">
        <v>147</v>
      </c>
      <c r="N988" s="17">
        <v>1145</v>
      </c>
      <c r="O988" s="17">
        <v>578</v>
      </c>
      <c r="P988" s="26">
        <f>(data[[#This Row],[LoadedMiles]]/data[[#This Row],[TotalMiles]])*100</f>
        <v>50.480349344978173</v>
      </c>
      <c r="Q988" s="25">
        <f>data[[#This Row],[ShippingCost]]/data[[#This Row],[TotalMiles]]</f>
        <v>6.9379912663755459</v>
      </c>
      <c r="R988" s="17">
        <v>7944</v>
      </c>
      <c r="S988" s="25">
        <f>data[[#This Row],[Revenue]]/data[[#This Row],[TotalMiles]]</f>
        <v>5.549344978165939</v>
      </c>
      <c r="T988" s="26">
        <f>data[[#This Row],[Revenue]]-data[[#This Row],[ShippingCost]]</f>
        <v>-1590</v>
      </c>
      <c r="U988" s="17">
        <v>6354</v>
      </c>
      <c r="V988" s="17">
        <v>57</v>
      </c>
      <c r="W988" s="17" t="s">
        <v>25</v>
      </c>
      <c r="X988" s="17">
        <v>2</v>
      </c>
      <c r="Y988" s="17">
        <f>data[[#This Row],[DeliveryDate]]-data[[#This Row],[ShipDate]]</f>
        <v>3</v>
      </c>
      <c r="Z988" s="17" t="str">
        <f>IF(data[[#This Row],[Actual Delivery Days]]&gt;AD989,"Yes","No")</f>
        <v>Yes</v>
      </c>
    </row>
    <row r="989" spans="1:26">
      <c r="A989" s="17">
        <v>10766</v>
      </c>
      <c r="B989" s="17">
        <v>1</v>
      </c>
      <c r="C989" s="17">
        <v>4</v>
      </c>
      <c r="D989" s="17" t="s">
        <v>450</v>
      </c>
      <c r="E989" s="17" t="s">
        <v>530</v>
      </c>
      <c r="F989" s="17" t="str">
        <f>TEXT(data[[#This Row],[ShipDate]],"yyyy - mmmm")</f>
        <v>2016 - January</v>
      </c>
      <c r="G989" s="17" t="str">
        <f>data[[#This Row],[OriginCity]] &amp; " - "  &amp; data[[#This Row],[DestinationCity]]</f>
        <v>Dayton - Elgin</v>
      </c>
      <c r="H989" s="17" t="s">
        <v>93</v>
      </c>
      <c r="I989" s="17" t="s">
        <v>23</v>
      </c>
      <c r="J989" s="17">
        <v>3</v>
      </c>
      <c r="K989" s="17" t="s">
        <v>94</v>
      </c>
      <c r="L989" s="17" t="s">
        <v>31</v>
      </c>
      <c r="M989" s="17" t="s">
        <v>127</v>
      </c>
      <c r="N989" s="17">
        <v>1163</v>
      </c>
      <c r="O989" s="17">
        <v>551</v>
      </c>
      <c r="P989" s="26">
        <f>(data[[#This Row],[LoadedMiles]]/data[[#This Row],[TotalMiles]])*100</f>
        <v>47.377472055030097</v>
      </c>
      <c r="Q989" s="25">
        <f>data[[#This Row],[ShippingCost]]/data[[#This Row],[TotalMiles]]</f>
        <v>5.8460877042132413</v>
      </c>
      <c r="R989" s="17">
        <v>6799</v>
      </c>
      <c r="S989" s="25">
        <f>data[[#This Row],[Revenue]]/data[[#This Row],[TotalMiles]]</f>
        <v>3.5468615649183146</v>
      </c>
      <c r="T989" s="26">
        <f>data[[#This Row],[Revenue]]-data[[#This Row],[ShippingCost]]</f>
        <v>-2674</v>
      </c>
      <c r="U989" s="17">
        <v>4125</v>
      </c>
      <c r="V989" s="17">
        <v>93</v>
      </c>
      <c r="W989" s="17" t="s">
        <v>25</v>
      </c>
      <c r="X989" s="17">
        <v>4</v>
      </c>
      <c r="Y989" s="17">
        <f>data[[#This Row],[DeliveryDate]]-data[[#This Row],[ShipDate]]</f>
        <v>3</v>
      </c>
      <c r="Z989" s="17" t="str">
        <f>IF(data[[#This Row],[Actual Delivery Days]]&gt;AD990,"Yes","No")</f>
        <v>Yes</v>
      </c>
    </row>
    <row r="990" spans="1:26">
      <c r="A990" s="17">
        <v>10772</v>
      </c>
      <c r="B990" s="17">
        <v>1</v>
      </c>
      <c r="C990" s="17">
        <v>4</v>
      </c>
      <c r="D990" s="17" t="s">
        <v>458</v>
      </c>
      <c r="E990" s="17" t="s">
        <v>158</v>
      </c>
      <c r="F990" s="17" t="str">
        <f>TEXT(data[[#This Row],[ShipDate]],"yyyy - mmmm")</f>
        <v>2016 - April</v>
      </c>
      <c r="G990" s="17" t="str">
        <f>data[[#This Row],[OriginCity]] &amp; " - "  &amp; data[[#This Row],[DestinationCity]]</f>
        <v>Kalamazoo - Bangor</v>
      </c>
      <c r="H990" s="17" t="s">
        <v>71</v>
      </c>
      <c r="I990" s="17" t="s">
        <v>21</v>
      </c>
      <c r="J990" s="17">
        <v>3</v>
      </c>
      <c r="K990" s="17" t="s">
        <v>104</v>
      </c>
      <c r="L990" s="17" t="s">
        <v>21</v>
      </c>
      <c r="M990" s="17" t="s">
        <v>418</v>
      </c>
      <c r="N990" s="17">
        <v>472</v>
      </c>
      <c r="O990" s="17">
        <v>472</v>
      </c>
      <c r="P990" s="26">
        <f>(data[[#This Row],[LoadedMiles]]/data[[#This Row],[TotalMiles]])*100</f>
        <v>100</v>
      </c>
      <c r="Q990" s="25">
        <f>data[[#This Row],[ShippingCost]]/data[[#This Row],[TotalMiles]]</f>
        <v>17.050847457627118</v>
      </c>
      <c r="R990" s="17">
        <v>8048</v>
      </c>
      <c r="S990" s="25">
        <f>data[[#This Row],[Revenue]]/data[[#This Row],[TotalMiles]]</f>
        <v>12.953389830508474</v>
      </c>
      <c r="T990" s="26">
        <f>data[[#This Row],[Revenue]]-data[[#This Row],[ShippingCost]]</f>
        <v>-1934</v>
      </c>
      <c r="U990" s="17">
        <v>6114</v>
      </c>
      <c r="V990" s="17">
        <v>57</v>
      </c>
      <c r="W990" s="17" t="s">
        <v>25</v>
      </c>
      <c r="X990" s="17">
        <v>6</v>
      </c>
      <c r="Y990" s="17">
        <f>data[[#This Row],[DeliveryDate]]-data[[#This Row],[ShipDate]]</f>
        <v>3</v>
      </c>
      <c r="Z990" s="17" t="str">
        <f>IF(data[[#This Row],[Actual Delivery Days]]&gt;AD991,"Yes","No")</f>
        <v>Yes</v>
      </c>
    </row>
    <row r="991" spans="1:26">
      <c r="A991" s="17">
        <v>10776</v>
      </c>
      <c r="B991" s="17">
        <v>2</v>
      </c>
      <c r="C991" s="17">
        <v>8</v>
      </c>
      <c r="D991" s="17" t="s">
        <v>464</v>
      </c>
      <c r="E991" s="17" t="s">
        <v>153</v>
      </c>
      <c r="F991" s="17" t="str">
        <f>TEXT(data[[#This Row],[ShipDate]],"yyyy - mmmm")</f>
        <v>2016 - February</v>
      </c>
      <c r="G991" s="17" t="str">
        <f>data[[#This Row],[OriginCity]] &amp; " - "  &amp; data[[#This Row],[DestinationCity]]</f>
        <v>Springfield - Skokie</v>
      </c>
      <c r="H991" s="17" t="s">
        <v>30</v>
      </c>
      <c r="I991" s="17" t="s">
        <v>31</v>
      </c>
      <c r="J991" s="17">
        <v>3</v>
      </c>
      <c r="K991" s="17" t="s">
        <v>35</v>
      </c>
      <c r="L991" s="17" t="s">
        <v>31</v>
      </c>
      <c r="M991" s="17" t="s">
        <v>95</v>
      </c>
      <c r="N991" s="17">
        <v>555</v>
      </c>
      <c r="O991" s="17">
        <v>555</v>
      </c>
      <c r="P991" s="26">
        <f>(data[[#This Row],[LoadedMiles]]/data[[#This Row],[TotalMiles]])*100</f>
        <v>100</v>
      </c>
      <c r="Q991" s="25">
        <f>data[[#This Row],[ShippingCost]]/data[[#This Row],[TotalMiles]]</f>
        <v>8.9513513513513505</v>
      </c>
      <c r="R991" s="17">
        <v>4968</v>
      </c>
      <c r="S991" s="25">
        <f>data[[#This Row],[Revenue]]/data[[#This Row],[TotalMiles]]</f>
        <v>9.4180180180180173</v>
      </c>
      <c r="T991" s="26">
        <f>data[[#This Row],[Revenue]]-data[[#This Row],[ShippingCost]]</f>
        <v>259</v>
      </c>
      <c r="U991" s="17">
        <v>5227</v>
      </c>
      <c r="V991" s="17">
        <v>96</v>
      </c>
      <c r="W991" s="17" t="s">
        <v>25</v>
      </c>
      <c r="X991" s="17">
        <v>6</v>
      </c>
      <c r="Y991" s="17">
        <f>data[[#This Row],[DeliveryDate]]-data[[#This Row],[ShipDate]]</f>
        <v>3</v>
      </c>
      <c r="Z991" s="17" t="str">
        <f>IF(data[[#This Row],[Actual Delivery Days]]&gt;AD992,"Yes","No")</f>
        <v>Yes</v>
      </c>
    </row>
    <row r="992" spans="1:26">
      <c r="A992" s="17">
        <v>10785</v>
      </c>
      <c r="B992" s="17">
        <v>2</v>
      </c>
      <c r="C992" s="17">
        <v>6</v>
      </c>
      <c r="D992" s="17" t="s">
        <v>478</v>
      </c>
      <c r="E992" s="17" t="s">
        <v>84</v>
      </c>
      <c r="F992" s="17" t="str">
        <f>TEXT(data[[#This Row],[ShipDate]],"yyyy - mmmm")</f>
        <v>2016 - May</v>
      </c>
      <c r="G992" s="17" t="str">
        <f>data[[#This Row],[OriginCity]] &amp; " - "  &amp; data[[#This Row],[DestinationCity]]</f>
        <v>Naperville - Indianapolis</v>
      </c>
      <c r="H992" s="17" t="s">
        <v>48</v>
      </c>
      <c r="I992" s="17" t="s">
        <v>31</v>
      </c>
      <c r="J992" s="17">
        <v>3</v>
      </c>
      <c r="K992" s="17" t="s">
        <v>43</v>
      </c>
      <c r="L992" s="17" t="s">
        <v>44</v>
      </c>
      <c r="M992" s="17" t="s">
        <v>367</v>
      </c>
      <c r="N992" s="17">
        <v>938</v>
      </c>
      <c r="O992" s="17">
        <v>244</v>
      </c>
      <c r="P992" s="26">
        <f>(data[[#This Row],[LoadedMiles]]/data[[#This Row],[TotalMiles]])*100</f>
        <v>26.012793176972281</v>
      </c>
      <c r="Q992" s="25">
        <f>data[[#This Row],[ShippingCost]]/data[[#This Row],[TotalMiles]]</f>
        <v>4.794243070362473</v>
      </c>
      <c r="R992" s="17">
        <v>4497</v>
      </c>
      <c r="S992" s="25">
        <f>data[[#This Row],[Revenue]]/data[[#This Row],[TotalMiles]]</f>
        <v>5.2910447761194028</v>
      </c>
      <c r="T992" s="26">
        <f>data[[#This Row],[Revenue]]-data[[#This Row],[ShippingCost]]</f>
        <v>466</v>
      </c>
      <c r="U992" s="17">
        <v>4963</v>
      </c>
      <c r="V992" s="17">
        <v>96</v>
      </c>
      <c r="W992" s="17" t="s">
        <v>25</v>
      </c>
      <c r="X992" s="17">
        <v>5</v>
      </c>
      <c r="Y992" s="17">
        <f>data[[#This Row],[DeliveryDate]]-data[[#This Row],[ShipDate]]</f>
        <v>3</v>
      </c>
      <c r="Z992" s="17" t="str">
        <f>IF(data[[#This Row],[Actual Delivery Days]]&gt;AD993,"Yes","No")</f>
        <v>Yes</v>
      </c>
    </row>
    <row r="993" spans="1:26">
      <c r="A993" s="17">
        <v>10789</v>
      </c>
      <c r="B993" s="17">
        <v>2</v>
      </c>
      <c r="C993" s="17">
        <v>5</v>
      </c>
      <c r="D993" s="17" t="s">
        <v>483</v>
      </c>
      <c r="E993" s="17" t="s">
        <v>368</v>
      </c>
      <c r="F993" s="17" t="str">
        <f>TEXT(data[[#This Row],[ShipDate]],"yyyy - mmmm")</f>
        <v>2016 - May</v>
      </c>
      <c r="G993" s="17" t="str">
        <f>data[[#This Row],[OriginCity]] &amp; " - "  &amp; data[[#This Row],[DestinationCity]]</f>
        <v>Dayton - Elgin</v>
      </c>
      <c r="H993" s="17" t="s">
        <v>93</v>
      </c>
      <c r="I993" s="17" t="s">
        <v>23</v>
      </c>
      <c r="J993" s="17">
        <v>3</v>
      </c>
      <c r="K993" s="17" t="s">
        <v>94</v>
      </c>
      <c r="L993" s="17" t="s">
        <v>31</v>
      </c>
      <c r="M993" s="17" t="s">
        <v>616</v>
      </c>
      <c r="N993" s="17">
        <v>981</v>
      </c>
      <c r="O993" s="17">
        <v>644</v>
      </c>
      <c r="P993" s="26">
        <f>(data[[#This Row],[LoadedMiles]]/data[[#This Row],[TotalMiles]])*100</f>
        <v>65.647298674821613</v>
      </c>
      <c r="Q993" s="25">
        <f>data[[#This Row],[ShippingCost]]/data[[#This Row],[TotalMiles]]</f>
        <v>7.4852191641182468</v>
      </c>
      <c r="R993" s="17">
        <v>7343</v>
      </c>
      <c r="S993" s="25">
        <f>data[[#This Row],[Revenue]]/data[[#This Row],[TotalMiles]]</f>
        <v>8.2354740061162079</v>
      </c>
      <c r="T993" s="26">
        <f>data[[#This Row],[Revenue]]-data[[#This Row],[ShippingCost]]</f>
        <v>736</v>
      </c>
      <c r="U993" s="17">
        <v>8079</v>
      </c>
      <c r="V993" s="17">
        <v>99</v>
      </c>
      <c r="W993" s="17" t="s">
        <v>25</v>
      </c>
      <c r="X993" s="17">
        <v>5</v>
      </c>
      <c r="Y993" s="17">
        <f>data[[#This Row],[DeliveryDate]]-data[[#This Row],[ShipDate]]</f>
        <v>1</v>
      </c>
      <c r="Z993" s="17" t="str">
        <f>IF(data[[#This Row],[Actual Delivery Days]]&gt;AD994,"Yes","No")</f>
        <v>Yes</v>
      </c>
    </row>
    <row r="994" spans="1:26">
      <c r="A994" s="17">
        <v>10791</v>
      </c>
      <c r="B994" s="17">
        <v>1</v>
      </c>
      <c r="C994" s="17">
        <v>8</v>
      </c>
      <c r="D994" s="17" t="s">
        <v>485</v>
      </c>
      <c r="E994" s="17" t="s">
        <v>135</v>
      </c>
      <c r="F994" s="17" t="str">
        <f>TEXT(data[[#This Row],[ShipDate]],"yyyy - mmmm")</f>
        <v>2016 - June</v>
      </c>
      <c r="G994" s="17" t="str">
        <f>data[[#This Row],[OriginCity]] &amp; " - "  &amp; data[[#This Row],[DestinationCity]]</f>
        <v>Lansing - Dayton</v>
      </c>
      <c r="H994" s="17" t="s">
        <v>66</v>
      </c>
      <c r="I994" s="17" t="s">
        <v>21</v>
      </c>
      <c r="J994" s="17">
        <v>3</v>
      </c>
      <c r="K994" s="17" t="s">
        <v>93</v>
      </c>
      <c r="L994" s="17" t="s">
        <v>23</v>
      </c>
      <c r="M994" s="17" t="s">
        <v>315</v>
      </c>
      <c r="N994" s="17">
        <v>607</v>
      </c>
      <c r="O994" s="17">
        <v>305</v>
      </c>
      <c r="P994" s="26">
        <f>(data[[#This Row],[LoadedMiles]]/data[[#This Row],[TotalMiles]])*100</f>
        <v>50.247116968698514</v>
      </c>
      <c r="Q994" s="25">
        <f>data[[#This Row],[ShippingCost]]/data[[#This Row],[TotalMiles]]</f>
        <v>13.650741350906095</v>
      </c>
      <c r="R994" s="17">
        <v>8286</v>
      </c>
      <c r="S994" s="25">
        <f>data[[#This Row],[Revenue]]/data[[#This Row],[TotalMiles]]</f>
        <v>14.369028006589787</v>
      </c>
      <c r="T994" s="26">
        <f>data[[#This Row],[Revenue]]-data[[#This Row],[ShippingCost]]</f>
        <v>436</v>
      </c>
      <c r="U994" s="17">
        <v>8722</v>
      </c>
      <c r="V994" s="17">
        <v>76</v>
      </c>
      <c r="W994" s="17" t="s">
        <v>25</v>
      </c>
      <c r="X994" s="17">
        <v>4</v>
      </c>
      <c r="Y994" s="17">
        <f>data[[#This Row],[DeliveryDate]]-data[[#This Row],[ShipDate]]</f>
        <v>3</v>
      </c>
      <c r="Z994" s="17" t="str">
        <f>IF(data[[#This Row],[Actual Delivery Days]]&gt;AD995,"Yes","No")</f>
        <v>Yes</v>
      </c>
    </row>
    <row r="995" spans="1:26">
      <c r="A995" s="17">
        <v>10792</v>
      </c>
      <c r="B995" s="17">
        <v>2</v>
      </c>
      <c r="C995" s="17">
        <v>4</v>
      </c>
      <c r="D995" s="17" t="s">
        <v>487</v>
      </c>
      <c r="E995" s="17" t="s">
        <v>540</v>
      </c>
      <c r="F995" s="17" t="str">
        <f>TEXT(data[[#This Row],[ShipDate]],"yyyy - mmmm")</f>
        <v>2016 - July</v>
      </c>
      <c r="G995" s="17" t="str">
        <f>data[[#This Row],[OriginCity]] &amp; " - "  &amp; data[[#This Row],[DestinationCity]]</f>
        <v>Elgin - Cincinnati</v>
      </c>
      <c r="H995" s="17" t="s">
        <v>94</v>
      </c>
      <c r="I995" s="17" t="s">
        <v>31</v>
      </c>
      <c r="J995" s="17">
        <v>3</v>
      </c>
      <c r="K995" s="17" t="s">
        <v>89</v>
      </c>
      <c r="L995" s="17" t="s">
        <v>23</v>
      </c>
      <c r="M995" s="17" t="s">
        <v>155</v>
      </c>
      <c r="N995" s="17">
        <v>248</v>
      </c>
      <c r="O995" s="17">
        <v>248</v>
      </c>
      <c r="P995" s="26">
        <f>(data[[#This Row],[LoadedMiles]]/data[[#This Row],[TotalMiles]])*100</f>
        <v>100</v>
      </c>
      <c r="Q995" s="25">
        <f>data[[#This Row],[ShippingCost]]/data[[#This Row],[TotalMiles]]</f>
        <v>14.129032258064516</v>
      </c>
      <c r="R995" s="17">
        <v>3504</v>
      </c>
      <c r="S995" s="25">
        <f>data[[#This Row],[Revenue]]/data[[#This Row],[TotalMiles]]</f>
        <v>5.842741935483871</v>
      </c>
      <c r="T995" s="26">
        <f>data[[#This Row],[Revenue]]-data[[#This Row],[ShippingCost]]</f>
        <v>-2055</v>
      </c>
      <c r="U995" s="17">
        <v>1449</v>
      </c>
      <c r="V995" s="17">
        <v>79</v>
      </c>
      <c r="W995" s="17" t="s">
        <v>25</v>
      </c>
      <c r="X995" s="17">
        <v>8</v>
      </c>
      <c r="Y995" s="17">
        <f>data[[#This Row],[DeliveryDate]]-data[[#This Row],[ShipDate]]</f>
        <v>3</v>
      </c>
      <c r="Z995" s="17" t="str">
        <f>IF(data[[#This Row],[Actual Delivery Days]]&gt;AD996,"Yes","No")</f>
        <v>Yes</v>
      </c>
    </row>
    <row r="996" spans="1:26">
      <c r="A996" s="17">
        <v>10803</v>
      </c>
      <c r="B996" s="17">
        <v>2</v>
      </c>
      <c r="C996" s="17">
        <v>7</v>
      </c>
      <c r="D996" s="17" t="s">
        <v>502</v>
      </c>
      <c r="E996" s="17" t="s">
        <v>426</v>
      </c>
      <c r="F996" s="17" t="str">
        <f>TEXT(data[[#This Row],[ShipDate]],"yyyy - mmmm")</f>
        <v>2016 - July</v>
      </c>
      <c r="G996" s="17" t="str">
        <f>data[[#This Row],[OriginCity]] &amp; " - "  &amp; data[[#This Row],[DestinationCity]]</f>
        <v>Joliet - Madison</v>
      </c>
      <c r="H996" s="17" t="s">
        <v>61</v>
      </c>
      <c r="I996" s="17" t="s">
        <v>31</v>
      </c>
      <c r="J996" s="17">
        <v>3</v>
      </c>
      <c r="K996" s="17" t="s">
        <v>62</v>
      </c>
      <c r="L996" s="17" t="s">
        <v>29</v>
      </c>
      <c r="M996" s="17" t="s">
        <v>144</v>
      </c>
      <c r="N996" s="17">
        <v>565</v>
      </c>
      <c r="O996" s="17">
        <v>331</v>
      </c>
      <c r="P996" s="26">
        <f>(data[[#This Row],[LoadedMiles]]/data[[#This Row],[TotalMiles]])*100</f>
        <v>58.584070796460175</v>
      </c>
      <c r="Q996" s="25">
        <f>data[[#This Row],[ShippingCost]]/data[[#This Row],[TotalMiles]]</f>
        <v>13.325663716814159</v>
      </c>
      <c r="R996" s="17">
        <v>7529</v>
      </c>
      <c r="S996" s="25">
        <f>data[[#This Row],[Revenue]]/data[[#This Row],[TotalMiles]]</f>
        <v>14.067256637168141</v>
      </c>
      <c r="T996" s="26">
        <f>data[[#This Row],[Revenue]]-data[[#This Row],[ShippingCost]]</f>
        <v>419</v>
      </c>
      <c r="U996" s="17">
        <v>7948</v>
      </c>
      <c r="V996" s="17">
        <v>94</v>
      </c>
      <c r="W996" s="17" t="s">
        <v>25</v>
      </c>
      <c r="X996" s="17">
        <v>5</v>
      </c>
      <c r="Y996" s="17">
        <f>data[[#This Row],[DeliveryDate]]-data[[#This Row],[ShipDate]]</f>
        <v>3</v>
      </c>
      <c r="Z996" s="17" t="str">
        <f>IF(data[[#This Row],[Actual Delivery Days]]&gt;AD997,"Yes","No")</f>
        <v>Yes</v>
      </c>
    </row>
    <row r="997" spans="1:26">
      <c r="A997" s="17">
        <v>10806</v>
      </c>
      <c r="B997" s="17">
        <v>2</v>
      </c>
      <c r="C997" s="17">
        <v>5</v>
      </c>
      <c r="D997" s="17" t="s">
        <v>507</v>
      </c>
      <c r="E997" s="17" t="s">
        <v>121</v>
      </c>
      <c r="F997" s="17" t="str">
        <f>TEXT(data[[#This Row],[ShipDate]],"yyyy - mmmm")</f>
        <v>2016 - April</v>
      </c>
      <c r="G997" s="17" t="str">
        <f>data[[#This Row],[OriginCity]] &amp; " - "  &amp; data[[#This Row],[DestinationCity]]</f>
        <v>Rockford - Green Bay</v>
      </c>
      <c r="H997" s="17" t="s">
        <v>40</v>
      </c>
      <c r="I997" s="17" t="s">
        <v>31</v>
      </c>
      <c r="J997" s="17">
        <v>3</v>
      </c>
      <c r="K997" s="17" t="s">
        <v>75</v>
      </c>
      <c r="L997" s="17" t="s">
        <v>29</v>
      </c>
      <c r="M997" s="17" t="s">
        <v>54</v>
      </c>
      <c r="N997" s="17">
        <v>549</v>
      </c>
      <c r="O997" s="17">
        <v>474</v>
      </c>
      <c r="P997" s="26">
        <f>(data[[#This Row],[LoadedMiles]]/data[[#This Row],[TotalMiles]])*100</f>
        <v>86.338797814207652</v>
      </c>
      <c r="Q997" s="25">
        <f>data[[#This Row],[ShippingCost]]/data[[#This Row],[TotalMiles]]</f>
        <v>11.366120218579235</v>
      </c>
      <c r="R997" s="17">
        <v>6240</v>
      </c>
      <c r="S997" s="25">
        <f>data[[#This Row],[Revenue]]/data[[#This Row],[TotalMiles]]</f>
        <v>12.535519125683059</v>
      </c>
      <c r="T997" s="26">
        <f>data[[#This Row],[Revenue]]-data[[#This Row],[ShippingCost]]</f>
        <v>642</v>
      </c>
      <c r="U997" s="17">
        <v>6882</v>
      </c>
      <c r="V997" s="17">
        <v>58</v>
      </c>
      <c r="W997" s="17" t="s">
        <v>25</v>
      </c>
      <c r="X997" s="17">
        <v>5</v>
      </c>
      <c r="Y997" s="17">
        <f>data[[#This Row],[DeliveryDate]]-data[[#This Row],[ShipDate]]</f>
        <v>3</v>
      </c>
      <c r="Z997" s="17" t="str">
        <f>IF(data[[#This Row],[Actual Delivery Days]]&gt;AD998,"Yes","No")</f>
        <v>Yes</v>
      </c>
    </row>
    <row r="998" spans="1:26">
      <c r="A998" s="17">
        <v>10809</v>
      </c>
      <c r="B998" s="17">
        <v>1</v>
      </c>
      <c r="C998" s="17">
        <v>8</v>
      </c>
      <c r="D998" s="17" t="s">
        <v>511</v>
      </c>
      <c r="E998" s="17" t="s">
        <v>24</v>
      </c>
      <c r="F998" s="17" t="str">
        <f>TEXT(data[[#This Row],[ShipDate]],"yyyy - mmmm")</f>
        <v>2016 - July</v>
      </c>
      <c r="G998" s="17" t="str">
        <f>data[[#This Row],[OriginCity]] &amp; " - "  &amp; data[[#This Row],[DestinationCity]]</f>
        <v>Dayton - Elgin</v>
      </c>
      <c r="H998" s="17" t="s">
        <v>93</v>
      </c>
      <c r="I998" s="17" t="s">
        <v>23</v>
      </c>
      <c r="J998" s="17">
        <v>3</v>
      </c>
      <c r="K998" s="17" t="s">
        <v>94</v>
      </c>
      <c r="L998" s="17" t="s">
        <v>31</v>
      </c>
      <c r="M998" s="17" t="s">
        <v>191</v>
      </c>
      <c r="N998" s="17">
        <v>803</v>
      </c>
      <c r="O998" s="17">
        <v>443</v>
      </c>
      <c r="P998" s="26">
        <f>(data[[#This Row],[LoadedMiles]]/data[[#This Row],[TotalMiles]])*100</f>
        <v>55.168119551681194</v>
      </c>
      <c r="Q998" s="25">
        <f>data[[#This Row],[ShippingCost]]/data[[#This Row],[TotalMiles]]</f>
        <v>2.2926525529265254</v>
      </c>
      <c r="R998" s="17">
        <v>1841</v>
      </c>
      <c r="S998" s="25">
        <f>data[[#This Row],[Revenue]]/data[[#This Row],[TotalMiles]]</f>
        <v>3.0311332503113326</v>
      </c>
      <c r="T998" s="26">
        <f>data[[#This Row],[Revenue]]-data[[#This Row],[ShippingCost]]</f>
        <v>593</v>
      </c>
      <c r="U998" s="17">
        <v>2434</v>
      </c>
      <c r="V998" s="17">
        <v>87</v>
      </c>
      <c r="W998" s="17" t="s">
        <v>25</v>
      </c>
      <c r="X998" s="17">
        <v>2</v>
      </c>
      <c r="Y998" s="17">
        <f>data[[#This Row],[DeliveryDate]]-data[[#This Row],[ShipDate]]</f>
        <v>3</v>
      </c>
      <c r="Z998" s="17" t="str">
        <f>IF(data[[#This Row],[Actual Delivery Days]]&gt;AD999,"Yes","No")</f>
        <v>Yes</v>
      </c>
    </row>
    <row r="999" spans="1:26">
      <c r="A999" s="17">
        <v>10827</v>
      </c>
      <c r="B999" s="17">
        <v>1</v>
      </c>
      <c r="C999" s="17">
        <v>8</v>
      </c>
      <c r="D999" s="17" t="s">
        <v>538</v>
      </c>
      <c r="E999" s="17" t="s">
        <v>405</v>
      </c>
      <c r="F999" s="17" t="str">
        <f>TEXT(data[[#This Row],[ShipDate]],"yyyy - mmmm")</f>
        <v>2016 - August</v>
      </c>
      <c r="G999" s="17" t="str">
        <f>data[[#This Row],[OriginCity]] &amp; " - "  &amp; data[[#This Row],[DestinationCity]]</f>
        <v>Naperville - Indianapolis</v>
      </c>
      <c r="H999" s="17" t="s">
        <v>48</v>
      </c>
      <c r="I999" s="17" t="s">
        <v>31</v>
      </c>
      <c r="J999" s="17">
        <v>3</v>
      </c>
      <c r="K999" s="17" t="s">
        <v>43</v>
      </c>
      <c r="L999" s="17" t="s">
        <v>44</v>
      </c>
      <c r="M999" s="17" t="s">
        <v>141</v>
      </c>
      <c r="N999" s="17">
        <v>1187</v>
      </c>
      <c r="O999" s="17">
        <v>624</v>
      </c>
      <c r="P999" s="26">
        <f>(data[[#This Row],[LoadedMiles]]/data[[#This Row],[TotalMiles]])*100</f>
        <v>52.569502948609937</v>
      </c>
      <c r="Q999" s="25">
        <f>data[[#This Row],[ShippingCost]]/data[[#This Row],[TotalMiles]]</f>
        <v>0.55518112889637738</v>
      </c>
      <c r="R999" s="17">
        <v>659</v>
      </c>
      <c r="S999" s="25">
        <f>data[[#This Row],[Revenue]]/data[[#This Row],[TotalMiles]]</f>
        <v>0.91996630160067394</v>
      </c>
      <c r="T999" s="26">
        <f>data[[#This Row],[Revenue]]-data[[#This Row],[ShippingCost]]</f>
        <v>433</v>
      </c>
      <c r="U999" s="17">
        <v>1092</v>
      </c>
      <c r="V999" s="17">
        <v>55</v>
      </c>
      <c r="W999" s="17" t="s">
        <v>25</v>
      </c>
      <c r="X999" s="17">
        <v>4</v>
      </c>
      <c r="Y999" s="17">
        <f>data[[#This Row],[DeliveryDate]]-data[[#This Row],[ShipDate]]</f>
        <v>3</v>
      </c>
      <c r="Z999" s="17" t="str">
        <f>IF(data[[#This Row],[Actual Delivery Days]]&gt;AD1000,"Yes","No")</f>
        <v>Yes</v>
      </c>
    </row>
    <row r="1000" spans="1:26">
      <c r="A1000" s="17">
        <v>10829</v>
      </c>
      <c r="B1000" s="17">
        <v>2</v>
      </c>
      <c r="C1000" s="17">
        <v>8</v>
      </c>
      <c r="D1000" s="17" t="s">
        <v>541</v>
      </c>
      <c r="E1000" s="17" t="s">
        <v>285</v>
      </c>
      <c r="F1000" s="17" t="str">
        <f>TEXT(data[[#This Row],[ShipDate]],"yyyy - mmmm")</f>
        <v>2016 - May</v>
      </c>
      <c r="G1000" s="17" t="str">
        <f>data[[#This Row],[OriginCity]] &amp; " - "  &amp; data[[#This Row],[DestinationCity]]</f>
        <v>Appleton - Grand Rapids</v>
      </c>
      <c r="H1000" s="17" t="s">
        <v>85</v>
      </c>
      <c r="I1000" s="17" t="s">
        <v>29</v>
      </c>
      <c r="J1000" s="17">
        <v>3</v>
      </c>
      <c r="K1000" s="17" t="s">
        <v>20</v>
      </c>
      <c r="L1000" s="17" t="s">
        <v>21</v>
      </c>
      <c r="M1000" s="17" t="s">
        <v>286</v>
      </c>
      <c r="N1000" s="17">
        <v>959</v>
      </c>
      <c r="O1000" s="17">
        <v>638</v>
      </c>
      <c r="P1000" s="26">
        <f>(data[[#This Row],[LoadedMiles]]/data[[#This Row],[TotalMiles]])*100</f>
        <v>66.527632950990608</v>
      </c>
      <c r="Q1000" s="25">
        <f>data[[#This Row],[ShippingCost]]/data[[#This Row],[TotalMiles]]</f>
        <v>4.9499478623566215</v>
      </c>
      <c r="R1000" s="17">
        <v>4747</v>
      </c>
      <c r="S1000" s="25">
        <f>data[[#This Row],[Revenue]]/data[[#This Row],[TotalMiles]]</f>
        <v>5.0563086548488005</v>
      </c>
      <c r="T1000" s="26">
        <f>data[[#This Row],[Revenue]]-data[[#This Row],[ShippingCost]]</f>
        <v>102</v>
      </c>
      <c r="U1000" s="17">
        <v>4849</v>
      </c>
      <c r="V1000" s="17">
        <v>99</v>
      </c>
      <c r="W1000" s="17" t="s">
        <v>25</v>
      </c>
      <c r="X1000" s="17">
        <v>2</v>
      </c>
      <c r="Y1000" s="17">
        <f>data[[#This Row],[DeliveryDate]]-data[[#This Row],[ShipDate]]</f>
        <v>3</v>
      </c>
      <c r="Z1000" s="17" t="str">
        <f>IF(data[[#This Row],[Actual Delivery Days]]&gt;AD1001,"Yes","No")</f>
        <v>Yes</v>
      </c>
    </row>
    <row r="1001" spans="1:26">
      <c r="A1001" s="17">
        <v>10839</v>
      </c>
      <c r="B1001" s="17">
        <v>1</v>
      </c>
      <c r="C1001" s="17">
        <v>6</v>
      </c>
      <c r="D1001" s="17" t="s">
        <v>552</v>
      </c>
      <c r="E1001" s="17" t="s">
        <v>353</v>
      </c>
      <c r="F1001" s="17" t="str">
        <f>TEXT(data[[#This Row],[ShipDate]],"yyyy - mmmm")</f>
        <v>2016 - March</v>
      </c>
      <c r="G1001" s="17" t="str">
        <f>data[[#This Row],[OriginCity]] &amp; " - "  &amp; data[[#This Row],[DestinationCity]]</f>
        <v>Grand Rapids - Toledo</v>
      </c>
      <c r="H1001" s="17" t="s">
        <v>20</v>
      </c>
      <c r="I1001" s="17" t="s">
        <v>21</v>
      </c>
      <c r="J1001" s="17">
        <v>3</v>
      </c>
      <c r="K1001" s="17" t="s">
        <v>22</v>
      </c>
      <c r="L1001" s="17" t="s">
        <v>23</v>
      </c>
      <c r="M1001" s="17" t="s">
        <v>324</v>
      </c>
      <c r="N1001" s="17">
        <v>219</v>
      </c>
      <c r="O1001" s="17">
        <v>219</v>
      </c>
      <c r="P1001" s="26">
        <f>(data[[#This Row],[LoadedMiles]]/data[[#This Row],[TotalMiles]])*100</f>
        <v>100</v>
      </c>
      <c r="Q1001" s="25">
        <f>data[[#This Row],[ShippingCost]]/data[[#This Row],[TotalMiles]]</f>
        <v>2.2146118721461185</v>
      </c>
      <c r="R1001" s="17">
        <v>485</v>
      </c>
      <c r="S1001" s="25">
        <f>data[[#This Row],[Revenue]]/data[[#This Row],[TotalMiles]]</f>
        <v>3.2922374429223744</v>
      </c>
      <c r="T1001" s="26">
        <f>data[[#This Row],[Revenue]]-data[[#This Row],[ShippingCost]]</f>
        <v>236</v>
      </c>
      <c r="U1001" s="17">
        <v>721</v>
      </c>
      <c r="V1001" s="17">
        <v>86</v>
      </c>
      <c r="W1001" s="17" t="s">
        <v>25</v>
      </c>
      <c r="X1001" s="17">
        <v>4</v>
      </c>
      <c r="Y1001" s="17">
        <f>data[[#This Row],[DeliveryDate]]-data[[#This Row],[ShipDate]]</f>
        <v>3</v>
      </c>
      <c r="Z1001" s="17" t="str">
        <f>IF(data[[#This Row],[Actual Delivery Days]]&gt;AD1002,"Yes","No")</f>
        <v>Yes</v>
      </c>
    </row>
    <row r="1002" spans="1:26">
      <c r="A1002" s="17">
        <v>10843</v>
      </c>
      <c r="B1002" s="17">
        <v>1</v>
      </c>
      <c r="C1002" s="17">
        <v>7</v>
      </c>
      <c r="D1002" s="17" t="s">
        <v>557</v>
      </c>
      <c r="E1002" s="17" t="s">
        <v>119</v>
      </c>
      <c r="F1002" s="17" t="str">
        <f>TEXT(data[[#This Row],[ShipDate]],"yyyy - mmmm")</f>
        <v>2016 - August</v>
      </c>
      <c r="G1002" s="17" t="str">
        <f>data[[#This Row],[OriginCity]] &amp; " - "  &amp; data[[#This Row],[DestinationCity]]</f>
        <v>Indianapolis - Northbrook</v>
      </c>
      <c r="H1002" s="17" t="s">
        <v>43</v>
      </c>
      <c r="I1002" s="17" t="s">
        <v>44</v>
      </c>
      <c r="J1002" s="17">
        <v>3</v>
      </c>
      <c r="K1002" s="17" t="s">
        <v>45</v>
      </c>
      <c r="L1002" s="17" t="s">
        <v>31</v>
      </c>
      <c r="M1002" s="17" t="s">
        <v>119</v>
      </c>
      <c r="N1002" s="17">
        <v>523</v>
      </c>
      <c r="O1002" s="17">
        <v>523</v>
      </c>
      <c r="P1002" s="26">
        <f>(data[[#This Row],[LoadedMiles]]/data[[#This Row],[TotalMiles]])*100</f>
        <v>100</v>
      </c>
      <c r="Q1002" s="25">
        <f>data[[#This Row],[ShippingCost]]/data[[#This Row],[TotalMiles]]</f>
        <v>15.508604206500957</v>
      </c>
      <c r="R1002" s="17">
        <v>8111</v>
      </c>
      <c r="S1002" s="25">
        <f>data[[#This Row],[Revenue]]/data[[#This Row],[TotalMiles]]</f>
        <v>15.891013384321223</v>
      </c>
      <c r="T1002" s="26">
        <f>data[[#This Row],[Revenue]]-data[[#This Row],[ShippingCost]]</f>
        <v>200</v>
      </c>
      <c r="U1002" s="17">
        <v>8311</v>
      </c>
      <c r="V1002" s="17">
        <v>67</v>
      </c>
      <c r="W1002" s="17" t="s">
        <v>25</v>
      </c>
      <c r="X1002" s="17">
        <v>6</v>
      </c>
      <c r="Y1002" s="17">
        <f>data[[#This Row],[DeliveryDate]]-data[[#This Row],[ShipDate]]</f>
        <v>0</v>
      </c>
      <c r="Z1002" s="17" t="str">
        <f>IF(data[[#This Row],[Actual Delivery Days]]&gt;AD1003,"Yes","No")</f>
        <v>No</v>
      </c>
    </row>
    <row r="1003" spans="1:26">
      <c r="A1003" s="17">
        <v>10844</v>
      </c>
      <c r="B1003" s="17">
        <v>1</v>
      </c>
      <c r="C1003" s="17">
        <v>6</v>
      </c>
      <c r="D1003" s="17" t="s">
        <v>558</v>
      </c>
      <c r="E1003" s="17" t="s">
        <v>286</v>
      </c>
      <c r="F1003" s="17" t="str">
        <f>TEXT(data[[#This Row],[ShipDate]],"yyyy - mmmm")</f>
        <v>2016 - May</v>
      </c>
      <c r="G1003" s="17" t="str">
        <f>data[[#This Row],[OriginCity]] &amp; " - "  &amp; data[[#This Row],[DestinationCity]]</f>
        <v>Northbrook - Naperville</v>
      </c>
      <c r="H1003" s="17" t="s">
        <v>45</v>
      </c>
      <c r="I1003" s="17" t="s">
        <v>31</v>
      </c>
      <c r="J1003" s="17">
        <v>3</v>
      </c>
      <c r="K1003" s="17" t="s">
        <v>48</v>
      </c>
      <c r="L1003" s="17" t="s">
        <v>31</v>
      </c>
      <c r="M1003" s="17" t="s">
        <v>226</v>
      </c>
      <c r="N1003" s="17">
        <v>322</v>
      </c>
      <c r="O1003" s="17">
        <v>322</v>
      </c>
      <c r="P1003" s="26">
        <f>(data[[#This Row],[LoadedMiles]]/data[[#This Row],[TotalMiles]])*100</f>
        <v>100</v>
      </c>
      <c r="Q1003" s="25">
        <f>data[[#This Row],[ShippingCost]]/data[[#This Row],[TotalMiles]]</f>
        <v>24.040372670807454</v>
      </c>
      <c r="R1003" s="17">
        <v>7741</v>
      </c>
      <c r="S1003" s="25">
        <f>data[[#This Row],[Revenue]]/data[[#This Row],[TotalMiles]]</f>
        <v>25.450310559006212</v>
      </c>
      <c r="T1003" s="26">
        <f>data[[#This Row],[Revenue]]-data[[#This Row],[ShippingCost]]</f>
        <v>454</v>
      </c>
      <c r="U1003" s="17">
        <v>8195</v>
      </c>
      <c r="V1003" s="17">
        <v>53</v>
      </c>
      <c r="W1003" s="17" t="s">
        <v>25</v>
      </c>
      <c r="X1003" s="17">
        <v>9</v>
      </c>
      <c r="Y1003" s="17">
        <f>data[[#This Row],[DeliveryDate]]-data[[#This Row],[ShipDate]]</f>
        <v>3</v>
      </c>
      <c r="Z1003" s="17" t="str">
        <f>IF(data[[#This Row],[Actual Delivery Days]]&gt;AD1004,"Yes","No")</f>
        <v>Yes</v>
      </c>
    </row>
    <row r="1004" spans="1:26">
      <c r="A1004" s="17">
        <v>10878</v>
      </c>
      <c r="B1004" s="17">
        <v>1</v>
      </c>
      <c r="C1004" s="17">
        <v>2</v>
      </c>
      <c r="D1004" s="17" t="s">
        <v>599</v>
      </c>
      <c r="E1004" s="17" t="s">
        <v>274</v>
      </c>
      <c r="F1004" s="17" t="str">
        <f>TEXT(data[[#This Row],[ShipDate]],"yyyy - mmmm")</f>
        <v>2016 - March</v>
      </c>
      <c r="G1004" s="17" t="str">
        <f>data[[#This Row],[OriginCity]] &amp; " - "  &amp; data[[#This Row],[DestinationCity]]</f>
        <v>Toledo - Detriot</v>
      </c>
      <c r="H1004" s="17" t="s">
        <v>22</v>
      </c>
      <c r="I1004" s="17" t="s">
        <v>23</v>
      </c>
      <c r="J1004" s="17">
        <v>3</v>
      </c>
      <c r="K1004" s="17" t="s">
        <v>52</v>
      </c>
      <c r="L1004" s="17" t="s">
        <v>21</v>
      </c>
      <c r="M1004" s="17" t="s">
        <v>129</v>
      </c>
      <c r="N1004" s="17">
        <v>759</v>
      </c>
      <c r="O1004" s="17">
        <v>759</v>
      </c>
      <c r="P1004" s="26">
        <f>(data[[#This Row],[LoadedMiles]]/data[[#This Row],[TotalMiles]])*100</f>
        <v>100</v>
      </c>
      <c r="Q1004" s="25">
        <f>data[[#This Row],[ShippingCost]]/data[[#This Row],[TotalMiles]]</f>
        <v>0.42424242424242425</v>
      </c>
      <c r="R1004" s="17">
        <v>322</v>
      </c>
      <c r="S1004" s="25">
        <f>data[[#This Row],[Revenue]]/data[[#This Row],[TotalMiles]]</f>
        <v>1.0079051383399209</v>
      </c>
      <c r="T1004" s="26">
        <f>data[[#This Row],[Revenue]]-data[[#This Row],[ShippingCost]]</f>
        <v>443</v>
      </c>
      <c r="U1004" s="17">
        <v>765</v>
      </c>
      <c r="V1004" s="17">
        <v>53</v>
      </c>
      <c r="W1004" s="17" t="s">
        <v>25</v>
      </c>
      <c r="X1004" s="17">
        <v>8</v>
      </c>
      <c r="Y1004" s="17">
        <f>data[[#This Row],[DeliveryDate]]-data[[#This Row],[ShipDate]]</f>
        <v>3</v>
      </c>
      <c r="Z1004" s="17" t="str">
        <f>IF(data[[#This Row],[Actual Delivery Days]]&gt;AD1005,"Yes","No")</f>
        <v>Yes</v>
      </c>
    </row>
    <row r="1005" spans="1:26">
      <c r="A1005" s="17">
        <v>10884</v>
      </c>
      <c r="B1005" s="17">
        <v>1</v>
      </c>
      <c r="C1005" s="17">
        <v>4</v>
      </c>
      <c r="D1005" s="17" t="s">
        <v>605</v>
      </c>
      <c r="E1005" s="17" t="s">
        <v>309</v>
      </c>
      <c r="F1005" s="17" t="str">
        <f>TEXT(data[[#This Row],[ShipDate]],"yyyy - mmmm")</f>
        <v>2016 - February</v>
      </c>
      <c r="G1005" s="17" t="str">
        <f>data[[#This Row],[OriginCity]] &amp; " - "  &amp; data[[#This Row],[DestinationCity]]</f>
        <v>Davenport - Appleton</v>
      </c>
      <c r="H1005" s="17" t="s">
        <v>105</v>
      </c>
      <c r="I1005" s="17" t="s">
        <v>106</v>
      </c>
      <c r="J1005" s="17">
        <v>3</v>
      </c>
      <c r="K1005" s="17" t="s">
        <v>85</v>
      </c>
      <c r="L1005" s="17" t="s">
        <v>29</v>
      </c>
      <c r="M1005" s="17" t="s">
        <v>164</v>
      </c>
      <c r="N1005" s="17">
        <v>470</v>
      </c>
      <c r="O1005" s="17">
        <v>470</v>
      </c>
      <c r="P1005" s="26">
        <f>(data[[#This Row],[LoadedMiles]]/data[[#This Row],[TotalMiles]])*100</f>
        <v>100</v>
      </c>
      <c r="Q1005" s="25">
        <f>data[[#This Row],[ShippingCost]]/data[[#This Row],[TotalMiles]]</f>
        <v>7.2574468085106387</v>
      </c>
      <c r="R1005" s="17">
        <v>3411</v>
      </c>
      <c r="S1005" s="25">
        <f>data[[#This Row],[Revenue]]/data[[#This Row],[TotalMiles]]</f>
        <v>2.3361702127659574</v>
      </c>
      <c r="T1005" s="26">
        <f>data[[#This Row],[Revenue]]-data[[#This Row],[ShippingCost]]</f>
        <v>-2313</v>
      </c>
      <c r="U1005" s="17">
        <v>1098</v>
      </c>
      <c r="V1005" s="17">
        <v>51</v>
      </c>
      <c r="W1005" s="17" t="s">
        <v>25</v>
      </c>
      <c r="X1005" s="17">
        <v>5</v>
      </c>
      <c r="Y1005" s="17">
        <f>data[[#This Row],[DeliveryDate]]-data[[#This Row],[ShipDate]]</f>
        <v>3</v>
      </c>
      <c r="Z1005" s="17" t="str">
        <f>IF(data[[#This Row],[Actual Delivery Days]]&gt;AD1006,"Yes","No")</f>
        <v>Yes</v>
      </c>
    </row>
    <row r="1006" spans="1:26">
      <c r="A1006" s="17">
        <v>10887</v>
      </c>
      <c r="B1006" s="17">
        <v>1</v>
      </c>
      <c r="C1006" s="17">
        <v>1</v>
      </c>
      <c r="D1006" s="17" t="s">
        <v>33</v>
      </c>
      <c r="E1006" s="17" t="s">
        <v>253</v>
      </c>
      <c r="F1006" s="17" t="str">
        <f>TEXT(data[[#This Row],[ShipDate]],"yyyy - mmmm")</f>
        <v>2016 - April</v>
      </c>
      <c r="G1006" s="17" t="str">
        <f>data[[#This Row],[OriginCity]] &amp; " - "  &amp; data[[#This Row],[DestinationCity]]</f>
        <v>Springfield - Skokie</v>
      </c>
      <c r="H1006" s="17" t="s">
        <v>30</v>
      </c>
      <c r="I1006" s="17" t="s">
        <v>31</v>
      </c>
      <c r="J1006" s="17">
        <v>3</v>
      </c>
      <c r="K1006" s="17" t="s">
        <v>35</v>
      </c>
      <c r="L1006" s="17" t="s">
        <v>31</v>
      </c>
      <c r="M1006" s="17" t="s">
        <v>121</v>
      </c>
      <c r="N1006" s="17">
        <v>565</v>
      </c>
      <c r="O1006" s="17">
        <v>205</v>
      </c>
      <c r="P1006" s="26">
        <f>(data[[#This Row],[LoadedMiles]]/data[[#This Row],[TotalMiles]])*100</f>
        <v>36.283185840707965</v>
      </c>
      <c r="Q1006" s="25">
        <f>data[[#This Row],[ShippingCost]]/data[[#This Row],[TotalMiles]]</f>
        <v>1.5079646017699115</v>
      </c>
      <c r="R1006" s="17">
        <v>852</v>
      </c>
      <c r="S1006" s="25">
        <f>data[[#This Row],[Revenue]]/data[[#This Row],[TotalMiles]]</f>
        <v>10.292035398230089</v>
      </c>
      <c r="T1006" s="26">
        <f>data[[#This Row],[Revenue]]-data[[#This Row],[ShippingCost]]</f>
        <v>4963</v>
      </c>
      <c r="U1006" s="17">
        <v>5815</v>
      </c>
      <c r="V1006" s="17">
        <v>98</v>
      </c>
      <c r="W1006" s="17" t="s">
        <v>25</v>
      </c>
      <c r="X1006" s="17">
        <v>7</v>
      </c>
      <c r="Y1006" s="17">
        <f>data[[#This Row],[DeliveryDate]]-data[[#This Row],[ShipDate]]</f>
        <v>3</v>
      </c>
      <c r="Z1006" s="17" t="str">
        <f>IF(data[[#This Row],[Actual Delivery Days]]&gt;AD1007,"Yes","No")</f>
        <v>Yes</v>
      </c>
    </row>
    <row r="1007" spans="1:26">
      <c r="A1007" s="17">
        <v>10896</v>
      </c>
      <c r="B1007" s="17">
        <v>2</v>
      </c>
      <c r="C1007" s="17">
        <v>2</v>
      </c>
      <c r="D1007" s="17" t="s">
        <v>77</v>
      </c>
      <c r="E1007" s="17" t="s">
        <v>430</v>
      </c>
      <c r="F1007" s="17" t="str">
        <f>TEXT(data[[#This Row],[ShipDate]],"yyyy - mmmm")</f>
        <v>2016 - March</v>
      </c>
      <c r="G1007" s="17" t="str">
        <f>data[[#This Row],[OriginCity]] &amp; " - "  &amp; data[[#This Row],[DestinationCity]]</f>
        <v>Naperville - Indianapolis</v>
      </c>
      <c r="H1007" s="17" t="s">
        <v>48</v>
      </c>
      <c r="I1007" s="17" t="s">
        <v>31</v>
      </c>
      <c r="J1007" s="17">
        <v>3</v>
      </c>
      <c r="K1007" s="17" t="s">
        <v>43</v>
      </c>
      <c r="L1007" s="17" t="s">
        <v>44</v>
      </c>
      <c r="M1007" s="17" t="s">
        <v>453</v>
      </c>
      <c r="N1007" s="17">
        <v>763</v>
      </c>
      <c r="O1007" s="17">
        <v>655</v>
      </c>
      <c r="P1007" s="26">
        <f>(data[[#This Row],[LoadedMiles]]/data[[#This Row],[TotalMiles]])*100</f>
        <v>85.845347313237212</v>
      </c>
      <c r="Q1007" s="25">
        <f>data[[#This Row],[ShippingCost]]/data[[#This Row],[TotalMiles]]</f>
        <v>1.1585845347313237</v>
      </c>
      <c r="R1007" s="17">
        <v>884</v>
      </c>
      <c r="S1007" s="25">
        <f>data[[#This Row],[Revenue]]/data[[#This Row],[TotalMiles]]</f>
        <v>1.7588466579292268</v>
      </c>
      <c r="T1007" s="26">
        <f>data[[#This Row],[Revenue]]-data[[#This Row],[ShippingCost]]</f>
        <v>458</v>
      </c>
      <c r="U1007" s="17">
        <v>1342</v>
      </c>
      <c r="V1007" s="17">
        <v>57</v>
      </c>
      <c r="W1007" s="17" t="s">
        <v>25</v>
      </c>
      <c r="X1007" s="17">
        <v>1</v>
      </c>
      <c r="Y1007" s="17">
        <f>data[[#This Row],[DeliveryDate]]-data[[#This Row],[ShipDate]]</f>
        <v>3</v>
      </c>
      <c r="Z1007" s="17" t="str">
        <f>IF(data[[#This Row],[Actual Delivery Days]]&gt;AD1008,"Yes","No")</f>
        <v>Yes</v>
      </c>
    </row>
    <row r="1008" spans="1:26">
      <c r="A1008" s="17">
        <v>10903</v>
      </c>
      <c r="B1008" s="17">
        <v>2</v>
      </c>
      <c r="C1008" s="17">
        <v>2</v>
      </c>
      <c r="D1008" s="17" t="s">
        <v>102</v>
      </c>
      <c r="E1008" s="17" t="s">
        <v>147</v>
      </c>
      <c r="F1008" s="17" t="str">
        <f>TEXT(data[[#This Row],[ShipDate]],"yyyy - mmmm")</f>
        <v>2016 - June</v>
      </c>
      <c r="G1008" s="17" t="str">
        <f>data[[#This Row],[OriginCity]] &amp; " - "  &amp; data[[#This Row],[DestinationCity]]</f>
        <v>Bangor - Davenport</v>
      </c>
      <c r="H1008" s="17" t="s">
        <v>104</v>
      </c>
      <c r="I1008" s="17" t="s">
        <v>21</v>
      </c>
      <c r="J1008" s="17">
        <v>3</v>
      </c>
      <c r="K1008" s="17" t="s">
        <v>105</v>
      </c>
      <c r="L1008" s="17" t="s">
        <v>106</v>
      </c>
      <c r="M1008" s="17" t="s">
        <v>78</v>
      </c>
      <c r="N1008" s="17">
        <v>707</v>
      </c>
      <c r="O1008" s="17">
        <v>423</v>
      </c>
      <c r="P1008" s="26">
        <f>(data[[#This Row],[LoadedMiles]]/data[[#This Row],[TotalMiles]])*100</f>
        <v>59.830268741159834</v>
      </c>
      <c r="Q1008" s="25">
        <f>data[[#This Row],[ShippingCost]]/data[[#This Row],[TotalMiles]]</f>
        <v>7.3748231966053748</v>
      </c>
      <c r="R1008" s="17">
        <v>5214</v>
      </c>
      <c r="S1008" s="25">
        <f>data[[#This Row],[Revenue]]/data[[#This Row],[TotalMiles]]</f>
        <v>7.6166902404526171</v>
      </c>
      <c r="T1008" s="26">
        <f>data[[#This Row],[Revenue]]-data[[#This Row],[ShippingCost]]</f>
        <v>171</v>
      </c>
      <c r="U1008" s="17">
        <v>5385</v>
      </c>
      <c r="V1008" s="17">
        <v>99</v>
      </c>
      <c r="W1008" s="17" t="s">
        <v>25</v>
      </c>
      <c r="X1008" s="17">
        <v>5</v>
      </c>
      <c r="Y1008" s="17">
        <f>data[[#This Row],[DeliveryDate]]-data[[#This Row],[ShipDate]]</f>
        <v>3</v>
      </c>
      <c r="Z1008" s="17" t="str">
        <f>IF(data[[#This Row],[Actual Delivery Days]]&gt;AD1009,"Yes","No")</f>
        <v>Yes</v>
      </c>
    </row>
    <row r="1009" spans="1:26">
      <c r="A1009" s="17">
        <v>10904</v>
      </c>
      <c r="B1009" s="17">
        <v>2</v>
      </c>
      <c r="C1009" s="17">
        <v>2</v>
      </c>
      <c r="D1009" s="17" t="s">
        <v>107</v>
      </c>
      <c r="E1009" s="17" t="s">
        <v>620</v>
      </c>
      <c r="F1009" s="17" t="str">
        <f>TEXT(data[[#This Row],[ShipDate]],"yyyy - mmmm")</f>
        <v>2016 - April</v>
      </c>
      <c r="G1009" s="17" t="str">
        <f>data[[#This Row],[OriginCity]] &amp; " - "  &amp; data[[#This Row],[DestinationCity]]</f>
        <v>Elgin - Cincinnati</v>
      </c>
      <c r="H1009" s="17" t="s">
        <v>94</v>
      </c>
      <c r="I1009" s="17" t="s">
        <v>31</v>
      </c>
      <c r="J1009" s="17">
        <v>3</v>
      </c>
      <c r="K1009" s="17" t="s">
        <v>89</v>
      </c>
      <c r="L1009" s="17" t="s">
        <v>23</v>
      </c>
      <c r="M1009" s="17" t="s">
        <v>158</v>
      </c>
      <c r="N1009" s="17">
        <v>763</v>
      </c>
      <c r="O1009" s="17">
        <v>713</v>
      </c>
      <c r="P1009" s="26">
        <f>(data[[#This Row],[LoadedMiles]]/data[[#This Row],[TotalMiles]])*100</f>
        <v>93.446920052424645</v>
      </c>
      <c r="Q1009" s="25">
        <f>data[[#This Row],[ShippingCost]]/data[[#This Row],[TotalMiles]]</f>
        <v>9.8296199213630402</v>
      </c>
      <c r="R1009" s="17">
        <v>7500</v>
      </c>
      <c r="S1009" s="25">
        <f>data[[#This Row],[Revenue]]/data[[#This Row],[TotalMiles]]</f>
        <v>10.323722149410223</v>
      </c>
      <c r="T1009" s="26">
        <f>data[[#This Row],[Revenue]]-data[[#This Row],[ShippingCost]]</f>
        <v>377</v>
      </c>
      <c r="U1009" s="17">
        <v>7877</v>
      </c>
      <c r="V1009" s="17">
        <v>62</v>
      </c>
      <c r="W1009" s="17" t="s">
        <v>25</v>
      </c>
      <c r="X1009" s="17">
        <v>5</v>
      </c>
      <c r="Y1009" s="17">
        <f>data[[#This Row],[DeliveryDate]]-data[[#This Row],[ShipDate]]</f>
        <v>3</v>
      </c>
      <c r="Z1009" s="17" t="str">
        <f>IF(data[[#This Row],[Actual Delivery Days]]&gt;AD1010,"Yes","No")</f>
        <v>Yes</v>
      </c>
    </row>
    <row r="1010" spans="1:26">
      <c r="A1010" s="17">
        <v>10905</v>
      </c>
      <c r="B1010" s="17">
        <v>1</v>
      </c>
      <c r="C1010" s="17">
        <v>2</v>
      </c>
      <c r="D1010" s="17" t="s">
        <v>110</v>
      </c>
      <c r="E1010" s="17" t="s">
        <v>156</v>
      </c>
      <c r="F1010" s="17" t="str">
        <f>TEXT(data[[#This Row],[ShipDate]],"yyyy - mmmm")</f>
        <v>2016 - July</v>
      </c>
      <c r="G1010" s="17" t="str">
        <f>data[[#This Row],[OriginCity]] &amp; " - "  &amp; data[[#This Row],[DestinationCity]]</f>
        <v>Skokie - Chicago</v>
      </c>
      <c r="H1010" s="17" t="s">
        <v>35</v>
      </c>
      <c r="I1010" s="17" t="s">
        <v>31</v>
      </c>
      <c r="J1010" s="17">
        <v>3</v>
      </c>
      <c r="K1010" s="17" t="s">
        <v>39</v>
      </c>
      <c r="L1010" s="17" t="s">
        <v>31</v>
      </c>
      <c r="M1010" s="17" t="s">
        <v>467</v>
      </c>
      <c r="N1010" s="17">
        <v>411</v>
      </c>
      <c r="O1010" s="17">
        <v>411</v>
      </c>
      <c r="P1010" s="26">
        <f>(data[[#This Row],[LoadedMiles]]/data[[#This Row],[TotalMiles]])*100</f>
        <v>100</v>
      </c>
      <c r="Q1010" s="25">
        <f>data[[#This Row],[ShippingCost]]/data[[#This Row],[TotalMiles]]</f>
        <v>5.1362530413625302</v>
      </c>
      <c r="R1010" s="17">
        <v>2111</v>
      </c>
      <c r="S1010" s="25">
        <f>data[[#This Row],[Revenue]]/data[[#This Row],[TotalMiles]]</f>
        <v>6.0340632603406323</v>
      </c>
      <c r="T1010" s="26">
        <f>data[[#This Row],[Revenue]]-data[[#This Row],[ShippingCost]]</f>
        <v>369</v>
      </c>
      <c r="U1010" s="17">
        <v>2480</v>
      </c>
      <c r="V1010" s="17">
        <v>91</v>
      </c>
      <c r="W1010" s="17" t="s">
        <v>25</v>
      </c>
      <c r="X1010" s="17">
        <v>4</v>
      </c>
      <c r="Y1010" s="17">
        <f>data[[#This Row],[DeliveryDate]]-data[[#This Row],[ShipDate]]</f>
        <v>3</v>
      </c>
      <c r="Z1010" s="17" t="str">
        <f>IF(data[[#This Row],[Actual Delivery Days]]&gt;AD1011,"Yes","No")</f>
        <v>Yes</v>
      </c>
    </row>
    <row r="1011" spans="1:26">
      <c r="A1011" s="17">
        <v>10934</v>
      </c>
      <c r="B1011" s="17">
        <v>2</v>
      </c>
      <c r="C1011" s="17">
        <v>2</v>
      </c>
      <c r="D1011" s="17" t="s">
        <v>192</v>
      </c>
      <c r="E1011" s="17" t="s">
        <v>118</v>
      </c>
      <c r="F1011" s="17" t="str">
        <f>TEXT(data[[#This Row],[ShipDate]],"yyyy - mmmm")</f>
        <v>2016 - August</v>
      </c>
      <c r="G1011" s="17" t="str">
        <f>data[[#This Row],[OriginCity]] &amp; " - "  &amp; data[[#This Row],[DestinationCity]]</f>
        <v>Northbrook - Naperville</v>
      </c>
      <c r="H1011" s="17" t="s">
        <v>45</v>
      </c>
      <c r="I1011" s="17" t="s">
        <v>31</v>
      </c>
      <c r="J1011" s="17">
        <v>3</v>
      </c>
      <c r="K1011" s="17" t="s">
        <v>48</v>
      </c>
      <c r="L1011" s="17" t="s">
        <v>31</v>
      </c>
      <c r="M1011" s="17" t="s">
        <v>38</v>
      </c>
      <c r="N1011" s="17">
        <v>420</v>
      </c>
      <c r="O1011" s="17">
        <v>420</v>
      </c>
      <c r="P1011" s="26">
        <f>(data[[#This Row],[LoadedMiles]]/data[[#This Row],[TotalMiles]])*100</f>
        <v>100</v>
      </c>
      <c r="Q1011" s="25">
        <f>data[[#This Row],[ShippingCost]]/data[[#This Row],[TotalMiles]]</f>
        <v>9.0880952380952387</v>
      </c>
      <c r="R1011" s="17">
        <v>3817</v>
      </c>
      <c r="S1011" s="25">
        <f>data[[#This Row],[Revenue]]/data[[#This Row],[TotalMiles]]</f>
        <v>10.264285714285714</v>
      </c>
      <c r="T1011" s="26">
        <f>data[[#This Row],[Revenue]]-data[[#This Row],[ShippingCost]]</f>
        <v>494</v>
      </c>
      <c r="U1011" s="17">
        <v>4311</v>
      </c>
      <c r="V1011" s="17">
        <v>51</v>
      </c>
      <c r="W1011" s="17" t="s">
        <v>25</v>
      </c>
      <c r="X1011" s="17">
        <v>5</v>
      </c>
      <c r="Y1011" s="17">
        <f>data[[#This Row],[DeliveryDate]]-data[[#This Row],[ShipDate]]</f>
        <v>3</v>
      </c>
      <c r="Z1011" s="17" t="str">
        <f>IF(data[[#This Row],[Actual Delivery Days]]&gt;AD1012,"Yes","No")</f>
        <v>Yes</v>
      </c>
    </row>
    <row r="1012" spans="1:26">
      <c r="A1012" s="17">
        <v>10940</v>
      </c>
      <c r="B1012" s="17">
        <v>2</v>
      </c>
      <c r="C1012" s="17">
        <v>3</v>
      </c>
      <c r="D1012" s="17" t="s">
        <v>205</v>
      </c>
      <c r="E1012" s="17" t="s">
        <v>623</v>
      </c>
      <c r="F1012" s="17" t="str">
        <f>TEXT(data[[#This Row],[ShipDate]],"yyyy - mmmm")</f>
        <v>2016 - April</v>
      </c>
      <c r="G1012" s="17" t="str">
        <f>data[[#This Row],[OriginCity]] &amp; " - "  &amp; data[[#This Row],[DestinationCity]]</f>
        <v>Green Bay - Joliet</v>
      </c>
      <c r="H1012" s="17" t="s">
        <v>75</v>
      </c>
      <c r="I1012" s="17" t="s">
        <v>29</v>
      </c>
      <c r="J1012" s="17">
        <v>3</v>
      </c>
      <c r="K1012" s="17" t="s">
        <v>61</v>
      </c>
      <c r="L1012" s="17" t="s">
        <v>31</v>
      </c>
      <c r="M1012" s="17" t="s">
        <v>222</v>
      </c>
      <c r="N1012" s="17">
        <v>318</v>
      </c>
      <c r="O1012" s="17">
        <v>318</v>
      </c>
      <c r="P1012" s="26">
        <f>(data[[#This Row],[LoadedMiles]]/data[[#This Row],[TotalMiles]])*100</f>
        <v>100</v>
      </c>
      <c r="Q1012" s="25">
        <f>data[[#This Row],[ShippingCost]]/data[[#This Row],[TotalMiles]]</f>
        <v>5.8459119496855347</v>
      </c>
      <c r="R1012" s="17">
        <v>1859</v>
      </c>
      <c r="S1012" s="25">
        <f>data[[#This Row],[Revenue]]/data[[#This Row],[TotalMiles]]</f>
        <v>7.0157232704402519</v>
      </c>
      <c r="T1012" s="26">
        <f>data[[#This Row],[Revenue]]-data[[#This Row],[ShippingCost]]</f>
        <v>372</v>
      </c>
      <c r="U1012" s="17">
        <v>2231</v>
      </c>
      <c r="V1012" s="17">
        <v>90</v>
      </c>
      <c r="W1012" s="17" t="s">
        <v>25</v>
      </c>
      <c r="X1012" s="17">
        <v>7</v>
      </c>
      <c r="Y1012" s="17">
        <f>data[[#This Row],[DeliveryDate]]-data[[#This Row],[ShipDate]]</f>
        <v>3</v>
      </c>
      <c r="Z1012" s="17" t="str">
        <f>IF(data[[#This Row],[Actual Delivery Days]]&gt;AD1013,"Yes","No")</f>
        <v>Yes</v>
      </c>
    </row>
    <row r="1013" spans="1:26">
      <c r="A1013" s="17">
        <v>10944</v>
      </c>
      <c r="B1013" s="17">
        <v>3</v>
      </c>
      <c r="C1013" s="17">
        <v>6</v>
      </c>
      <c r="D1013" s="17" t="s">
        <v>217</v>
      </c>
      <c r="E1013" s="17" t="s">
        <v>318</v>
      </c>
      <c r="F1013" s="17" t="str">
        <f>TEXT(data[[#This Row],[ShipDate]],"yyyy - mmmm")</f>
        <v>2016 - June</v>
      </c>
      <c r="G1013" s="17" t="str">
        <f>data[[#This Row],[OriginCity]] &amp; " - "  &amp; data[[#This Row],[DestinationCity]]</f>
        <v>Dayton - Elgin</v>
      </c>
      <c r="H1013" s="17" t="s">
        <v>93</v>
      </c>
      <c r="I1013" s="17" t="s">
        <v>23</v>
      </c>
      <c r="J1013" s="17">
        <v>3</v>
      </c>
      <c r="K1013" s="17" t="s">
        <v>94</v>
      </c>
      <c r="L1013" s="17" t="s">
        <v>31</v>
      </c>
      <c r="M1013" s="17" t="s">
        <v>318</v>
      </c>
      <c r="N1013" s="17">
        <v>588</v>
      </c>
      <c r="O1013" s="17">
        <v>307</v>
      </c>
      <c r="P1013" s="26">
        <f>(data[[#This Row],[LoadedMiles]]/data[[#This Row],[TotalMiles]])*100</f>
        <v>52.210884353741491</v>
      </c>
      <c r="Q1013" s="25">
        <f>data[[#This Row],[ShippingCost]]/data[[#This Row],[TotalMiles]]</f>
        <v>10.13265306122449</v>
      </c>
      <c r="R1013" s="17">
        <v>5958</v>
      </c>
      <c r="S1013" s="25">
        <f>data[[#This Row],[Revenue]]/data[[#This Row],[TotalMiles]]</f>
        <v>11.481292517006803</v>
      </c>
      <c r="T1013" s="26">
        <f>data[[#This Row],[Revenue]]-data[[#This Row],[ShippingCost]]</f>
        <v>793</v>
      </c>
      <c r="U1013" s="17">
        <v>6751</v>
      </c>
      <c r="V1013" s="17">
        <v>52</v>
      </c>
      <c r="W1013" s="17" t="s">
        <v>25</v>
      </c>
      <c r="X1013" s="17">
        <v>3</v>
      </c>
      <c r="Y1013" s="17">
        <f>data[[#This Row],[DeliveryDate]]-data[[#This Row],[ShipDate]]</f>
        <v>0</v>
      </c>
      <c r="Z1013" s="17" t="str">
        <f>IF(data[[#This Row],[Actual Delivery Days]]&gt;AD1014,"Yes","No")</f>
        <v>No</v>
      </c>
    </row>
    <row r="1014" spans="1:26">
      <c r="A1014" s="17">
        <v>10960</v>
      </c>
      <c r="B1014" s="17">
        <v>3</v>
      </c>
      <c r="C1014" s="17">
        <v>3</v>
      </c>
      <c r="D1014" s="17" t="s">
        <v>258</v>
      </c>
      <c r="E1014" s="17" t="s">
        <v>88</v>
      </c>
      <c r="F1014" s="17" t="str">
        <f>TEXT(data[[#This Row],[ShipDate]],"yyyy - mmmm")</f>
        <v>2016 - February</v>
      </c>
      <c r="G1014" s="17" t="str">
        <f>data[[#This Row],[OriginCity]] &amp; " - "  &amp; data[[#This Row],[DestinationCity]]</f>
        <v>Naperville - Indianapolis</v>
      </c>
      <c r="H1014" s="17" t="s">
        <v>48</v>
      </c>
      <c r="I1014" s="17" t="s">
        <v>31</v>
      </c>
      <c r="J1014" s="17">
        <v>3</v>
      </c>
      <c r="K1014" s="17" t="s">
        <v>43</v>
      </c>
      <c r="L1014" s="17" t="s">
        <v>44</v>
      </c>
      <c r="M1014" s="17" t="s">
        <v>202</v>
      </c>
      <c r="N1014" s="17">
        <v>1050</v>
      </c>
      <c r="O1014" s="17">
        <v>680</v>
      </c>
      <c r="P1014" s="26">
        <f>(data[[#This Row],[LoadedMiles]]/data[[#This Row],[TotalMiles]])*100</f>
        <v>64.761904761904759</v>
      </c>
      <c r="Q1014" s="25">
        <f>data[[#This Row],[ShippingCost]]/data[[#This Row],[TotalMiles]]</f>
        <v>3.4580952380952379</v>
      </c>
      <c r="R1014" s="17">
        <v>3631</v>
      </c>
      <c r="S1014" s="25">
        <f>data[[#This Row],[Revenue]]/data[[#This Row],[TotalMiles]]</f>
        <v>3.78</v>
      </c>
      <c r="T1014" s="26">
        <f>data[[#This Row],[Revenue]]-data[[#This Row],[ShippingCost]]</f>
        <v>338</v>
      </c>
      <c r="U1014" s="17">
        <v>3969</v>
      </c>
      <c r="V1014" s="17">
        <v>99</v>
      </c>
      <c r="W1014" s="17" t="s">
        <v>25</v>
      </c>
      <c r="X1014" s="17">
        <v>10</v>
      </c>
      <c r="Y1014" s="17">
        <f>data[[#This Row],[DeliveryDate]]-data[[#This Row],[ShipDate]]</f>
        <v>2</v>
      </c>
      <c r="Z1014" s="17" t="str">
        <f>IF(data[[#This Row],[Actual Delivery Days]]&gt;AD1015,"Yes","No")</f>
        <v>Yes</v>
      </c>
    </row>
    <row r="1015" spans="1:26">
      <c r="A1015" s="17">
        <v>10967</v>
      </c>
      <c r="B1015" s="17">
        <v>3</v>
      </c>
      <c r="C1015" s="17">
        <v>2</v>
      </c>
      <c r="D1015" s="17" t="s">
        <v>275</v>
      </c>
      <c r="E1015" s="17" t="s">
        <v>344</v>
      </c>
      <c r="F1015" s="17" t="str">
        <f>TEXT(data[[#This Row],[ShipDate]],"yyyy - mmmm")</f>
        <v>2016 - May</v>
      </c>
      <c r="G1015" s="17" t="str">
        <f>data[[#This Row],[OriginCity]] &amp; " - "  &amp; data[[#This Row],[DestinationCity]]</f>
        <v>Skokie - Chicago</v>
      </c>
      <c r="H1015" s="17" t="s">
        <v>35</v>
      </c>
      <c r="I1015" s="17" t="s">
        <v>31</v>
      </c>
      <c r="J1015" s="17">
        <v>3</v>
      </c>
      <c r="K1015" s="17" t="s">
        <v>39</v>
      </c>
      <c r="L1015" s="17" t="s">
        <v>31</v>
      </c>
      <c r="M1015" s="17" t="s">
        <v>365</v>
      </c>
      <c r="N1015" s="17">
        <v>1196</v>
      </c>
      <c r="O1015" s="17">
        <v>630</v>
      </c>
      <c r="P1015" s="26">
        <f>(data[[#This Row],[LoadedMiles]]/data[[#This Row],[TotalMiles]])*100</f>
        <v>52.675585284280935</v>
      </c>
      <c r="Q1015" s="25">
        <f>data[[#This Row],[ShippingCost]]/data[[#This Row],[TotalMiles]]</f>
        <v>6.6931438127090299</v>
      </c>
      <c r="R1015" s="17">
        <v>8005</v>
      </c>
      <c r="S1015" s="25">
        <f>data[[#This Row],[Revenue]]/data[[#This Row],[TotalMiles]]</f>
        <v>7.2257525083612038</v>
      </c>
      <c r="T1015" s="26">
        <f>data[[#This Row],[Revenue]]-data[[#This Row],[ShippingCost]]</f>
        <v>637</v>
      </c>
      <c r="U1015" s="17">
        <v>8642</v>
      </c>
      <c r="V1015" s="17">
        <v>95</v>
      </c>
      <c r="W1015" s="17" t="s">
        <v>25</v>
      </c>
      <c r="X1015" s="17">
        <v>1</v>
      </c>
      <c r="Y1015" s="17">
        <f>data[[#This Row],[DeliveryDate]]-data[[#This Row],[ShipDate]]</f>
        <v>3</v>
      </c>
      <c r="Z1015" s="17" t="str">
        <f>IF(data[[#This Row],[Actual Delivery Days]]&gt;AD1016,"Yes","No")</f>
        <v>Yes</v>
      </c>
    </row>
    <row r="1016" spans="1:26">
      <c r="A1016" s="17">
        <v>10984</v>
      </c>
      <c r="B1016" s="17">
        <v>3</v>
      </c>
      <c r="C1016" s="17">
        <v>1</v>
      </c>
      <c r="D1016" s="17" t="s">
        <v>311</v>
      </c>
      <c r="E1016" s="17" t="s">
        <v>82</v>
      </c>
      <c r="F1016" s="17" t="str">
        <f>TEXT(data[[#This Row],[ShipDate]],"yyyy - mmmm")</f>
        <v>2016 - March</v>
      </c>
      <c r="G1016" s="17" t="str">
        <f>data[[#This Row],[OriginCity]] &amp; " - "  &amp; data[[#This Row],[DestinationCity]]</f>
        <v>Cincinnati - Gary</v>
      </c>
      <c r="H1016" s="17" t="s">
        <v>89</v>
      </c>
      <c r="I1016" s="17" t="s">
        <v>23</v>
      </c>
      <c r="J1016" s="17">
        <v>3</v>
      </c>
      <c r="K1016" s="17" t="s">
        <v>57</v>
      </c>
      <c r="L1016" s="17" t="s">
        <v>44</v>
      </c>
      <c r="M1016" s="17" t="s">
        <v>454</v>
      </c>
      <c r="N1016" s="17">
        <v>582</v>
      </c>
      <c r="O1016" s="17">
        <v>237</v>
      </c>
      <c r="P1016" s="26">
        <f>(data[[#This Row],[LoadedMiles]]/data[[#This Row],[TotalMiles]])*100</f>
        <v>40.72164948453608</v>
      </c>
      <c r="Q1016" s="25">
        <f>data[[#This Row],[ShippingCost]]/data[[#This Row],[TotalMiles]]</f>
        <v>11.132302405498281</v>
      </c>
      <c r="R1016" s="17">
        <v>6479</v>
      </c>
      <c r="S1016" s="25">
        <f>data[[#This Row],[Revenue]]/data[[#This Row],[TotalMiles]]</f>
        <v>19.042955326460483</v>
      </c>
      <c r="T1016" s="26">
        <f>data[[#This Row],[Revenue]]-data[[#This Row],[ShippingCost]]</f>
        <v>4604</v>
      </c>
      <c r="U1016" s="17">
        <v>11083</v>
      </c>
      <c r="V1016" s="17">
        <v>76</v>
      </c>
      <c r="W1016" s="17" t="s">
        <v>25</v>
      </c>
      <c r="X1016" s="17">
        <v>8</v>
      </c>
      <c r="Y1016" s="17">
        <f>data[[#This Row],[DeliveryDate]]-data[[#This Row],[ShipDate]]</f>
        <v>3</v>
      </c>
      <c r="Z1016" s="17" t="str">
        <f>IF(data[[#This Row],[Actual Delivery Days]]&gt;AD1017,"Yes","No")</f>
        <v>Yes</v>
      </c>
    </row>
    <row r="1017" spans="1:26">
      <c r="A1017" s="17">
        <v>10986</v>
      </c>
      <c r="B1017" s="17">
        <v>3</v>
      </c>
      <c r="C1017" s="17">
        <v>2</v>
      </c>
      <c r="D1017" s="17" t="s">
        <v>313</v>
      </c>
      <c r="E1017" s="17" t="s">
        <v>348</v>
      </c>
      <c r="F1017" s="17" t="str">
        <f>TEXT(data[[#This Row],[ShipDate]],"yyyy - mmmm")</f>
        <v>2016 - May</v>
      </c>
      <c r="G1017" s="17" t="str">
        <f>data[[#This Row],[OriginCity]] &amp; " - "  &amp; data[[#This Row],[DestinationCity]]</f>
        <v>Toledo - Detriot</v>
      </c>
      <c r="H1017" s="17" t="s">
        <v>22</v>
      </c>
      <c r="I1017" s="17" t="s">
        <v>23</v>
      </c>
      <c r="J1017" s="17">
        <v>3</v>
      </c>
      <c r="K1017" s="17" t="s">
        <v>52</v>
      </c>
      <c r="L1017" s="17" t="s">
        <v>21</v>
      </c>
      <c r="M1017" s="17" t="s">
        <v>312</v>
      </c>
      <c r="N1017" s="17">
        <v>224</v>
      </c>
      <c r="O1017" s="17">
        <v>224</v>
      </c>
      <c r="P1017" s="26">
        <f>(data[[#This Row],[LoadedMiles]]/data[[#This Row],[TotalMiles]])*100</f>
        <v>100</v>
      </c>
      <c r="Q1017" s="25">
        <f>data[[#This Row],[ShippingCost]]/data[[#This Row],[TotalMiles]]</f>
        <v>13.111607142857142</v>
      </c>
      <c r="R1017" s="17">
        <v>2937</v>
      </c>
      <c r="S1017" s="25">
        <f>data[[#This Row],[Revenue]]/data[[#This Row],[TotalMiles]]</f>
        <v>16.625</v>
      </c>
      <c r="T1017" s="26">
        <f>data[[#This Row],[Revenue]]-data[[#This Row],[ShippingCost]]</f>
        <v>787</v>
      </c>
      <c r="U1017" s="17">
        <v>3724</v>
      </c>
      <c r="V1017" s="17">
        <v>97</v>
      </c>
      <c r="W1017" s="17" t="s">
        <v>25</v>
      </c>
      <c r="X1017" s="17">
        <v>8</v>
      </c>
      <c r="Y1017" s="17">
        <f>data[[#This Row],[DeliveryDate]]-data[[#This Row],[ShipDate]]</f>
        <v>3</v>
      </c>
      <c r="Z1017" s="17" t="str">
        <f>IF(data[[#This Row],[Actual Delivery Days]]&gt;AD1018,"Yes","No")</f>
        <v>Yes</v>
      </c>
    </row>
    <row r="1018" spans="1:26">
      <c r="A1018" s="17">
        <v>11005</v>
      </c>
      <c r="B1018" s="17">
        <v>3</v>
      </c>
      <c r="C1018" s="17">
        <v>1</v>
      </c>
      <c r="D1018" s="17" t="s">
        <v>349</v>
      </c>
      <c r="E1018" s="17" t="s">
        <v>56</v>
      </c>
      <c r="F1018" s="17" t="str">
        <f>TEXT(data[[#This Row],[ShipDate]],"yyyy - mmmm")</f>
        <v>2016 - May</v>
      </c>
      <c r="G1018" s="17" t="str">
        <f>data[[#This Row],[OriginCity]] &amp; " - "  &amp; data[[#This Row],[DestinationCity]]</f>
        <v>Dayton - Elgin</v>
      </c>
      <c r="H1018" s="17" t="s">
        <v>93</v>
      </c>
      <c r="I1018" s="17" t="s">
        <v>23</v>
      </c>
      <c r="J1018" s="17">
        <v>3</v>
      </c>
      <c r="K1018" s="17" t="s">
        <v>94</v>
      </c>
      <c r="L1018" s="17" t="s">
        <v>31</v>
      </c>
      <c r="M1018" s="17" t="s">
        <v>56</v>
      </c>
      <c r="N1018" s="17">
        <v>938</v>
      </c>
      <c r="O1018" s="17">
        <v>515</v>
      </c>
      <c r="P1018" s="26">
        <f>(data[[#This Row],[LoadedMiles]]/data[[#This Row],[TotalMiles]])*100</f>
        <v>54.904051172707888</v>
      </c>
      <c r="Q1018" s="25">
        <f>data[[#This Row],[ShippingCost]]/data[[#This Row],[TotalMiles]]</f>
        <v>3.5255863539445631</v>
      </c>
      <c r="R1018" s="17">
        <v>3307</v>
      </c>
      <c r="S1018" s="25">
        <f>data[[#This Row],[Revenue]]/data[[#This Row],[TotalMiles]]</f>
        <v>8.9285714285714288</v>
      </c>
      <c r="T1018" s="26">
        <f>data[[#This Row],[Revenue]]-data[[#This Row],[ShippingCost]]</f>
        <v>5068</v>
      </c>
      <c r="U1018" s="17">
        <v>8375</v>
      </c>
      <c r="V1018" s="17">
        <v>74</v>
      </c>
      <c r="W1018" s="17" t="s">
        <v>25</v>
      </c>
      <c r="X1018" s="17">
        <v>8</v>
      </c>
      <c r="Y1018" s="17">
        <f>data[[#This Row],[DeliveryDate]]-data[[#This Row],[ShipDate]]</f>
        <v>0</v>
      </c>
      <c r="Z1018" s="17" t="str">
        <f>IF(data[[#This Row],[Actual Delivery Days]]&gt;AD1019,"Yes","No")</f>
        <v>No</v>
      </c>
    </row>
    <row r="1019" spans="1:26">
      <c r="A1019" s="17">
        <v>11007</v>
      </c>
      <c r="B1019" s="17">
        <v>3</v>
      </c>
      <c r="C1019" s="17">
        <v>5</v>
      </c>
      <c r="D1019" s="17" t="s">
        <v>354</v>
      </c>
      <c r="E1019" s="17" t="s">
        <v>150</v>
      </c>
      <c r="F1019" s="17" t="str">
        <f>TEXT(data[[#This Row],[ShipDate]],"yyyy - mmmm")</f>
        <v>2016 - July</v>
      </c>
      <c r="G1019" s="17" t="str">
        <f>data[[#This Row],[OriginCity]] &amp; " - "  &amp; data[[#This Row],[DestinationCity]]</f>
        <v>Lansing - Dayton</v>
      </c>
      <c r="H1019" s="17" t="s">
        <v>66</v>
      </c>
      <c r="I1019" s="17" t="s">
        <v>21</v>
      </c>
      <c r="J1019" s="17">
        <v>3</v>
      </c>
      <c r="K1019" s="17" t="s">
        <v>93</v>
      </c>
      <c r="L1019" s="17" t="s">
        <v>23</v>
      </c>
      <c r="M1019" s="17" t="s">
        <v>513</v>
      </c>
      <c r="N1019" s="17">
        <v>1105</v>
      </c>
      <c r="O1019" s="17">
        <v>367</v>
      </c>
      <c r="P1019" s="26">
        <f>(data[[#This Row],[LoadedMiles]]/data[[#This Row],[TotalMiles]])*100</f>
        <v>33.212669683257914</v>
      </c>
      <c r="Q1019" s="25">
        <f>data[[#This Row],[ShippingCost]]/data[[#This Row],[TotalMiles]]</f>
        <v>5.0814479638009047</v>
      </c>
      <c r="R1019" s="17">
        <v>5615</v>
      </c>
      <c r="S1019" s="25">
        <f>data[[#This Row],[Revenue]]/data[[#This Row],[TotalMiles]]</f>
        <v>5.5846153846153843</v>
      </c>
      <c r="T1019" s="26">
        <f>data[[#This Row],[Revenue]]-data[[#This Row],[ShippingCost]]</f>
        <v>556</v>
      </c>
      <c r="U1019" s="17">
        <v>6171</v>
      </c>
      <c r="V1019" s="17">
        <v>68</v>
      </c>
      <c r="W1019" s="17" t="s">
        <v>25</v>
      </c>
      <c r="X1019" s="17">
        <v>9</v>
      </c>
      <c r="Y1019" s="17">
        <f>data[[#This Row],[DeliveryDate]]-data[[#This Row],[ShipDate]]</f>
        <v>3</v>
      </c>
      <c r="Z1019" s="17" t="str">
        <f>IF(data[[#This Row],[Actual Delivery Days]]&gt;AD1020,"Yes","No")</f>
        <v>Yes</v>
      </c>
    </row>
    <row r="1020" spans="1:26">
      <c r="A1020" s="17">
        <v>11008</v>
      </c>
      <c r="B1020" s="17">
        <v>2</v>
      </c>
      <c r="C1020" s="17">
        <v>3</v>
      </c>
      <c r="D1020" s="17" t="s">
        <v>356</v>
      </c>
      <c r="E1020" s="17" t="s">
        <v>272</v>
      </c>
      <c r="F1020" s="17" t="str">
        <f>TEXT(data[[#This Row],[ShipDate]],"yyyy - mmmm")</f>
        <v>2016 - March</v>
      </c>
      <c r="G1020" s="17" t="str">
        <f>data[[#This Row],[OriginCity]] &amp; " - "  &amp; data[[#This Row],[DestinationCity]]</f>
        <v>Bangor - Davenport</v>
      </c>
      <c r="H1020" s="17" t="s">
        <v>104</v>
      </c>
      <c r="I1020" s="17" t="s">
        <v>21</v>
      </c>
      <c r="J1020" s="17">
        <v>3</v>
      </c>
      <c r="K1020" s="17" t="s">
        <v>105</v>
      </c>
      <c r="L1020" s="17" t="s">
        <v>106</v>
      </c>
      <c r="M1020" s="17" t="s">
        <v>200</v>
      </c>
      <c r="N1020" s="17">
        <v>367</v>
      </c>
      <c r="O1020" s="17">
        <v>367</v>
      </c>
      <c r="P1020" s="26">
        <f>(data[[#This Row],[LoadedMiles]]/data[[#This Row],[TotalMiles]])*100</f>
        <v>100</v>
      </c>
      <c r="Q1020" s="25">
        <f>data[[#This Row],[ShippingCost]]/data[[#This Row],[TotalMiles]]</f>
        <v>13.863760217983652</v>
      </c>
      <c r="R1020" s="17">
        <v>5088</v>
      </c>
      <c r="S1020" s="25">
        <f>data[[#This Row],[Revenue]]/data[[#This Row],[TotalMiles]]</f>
        <v>16.138964577656676</v>
      </c>
      <c r="T1020" s="26">
        <f>data[[#This Row],[Revenue]]-data[[#This Row],[ShippingCost]]</f>
        <v>835</v>
      </c>
      <c r="U1020" s="17">
        <v>5923</v>
      </c>
      <c r="V1020" s="17">
        <v>93</v>
      </c>
      <c r="W1020" s="17" t="s">
        <v>25</v>
      </c>
      <c r="X1020" s="17">
        <v>3</v>
      </c>
      <c r="Y1020" s="17">
        <f>data[[#This Row],[DeliveryDate]]-data[[#This Row],[ShipDate]]</f>
        <v>3</v>
      </c>
      <c r="Z1020" s="17" t="str">
        <f>IF(data[[#This Row],[Actual Delivery Days]]&gt;AD1021,"Yes","No")</f>
        <v>Yes</v>
      </c>
    </row>
    <row r="1021" spans="1:26">
      <c r="A1021" s="17">
        <v>11022</v>
      </c>
      <c r="B1021" s="17">
        <v>3</v>
      </c>
      <c r="C1021" s="17">
        <v>6</v>
      </c>
      <c r="D1021" s="17" t="s">
        <v>377</v>
      </c>
      <c r="E1021" s="17" t="s">
        <v>146</v>
      </c>
      <c r="F1021" s="17" t="str">
        <f>TEXT(data[[#This Row],[ShipDate]],"yyyy - mmmm")</f>
        <v>2016 - June</v>
      </c>
      <c r="G1021" s="17" t="str">
        <f>data[[#This Row],[OriginCity]] &amp; " - "  &amp; data[[#This Row],[DestinationCity]]</f>
        <v>Monon - Lansing</v>
      </c>
      <c r="H1021" s="17" t="s">
        <v>53</v>
      </c>
      <c r="I1021" s="17" t="s">
        <v>44</v>
      </c>
      <c r="J1021" s="17">
        <v>3</v>
      </c>
      <c r="K1021" s="17" t="s">
        <v>66</v>
      </c>
      <c r="L1021" s="17" t="s">
        <v>21</v>
      </c>
      <c r="M1021" s="17" t="s">
        <v>316</v>
      </c>
      <c r="N1021" s="17">
        <v>1058</v>
      </c>
      <c r="O1021" s="17">
        <v>466</v>
      </c>
      <c r="P1021" s="26">
        <f>(data[[#This Row],[LoadedMiles]]/data[[#This Row],[TotalMiles]])*100</f>
        <v>44.045368620037806</v>
      </c>
      <c r="Q1021" s="25">
        <f>data[[#This Row],[ShippingCost]]/data[[#This Row],[TotalMiles]]</f>
        <v>0.5207939508506616</v>
      </c>
      <c r="R1021" s="17">
        <v>551</v>
      </c>
      <c r="S1021" s="25">
        <f>data[[#This Row],[Revenue]]/data[[#This Row],[TotalMiles]]</f>
        <v>1.4215500945179584</v>
      </c>
      <c r="T1021" s="26">
        <f>data[[#This Row],[Revenue]]-data[[#This Row],[ShippingCost]]</f>
        <v>953</v>
      </c>
      <c r="U1021" s="17">
        <v>1504</v>
      </c>
      <c r="V1021" s="17">
        <v>51</v>
      </c>
      <c r="W1021" s="17" t="s">
        <v>25</v>
      </c>
      <c r="X1021" s="17">
        <v>4</v>
      </c>
      <c r="Y1021" s="17">
        <f>data[[#This Row],[DeliveryDate]]-data[[#This Row],[ShipDate]]</f>
        <v>3</v>
      </c>
      <c r="Z1021" s="17" t="str">
        <f>IF(data[[#This Row],[Actual Delivery Days]]&gt;AD1022,"Yes","No")</f>
        <v>Yes</v>
      </c>
    </row>
    <row r="1022" spans="1:26">
      <c r="A1022" s="17">
        <v>11025</v>
      </c>
      <c r="B1022" s="17">
        <v>3</v>
      </c>
      <c r="C1022" s="17">
        <v>4</v>
      </c>
      <c r="D1022" s="17" t="s">
        <v>382</v>
      </c>
      <c r="E1022" s="17" t="s">
        <v>119</v>
      </c>
      <c r="F1022" s="17" t="str">
        <f>TEXT(data[[#This Row],[ShipDate]],"yyyy - mmmm")</f>
        <v>2016 - August</v>
      </c>
      <c r="G1022" s="17" t="str">
        <f>data[[#This Row],[OriginCity]] &amp; " - "  &amp; data[[#This Row],[DestinationCity]]</f>
        <v>Naperville - Indianapolis</v>
      </c>
      <c r="H1022" s="17" t="s">
        <v>48</v>
      </c>
      <c r="I1022" s="17" t="s">
        <v>31</v>
      </c>
      <c r="J1022" s="17">
        <v>3</v>
      </c>
      <c r="K1022" s="17" t="s">
        <v>43</v>
      </c>
      <c r="L1022" s="17" t="s">
        <v>44</v>
      </c>
      <c r="M1022" s="17" t="s">
        <v>103</v>
      </c>
      <c r="N1022" s="17">
        <v>1065</v>
      </c>
      <c r="O1022" s="17">
        <v>637</v>
      </c>
      <c r="P1022" s="26">
        <f>(data[[#This Row],[LoadedMiles]]/data[[#This Row],[TotalMiles]])*100</f>
        <v>59.812206572769952</v>
      </c>
      <c r="Q1022" s="25">
        <f>data[[#This Row],[ShippingCost]]/data[[#This Row],[TotalMiles]]</f>
        <v>6.3098591549295771</v>
      </c>
      <c r="R1022" s="17">
        <v>6720</v>
      </c>
      <c r="S1022" s="25">
        <f>data[[#This Row],[Revenue]]/data[[#This Row],[TotalMiles]]</f>
        <v>4.5014084507042256</v>
      </c>
      <c r="T1022" s="26">
        <f>data[[#This Row],[Revenue]]-data[[#This Row],[ShippingCost]]</f>
        <v>-1926</v>
      </c>
      <c r="U1022" s="17">
        <v>4794</v>
      </c>
      <c r="V1022" s="17">
        <v>91</v>
      </c>
      <c r="W1022" s="17" t="s">
        <v>25</v>
      </c>
      <c r="X1022" s="17">
        <v>1</v>
      </c>
      <c r="Y1022" s="17">
        <f>data[[#This Row],[DeliveryDate]]-data[[#This Row],[ShipDate]]</f>
        <v>2</v>
      </c>
      <c r="Z1022" s="17" t="str">
        <f>IF(data[[#This Row],[Actual Delivery Days]]&gt;AD1023,"Yes","No")</f>
        <v>Yes</v>
      </c>
    </row>
    <row r="1023" spans="1:26">
      <c r="A1023" s="17">
        <v>11028</v>
      </c>
      <c r="B1023" s="17">
        <v>3</v>
      </c>
      <c r="C1023" s="17">
        <v>6</v>
      </c>
      <c r="D1023" s="17" t="s">
        <v>385</v>
      </c>
      <c r="E1023" s="17" t="s">
        <v>368</v>
      </c>
      <c r="F1023" s="17" t="str">
        <f>TEXT(data[[#This Row],[ShipDate]],"yyyy - mmmm")</f>
        <v>2016 - May</v>
      </c>
      <c r="G1023" s="17" t="str">
        <f>data[[#This Row],[OriginCity]] &amp; " - "  &amp; data[[#This Row],[DestinationCity]]</f>
        <v>Cincinnati - Gary</v>
      </c>
      <c r="H1023" s="17" t="s">
        <v>89</v>
      </c>
      <c r="I1023" s="17" t="s">
        <v>23</v>
      </c>
      <c r="J1023" s="17">
        <v>3</v>
      </c>
      <c r="K1023" s="17" t="s">
        <v>57</v>
      </c>
      <c r="L1023" s="17" t="s">
        <v>44</v>
      </c>
      <c r="M1023" s="17" t="s">
        <v>373</v>
      </c>
      <c r="N1023" s="17">
        <v>1160</v>
      </c>
      <c r="O1023" s="17">
        <v>792</v>
      </c>
      <c r="P1023" s="26">
        <f>(data[[#This Row],[LoadedMiles]]/data[[#This Row],[TotalMiles]])*100</f>
        <v>68.275862068965523</v>
      </c>
      <c r="Q1023" s="25">
        <f>data[[#This Row],[ShippingCost]]/data[[#This Row],[TotalMiles]]</f>
        <v>6.1887931034482762</v>
      </c>
      <c r="R1023" s="17">
        <v>7179</v>
      </c>
      <c r="S1023" s="25">
        <f>data[[#This Row],[Revenue]]/data[[#This Row],[TotalMiles]]</f>
        <v>6.2801724137931032</v>
      </c>
      <c r="T1023" s="26">
        <f>data[[#This Row],[Revenue]]-data[[#This Row],[ShippingCost]]</f>
        <v>106</v>
      </c>
      <c r="U1023" s="17">
        <v>7285</v>
      </c>
      <c r="V1023" s="17">
        <v>89</v>
      </c>
      <c r="W1023" s="17" t="s">
        <v>25</v>
      </c>
      <c r="X1023" s="17">
        <v>2</v>
      </c>
      <c r="Y1023" s="17">
        <f>data[[#This Row],[DeliveryDate]]-data[[#This Row],[ShipDate]]</f>
        <v>3</v>
      </c>
      <c r="Z1023" s="17" t="str">
        <f>IF(data[[#This Row],[Actual Delivery Days]]&gt;AD1024,"Yes","No")</f>
        <v>Yes</v>
      </c>
    </row>
    <row r="1024" spans="1:26">
      <c r="A1024" s="17">
        <v>11033</v>
      </c>
      <c r="B1024" s="17">
        <v>2</v>
      </c>
      <c r="C1024" s="17">
        <v>3</v>
      </c>
      <c r="D1024" s="17" t="s">
        <v>393</v>
      </c>
      <c r="E1024" s="17" t="s">
        <v>199</v>
      </c>
      <c r="F1024" s="17" t="str">
        <f>TEXT(data[[#This Row],[ShipDate]],"yyyy - mmmm")</f>
        <v>2016 - March</v>
      </c>
      <c r="G1024" s="17" t="str">
        <f>data[[#This Row],[OriginCity]] &amp; " - "  &amp; data[[#This Row],[DestinationCity]]</f>
        <v>Elgin - Cincinnati</v>
      </c>
      <c r="H1024" s="17" t="s">
        <v>94</v>
      </c>
      <c r="I1024" s="17" t="s">
        <v>31</v>
      </c>
      <c r="J1024" s="17">
        <v>3</v>
      </c>
      <c r="K1024" s="17" t="s">
        <v>89</v>
      </c>
      <c r="L1024" s="17" t="s">
        <v>23</v>
      </c>
      <c r="M1024" s="17" t="s">
        <v>199</v>
      </c>
      <c r="N1024" s="17">
        <v>247</v>
      </c>
      <c r="O1024" s="17">
        <v>247</v>
      </c>
      <c r="P1024" s="26">
        <f>(data[[#This Row],[LoadedMiles]]/data[[#This Row],[TotalMiles]])*100</f>
        <v>100</v>
      </c>
      <c r="Q1024" s="25">
        <f>data[[#This Row],[ShippingCost]]/data[[#This Row],[TotalMiles]]</f>
        <v>32.627530364372468</v>
      </c>
      <c r="R1024" s="17">
        <v>8059</v>
      </c>
      <c r="S1024" s="25">
        <f>data[[#This Row],[Revenue]]/data[[#This Row],[TotalMiles]]</f>
        <v>35.056680161943319</v>
      </c>
      <c r="T1024" s="26">
        <f>data[[#This Row],[Revenue]]-data[[#This Row],[ShippingCost]]</f>
        <v>600</v>
      </c>
      <c r="U1024" s="17">
        <v>8659</v>
      </c>
      <c r="V1024" s="17">
        <v>54</v>
      </c>
      <c r="W1024" s="17" t="s">
        <v>25</v>
      </c>
      <c r="X1024" s="17">
        <v>4</v>
      </c>
      <c r="Y1024" s="17">
        <f>data[[#This Row],[DeliveryDate]]-data[[#This Row],[ShipDate]]</f>
        <v>0</v>
      </c>
      <c r="Z1024" s="17" t="str">
        <f>IF(data[[#This Row],[Actual Delivery Days]]&gt;AD1025,"Yes","No")</f>
        <v>No</v>
      </c>
    </row>
    <row r="1025" spans="1:26">
      <c r="A1025" s="17">
        <v>11039</v>
      </c>
      <c r="B1025" s="17">
        <v>3</v>
      </c>
      <c r="C1025" s="17">
        <v>5</v>
      </c>
      <c r="D1025" s="17" t="s">
        <v>407</v>
      </c>
      <c r="E1025" s="17" t="s">
        <v>259</v>
      </c>
      <c r="F1025" s="17" t="str">
        <f>TEXT(data[[#This Row],[ShipDate]],"yyyy - mmmm")</f>
        <v>2016 - February</v>
      </c>
      <c r="G1025" s="17" t="str">
        <f>data[[#This Row],[OriginCity]] &amp; " - "  &amp; data[[#This Row],[DestinationCity]]</f>
        <v>Northbrook - Naperville</v>
      </c>
      <c r="H1025" s="17" t="s">
        <v>45</v>
      </c>
      <c r="I1025" s="17" t="s">
        <v>31</v>
      </c>
      <c r="J1025" s="17">
        <v>3</v>
      </c>
      <c r="K1025" s="17" t="s">
        <v>48</v>
      </c>
      <c r="L1025" s="17" t="s">
        <v>31</v>
      </c>
      <c r="M1025" s="17" t="s">
        <v>163</v>
      </c>
      <c r="N1025" s="17">
        <v>493</v>
      </c>
      <c r="O1025" s="17">
        <v>493</v>
      </c>
      <c r="P1025" s="26">
        <f>(data[[#This Row],[LoadedMiles]]/data[[#This Row],[TotalMiles]])*100</f>
        <v>100</v>
      </c>
      <c r="Q1025" s="25">
        <f>data[[#This Row],[ShippingCost]]/data[[#This Row],[TotalMiles]]</f>
        <v>1.7261663286004056</v>
      </c>
      <c r="R1025" s="17">
        <v>851</v>
      </c>
      <c r="S1025" s="25">
        <f>data[[#This Row],[Revenue]]/data[[#This Row],[TotalMiles]]</f>
        <v>2.4908722109533468</v>
      </c>
      <c r="T1025" s="26">
        <f>data[[#This Row],[Revenue]]-data[[#This Row],[ShippingCost]]</f>
        <v>377</v>
      </c>
      <c r="U1025" s="17">
        <v>1228</v>
      </c>
      <c r="V1025" s="17">
        <v>97</v>
      </c>
      <c r="W1025" s="17" t="s">
        <v>25</v>
      </c>
      <c r="X1025" s="17">
        <v>6</v>
      </c>
      <c r="Y1025" s="17">
        <f>data[[#This Row],[DeliveryDate]]-data[[#This Row],[ShipDate]]</f>
        <v>3</v>
      </c>
      <c r="Z1025" s="17" t="str">
        <f>IF(data[[#This Row],[Actual Delivery Days]]&gt;AD1026,"Yes","No")</f>
        <v>Yes</v>
      </c>
    </row>
    <row r="1026" spans="1:26">
      <c r="A1026" s="17">
        <v>11044</v>
      </c>
      <c r="B1026" s="17">
        <v>2</v>
      </c>
      <c r="C1026" s="17">
        <v>3</v>
      </c>
      <c r="D1026" s="17" t="s">
        <v>417</v>
      </c>
      <c r="E1026" s="17" t="s">
        <v>202</v>
      </c>
      <c r="F1026" s="17" t="str">
        <f>TEXT(data[[#This Row],[ShipDate]],"yyyy - mmmm")</f>
        <v>2016 - February</v>
      </c>
      <c r="G1026" s="17" t="str">
        <f>data[[#This Row],[OriginCity]] &amp; " - "  &amp; data[[#This Row],[DestinationCity]]</f>
        <v>Madison - Kalamazoo</v>
      </c>
      <c r="H1026" s="17" t="s">
        <v>62</v>
      </c>
      <c r="I1026" s="17" t="s">
        <v>29</v>
      </c>
      <c r="J1026" s="17">
        <v>3</v>
      </c>
      <c r="K1026" s="17" t="s">
        <v>71</v>
      </c>
      <c r="L1026" s="17" t="s">
        <v>21</v>
      </c>
      <c r="M1026" s="17" t="s">
        <v>255</v>
      </c>
      <c r="N1026" s="17">
        <v>502</v>
      </c>
      <c r="O1026" s="17">
        <v>379</v>
      </c>
      <c r="P1026" s="26">
        <f>(data[[#This Row],[LoadedMiles]]/data[[#This Row],[TotalMiles]])*100</f>
        <v>75.498007968127496</v>
      </c>
      <c r="Q1026" s="25">
        <f>data[[#This Row],[ShippingCost]]/data[[#This Row],[TotalMiles]]</f>
        <v>1.6693227091633467</v>
      </c>
      <c r="R1026" s="17">
        <v>838</v>
      </c>
      <c r="S1026" s="25">
        <f>data[[#This Row],[Revenue]]/data[[#This Row],[TotalMiles]]</f>
        <v>3.4382470119521913</v>
      </c>
      <c r="T1026" s="26">
        <f>data[[#This Row],[Revenue]]-data[[#This Row],[ShippingCost]]</f>
        <v>888</v>
      </c>
      <c r="U1026" s="17">
        <v>1726</v>
      </c>
      <c r="V1026" s="17">
        <v>64</v>
      </c>
      <c r="W1026" s="17" t="s">
        <v>25</v>
      </c>
      <c r="X1026" s="17">
        <v>4</v>
      </c>
      <c r="Y1026" s="17">
        <f>data[[#This Row],[DeliveryDate]]-data[[#This Row],[ShipDate]]</f>
        <v>3</v>
      </c>
      <c r="Z1026" s="17" t="str">
        <f>IF(data[[#This Row],[Actual Delivery Days]]&gt;AD1027,"Yes","No")</f>
        <v>Yes</v>
      </c>
    </row>
    <row r="1027" spans="1:26">
      <c r="A1027" s="17">
        <v>11049</v>
      </c>
      <c r="B1027" s="17">
        <v>3</v>
      </c>
      <c r="C1027" s="17">
        <v>2</v>
      </c>
      <c r="D1027" s="17" t="s">
        <v>427</v>
      </c>
      <c r="E1027" s="17" t="s">
        <v>365</v>
      </c>
      <c r="F1027" s="17" t="str">
        <f>TEXT(data[[#This Row],[ShipDate]],"yyyy - mmmm")</f>
        <v>2016 - June</v>
      </c>
      <c r="G1027" s="17" t="str">
        <f>data[[#This Row],[OriginCity]] &amp; " - "  &amp; data[[#This Row],[DestinationCity]]</f>
        <v>Dayton - Elgin</v>
      </c>
      <c r="H1027" s="17" t="s">
        <v>93</v>
      </c>
      <c r="I1027" s="17" t="s">
        <v>23</v>
      </c>
      <c r="J1027" s="17">
        <v>3</v>
      </c>
      <c r="K1027" s="17" t="s">
        <v>94</v>
      </c>
      <c r="L1027" s="17" t="s">
        <v>31</v>
      </c>
      <c r="M1027" s="17" t="s">
        <v>444</v>
      </c>
      <c r="N1027" s="17">
        <v>343</v>
      </c>
      <c r="O1027" s="17">
        <v>343</v>
      </c>
      <c r="P1027" s="26">
        <f>(data[[#This Row],[LoadedMiles]]/data[[#This Row],[TotalMiles]])*100</f>
        <v>100</v>
      </c>
      <c r="Q1027" s="25">
        <f>data[[#This Row],[ShippingCost]]/data[[#This Row],[TotalMiles]]</f>
        <v>11.545189504373178</v>
      </c>
      <c r="R1027" s="17">
        <v>3960</v>
      </c>
      <c r="S1027" s="25">
        <f>data[[#This Row],[Revenue]]/data[[#This Row],[TotalMiles]]</f>
        <v>14.075801749271138</v>
      </c>
      <c r="T1027" s="26">
        <f>data[[#This Row],[Revenue]]-data[[#This Row],[ShippingCost]]</f>
        <v>868</v>
      </c>
      <c r="U1027" s="17">
        <v>4828</v>
      </c>
      <c r="V1027" s="17">
        <v>77</v>
      </c>
      <c r="W1027" s="17" t="s">
        <v>25</v>
      </c>
      <c r="X1027" s="17">
        <v>2</v>
      </c>
      <c r="Y1027" s="17">
        <f>data[[#This Row],[DeliveryDate]]-data[[#This Row],[ShipDate]]</f>
        <v>1</v>
      </c>
      <c r="Z1027" s="17" t="str">
        <f>IF(data[[#This Row],[Actual Delivery Days]]&gt;AD1028,"Yes","No")</f>
        <v>Yes</v>
      </c>
    </row>
    <row r="1028" spans="1:26">
      <c r="A1028" s="17">
        <v>11066</v>
      </c>
      <c r="B1028" s="17">
        <v>2</v>
      </c>
      <c r="C1028" s="17">
        <v>3</v>
      </c>
      <c r="D1028" s="17" t="s">
        <v>452</v>
      </c>
      <c r="E1028" s="17" t="s">
        <v>416</v>
      </c>
      <c r="F1028" s="17" t="str">
        <f>TEXT(data[[#This Row],[ShipDate]],"yyyy - mmmm")</f>
        <v>2016 - August</v>
      </c>
      <c r="G1028" s="17" t="str">
        <f>data[[#This Row],[OriginCity]] &amp; " - "  &amp; data[[#This Row],[DestinationCity]]</f>
        <v>Madison - Kalamazoo</v>
      </c>
      <c r="H1028" s="17" t="s">
        <v>62</v>
      </c>
      <c r="I1028" s="17" t="s">
        <v>29</v>
      </c>
      <c r="J1028" s="17">
        <v>3</v>
      </c>
      <c r="K1028" s="17" t="s">
        <v>71</v>
      </c>
      <c r="L1028" s="17" t="s">
        <v>21</v>
      </c>
      <c r="M1028" s="17" t="s">
        <v>211</v>
      </c>
      <c r="N1028" s="17">
        <v>842</v>
      </c>
      <c r="O1028" s="17">
        <v>303</v>
      </c>
      <c r="P1028" s="26">
        <f>(data[[#This Row],[LoadedMiles]]/data[[#This Row],[TotalMiles]])*100</f>
        <v>35.985748218527313</v>
      </c>
      <c r="Q1028" s="25">
        <f>data[[#This Row],[ShippingCost]]/data[[#This Row],[TotalMiles]]</f>
        <v>9.1247030878859849</v>
      </c>
      <c r="R1028" s="17">
        <v>7683</v>
      </c>
      <c r="S1028" s="25">
        <f>data[[#This Row],[Revenue]]/data[[#This Row],[TotalMiles]]</f>
        <v>9.764845605700712</v>
      </c>
      <c r="T1028" s="26">
        <f>data[[#This Row],[Revenue]]-data[[#This Row],[ShippingCost]]</f>
        <v>539</v>
      </c>
      <c r="U1028" s="17">
        <v>8222</v>
      </c>
      <c r="V1028" s="17">
        <v>50</v>
      </c>
      <c r="W1028" s="17" t="s">
        <v>25</v>
      </c>
      <c r="X1028" s="17">
        <v>4</v>
      </c>
      <c r="Y1028" s="17">
        <f>data[[#This Row],[DeliveryDate]]-data[[#This Row],[ShipDate]]</f>
        <v>3</v>
      </c>
      <c r="Z1028" s="17" t="str">
        <f>IF(data[[#This Row],[Actual Delivery Days]]&gt;AD1029,"Yes","No")</f>
        <v>Yes</v>
      </c>
    </row>
    <row r="1029" spans="1:26">
      <c r="A1029" s="17">
        <v>11072</v>
      </c>
      <c r="B1029" s="17">
        <v>2</v>
      </c>
      <c r="C1029" s="17">
        <v>1</v>
      </c>
      <c r="D1029" s="17" t="s">
        <v>465</v>
      </c>
      <c r="E1029" s="17" t="s">
        <v>146</v>
      </c>
      <c r="F1029" s="17" t="str">
        <f>TEXT(data[[#This Row],[ShipDate]],"yyyy - mmmm")</f>
        <v>2016 - June</v>
      </c>
      <c r="G1029" s="17" t="str">
        <f>data[[#This Row],[OriginCity]] &amp; " - "  &amp; data[[#This Row],[DestinationCity]]</f>
        <v>Bangor - Davenport</v>
      </c>
      <c r="H1029" s="17" t="s">
        <v>104</v>
      </c>
      <c r="I1029" s="17" t="s">
        <v>21</v>
      </c>
      <c r="J1029" s="17">
        <v>3</v>
      </c>
      <c r="K1029" s="17" t="s">
        <v>105</v>
      </c>
      <c r="L1029" s="17" t="s">
        <v>106</v>
      </c>
      <c r="M1029" s="17" t="s">
        <v>316</v>
      </c>
      <c r="N1029" s="17">
        <v>301</v>
      </c>
      <c r="O1029" s="17">
        <v>301</v>
      </c>
      <c r="P1029" s="26">
        <f>(data[[#This Row],[LoadedMiles]]/data[[#This Row],[TotalMiles]])*100</f>
        <v>100</v>
      </c>
      <c r="Q1029" s="25">
        <f>data[[#This Row],[ShippingCost]]/data[[#This Row],[TotalMiles]]</f>
        <v>5.9136212624584719</v>
      </c>
      <c r="R1029" s="17">
        <v>1780</v>
      </c>
      <c r="S1029" s="25">
        <f>data[[#This Row],[Revenue]]/data[[#This Row],[TotalMiles]]</f>
        <v>19.096345514950166</v>
      </c>
      <c r="T1029" s="26">
        <f>data[[#This Row],[Revenue]]-data[[#This Row],[ShippingCost]]</f>
        <v>3968</v>
      </c>
      <c r="U1029" s="17">
        <v>5748</v>
      </c>
      <c r="V1029" s="17">
        <v>86</v>
      </c>
      <c r="W1029" s="17" t="s">
        <v>25</v>
      </c>
      <c r="X1029" s="17">
        <v>2</v>
      </c>
      <c r="Y1029" s="17">
        <f>data[[#This Row],[DeliveryDate]]-data[[#This Row],[ShipDate]]</f>
        <v>3</v>
      </c>
      <c r="Z1029" s="17" t="str">
        <f>IF(data[[#This Row],[Actual Delivery Days]]&gt;AD1030,"Yes","No")</f>
        <v>Yes</v>
      </c>
    </row>
    <row r="1030" spans="1:26">
      <c r="A1030" s="17">
        <v>11074</v>
      </c>
      <c r="B1030" s="17">
        <v>2</v>
      </c>
      <c r="C1030" s="17">
        <v>2</v>
      </c>
      <c r="D1030" s="17" t="s">
        <v>468</v>
      </c>
      <c r="E1030" s="17" t="s">
        <v>161</v>
      </c>
      <c r="F1030" s="17" t="str">
        <f>TEXT(data[[#This Row],[ShipDate]],"yyyy - mmmm")</f>
        <v>2016 - April</v>
      </c>
      <c r="G1030" s="17" t="str">
        <f>data[[#This Row],[OriginCity]] &amp; " - "  &amp; data[[#This Row],[DestinationCity]]</f>
        <v>Skokie - Chicago</v>
      </c>
      <c r="H1030" s="17" t="s">
        <v>35</v>
      </c>
      <c r="I1030" s="17" t="s">
        <v>31</v>
      </c>
      <c r="J1030" s="17">
        <v>3</v>
      </c>
      <c r="K1030" s="17" t="s">
        <v>39</v>
      </c>
      <c r="L1030" s="17" t="s">
        <v>31</v>
      </c>
      <c r="M1030" s="17" t="s">
        <v>609</v>
      </c>
      <c r="N1030" s="17">
        <v>904</v>
      </c>
      <c r="O1030" s="17">
        <v>587</v>
      </c>
      <c r="P1030" s="26">
        <f>(data[[#This Row],[LoadedMiles]]/data[[#This Row],[TotalMiles]])*100</f>
        <v>64.93362831858407</v>
      </c>
      <c r="Q1030" s="25">
        <f>data[[#This Row],[ShippingCost]]/data[[#This Row],[TotalMiles]]</f>
        <v>1.4292035398230087</v>
      </c>
      <c r="R1030" s="17">
        <v>1292</v>
      </c>
      <c r="S1030" s="25">
        <f>data[[#This Row],[Revenue]]/data[[#This Row],[TotalMiles]]</f>
        <v>2.2964601769911503</v>
      </c>
      <c r="T1030" s="26">
        <f>data[[#This Row],[Revenue]]-data[[#This Row],[ShippingCost]]</f>
        <v>784</v>
      </c>
      <c r="U1030" s="17">
        <v>2076</v>
      </c>
      <c r="V1030" s="17">
        <v>82</v>
      </c>
      <c r="W1030" s="17" t="s">
        <v>25</v>
      </c>
      <c r="X1030" s="17">
        <v>1</v>
      </c>
      <c r="Y1030" s="17">
        <f>data[[#This Row],[DeliveryDate]]-data[[#This Row],[ShipDate]]</f>
        <v>3</v>
      </c>
      <c r="Z1030" s="17" t="str">
        <f>IF(data[[#This Row],[Actual Delivery Days]]&gt;AD1031,"Yes","No")</f>
        <v>Yes</v>
      </c>
    </row>
    <row r="1031" spans="1:26">
      <c r="A1031" s="17">
        <v>11079</v>
      </c>
      <c r="B1031" s="17">
        <v>3</v>
      </c>
      <c r="C1031" s="17">
        <v>6</v>
      </c>
      <c r="D1031" s="17" t="s">
        <v>476</v>
      </c>
      <c r="E1031" s="17" t="s">
        <v>480</v>
      </c>
      <c r="F1031" s="17" t="str">
        <f>TEXT(data[[#This Row],[ShipDate]],"yyyy - mmmm")</f>
        <v>2016 - April</v>
      </c>
      <c r="G1031" s="17" t="str">
        <f>data[[#This Row],[OriginCity]] &amp; " - "  &amp; data[[#This Row],[DestinationCity]]</f>
        <v>Springfield - Skokie</v>
      </c>
      <c r="H1031" s="17" t="s">
        <v>30</v>
      </c>
      <c r="I1031" s="17" t="s">
        <v>31</v>
      </c>
      <c r="J1031" s="17">
        <v>3</v>
      </c>
      <c r="K1031" s="17" t="s">
        <v>35</v>
      </c>
      <c r="L1031" s="17" t="s">
        <v>31</v>
      </c>
      <c r="M1031" s="17" t="s">
        <v>196</v>
      </c>
      <c r="N1031" s="17">
        <v>509</v>
      </c>
      <c r="O1031" s="17">
        <v>509</v>
      </c>
      <c r="P1031" s="26">
        <f>(data[[#This Row],[LoadedMiles]]/data[[#This Row],[TotalMiles]])*100</f>
        <v>100</v>
      </c>
      <c r="Q1031" s="25">
        <f>data[[#This Row],[ShippingCost]]/data[[#This Row],[TotalMiles]]</f>
        <v>0.86640471512770134</v>
      </c>
      <c r="R1031" s="17">
        <v>441</v>
      </c>
      <c r="S1031" s="25">
        <f>data[[#This Row],[Revenue]]/data[[#This Row],[TotalMiles]]</f>
        <v>2.300589390962672</v>
      </c>
      <c r="T1031" s="26">
        <f>data[[#This Row],[Revenue]]-data[[#This Row],[ShippingCost]]</f>
        <v>730</v>
      </c>
      <c r="U1031" s="17">
        <v>1171</v>
      </c>
      <c r="V1031" s="17">
        <v>53</v>
      </c>
      <c r="W1031" s="17" t="s">
        <v>25</v>
      </c>
      <c r="X1031" s="17">
        <v>3</v>
      </c>
      <c r="Y1031" s="17">
        <f>data[[#This Row],[DeliveryDate]]-data[[#This Row],[ShipDate]]</f>
        <v>3</v>
      </c>
      <c r="Z1031" s="17" t="str">
        <f>IF(data[[#This Row],[Actual Delivery Days]]&gt;AD1032,"Yes","No")</f>
        <v>Yes</v>
      </c>
    </row>
    <row r="1032" spans="1:26">
      <c r="A1032" s="17">
        <v>11084</v>
      </c>
      <c r="B1032" s="17">
        <v>3</v>
      </c>
      <c r="C1032" s="17">
        <v>2</v>
      </c>
      <c r="D1032" s="17" t="s">
        <v>482</v>
      </c>
      <c r="E1032" s="17" t="s">
        <v>257</v>
      </c>
      <c r="F1032" s="17" t="str">
        <f>TEXT(data[[#This Row],[ShipDate]],"yyyy - mmmm")</f>
        <v>2016 - January</v>
      </c>
      <c r="G1032" s="17" t="str">
        <f>data[[#This Row],[OriginCity]] &amp; " - "  &amp; data[[#This Row],[DestinationCity]]</f>
        <v>Gary - Milwaukee</v>
      </c>
      <c r="H1032" s="17" t="s">
        <v>57</v>
      </c>
      <c r="I1032" s="17" t="s">
        <v>44</v>
      </c>
      <c r="J1032" s="17">
        <v>3</v>
      </c>
      <c r="K1032" s="17" t="s">
        <v>28</v>
      </c>
      <c r="L1032" s="17" t="s">
        <v>29</v>
      </c>
      <c r="M1032" s="17" t="s">
        <v>615</v>
      </c>
      <c r="N1032" s="17">
        <v>860</v>
      </c>
      <c r="O1032" s="17">
        <v>734</v>
      </c>
      <c r="P1032" s="26">
        <f>(data[[#This Row],[LoadedMiles]]/data[[#This Row],[TotalMiles]])*100</f>
        <v>85.348837209302332</v>
      </c>
      <c r="Q1032" s="25">
        <f>data[[#This Row],[ShippingCost]]/data[[#This Row],[TotalMiles]]</f>
        <v>2.2151162790697674</v>
      </c>
      <c r="R1032" s="17">
        <v>1905</v>
      </c>
      <c r="S1032" s="25">
        <f>data[[#This Row],[Revenue]]/data[[#This Row],[TotalMiles]]</f>
        <v>3.0220930232558141</v>
      </c>
      <c r="T1032" s="26">
        <f>data[[#This Row],[Revenue]]-data[[#This Row],[ShippingCost]]</f>
        <v>694</v>
      </c>
      <c r="U1032" s="17">
        <v>2599</v>
      </c>
      <c r="V1032" s="17">
        <v>93</v>
      </c>
      <c r="W1032" s="17" t="s">
        <v>25</v>
      </c>
      <c r="X1032" s="17">
        <v>8</v>
      </c>
      <c r="Y1032" s="17">
        <f>data[[#This Row],[DeliveryDate]]-data[[#This Row],[ShipDate]]</f>
        <v>3</v>
      </c>
      <c r="Z1032" s="17" t="str">
        <f>IF(data[[#This Row],[Actual Delivery Days]]&gt;AD1033,"Yes","No")</f>
        <v>Yes</v>
      </c>
    </row>
    <row r="1033" spans="1:26">
      <c r="A1033" s="17">
        <v>11092</v>
      </c>
      <c r="B1033" s="17">
        <v>3</v>
      </c>
      <c r="C1033" s="17">
        <v>6</v>
      </c>
      <c r="D1033" s="17" t="s">
        <v>491</v>
      </c>
      <c r="E1033" s="17" t="s">
        <v>141</v>
      </c>
      <c r="F1033" s="17" t="str">
        <f>TEXT(data[[#This Row],[ShipDate]],"yyyy - mmmm")</f>
        <v>2016 - August</v>
      </c>
      <c r="G1033" s="17" t="str">
        <f>data[[#This Row],[OriginCity]] &amp; " - "  &amp; data[[#This Row],[DestinationCity]]</f>
        <v>Dayton - Elgin</v>
      </c>
      <c r="H1033" s="17" t="s">
        <v>93</v>
      </c>
      <c r="I1033" s="17" t="s">
        <v>23</v>
      </c>
      <c r="J1033" s="17">
        <v>3</v>
      </c>
      <c r="K1033" s="17" t="s">
        <v>94</v>
      </c>
      <c r="L1033" s="17" t="s">
        <v>31</v>
      </c>
      <c r="M1033" s="17" t="s">
        <v>416</v>
      </c>
      <c r="N1033" s="17">
        <v>675</v>
      </c>
      <c r="O1033" s="17">
        <v>481</v>
      </c>
      <c r="P1033" s="26">
        <f>(data[[#This Row],[LoadedMiles]]/data[[#This Row],[TotalMiles]])*100</f>
        <v>71.259259259259252</v>
      </c>
      <c r="Q1033" s="25">
        <f>data[[#This Row],[ShippingCost]]/data[[#This Row],[TotalMiles]]</f>
        <v>5.6755555555555555</v>
      </c>
      <c r="R1033" s="17">
        <v>3831</v>
      </c>
      <c r="S1033" s="25">
        <f>data[[#This Row],[Revenue]]/data[[#This Row],[TotalMiles]]</f>
        <v>6.72</v>
      </c>
      <c r="T1033" s="26">
        <f>data[[#This Row],[Revenue]]-data[[#This Row],[ShippingCost]]</f>
        <v>705</v>
      </c>
      <c r="U1033" s="17">
        <v>4536</v>
      </c>
      <c r="V1033" s="17">
        <v>87</v>
      </c>
      <c r="W1033" s="17" t="s">
        <v>25</v>
      </c>
      <c r="X1033" s="17">
        <v>1</v>
      </c>
      <c r="Y1033" s="17">
        <f>data[[#This Row],[DeliveryDate]]-data[[#This Row],[ShipDate]]</f>
        <v>3</v>
      </c>
      <c r="Z1033" s="17" t="str">
        <f>IF(data[[#This Row],[Actual Delivery Days]]&gt;AD1034,"Yes","No")</f>
        <v>Yes</v>
      </c>
    </row>
    <row r="1034" spans="1:26">
      <c r="A1034" s="17">
        <v>11096</v>
      </c>
      <c r="B1034" s="17">
        <v>3</v>
      </c>
      <c r="C1034" s="17">
        <v>2</v>
      </c>
      <c r="D1034" s="17" t="s">
        <v>496</v>
      </c>
      <c r="E1034" s="17" t="s">
        <v>184</v>
      </c>
      <c r="F1034" s="17" t="str">
        <f>TEXT(data[[#This Row],[ShipDate]],"yyyy - mmmm")</f>
        <v>2016 - August</v>
      </c>
      <c r="G1034" s="17" t="str">
        <f>data[[#This Row],[OriginCity]] &amp; " - "  &amp; data[[#This Row],[DestinationCity]]</f>
        <v>Elgin - Cincinnati</v>
      </c>
      <c r="H1034" s="17" t="s">
        <v>94</v>
      </c>
      <c r="I1034" s="17" t="s">
        <v>31</v>
      </c>
      <c r="J1034" s="17">
        <v>3</v>
      </c>
      <c r="K1034" s="17" t="s">
        <v>89</v>
      </c>
      <c r="L1034" s="17" t="s">
        <v>23</v>
      </c>
      <c r="M1034" s="17" t="s">
        <v>184</v>
      </c>
      <c r="N1034" s="17">
        <v>434</v>
      </c>
      <c r="O1034" s="17">
        <v>434</v>
      </c>
      <c r="P1034" s="26">
        <f>(data[[#This Row],[LoadedMiles]]/data[[#This Row],[TotalMiles]])*100</f>
        <v>100</v>
      </c>
      <c r="Q1034" s="25">
        <f>data[[#This Row],[ShippingCost]]/data[[#This Row],[TotalMiles]]</f>
        <v>13.785714285714286</v>
      </c>
      <c r="R1034" s="17">
        <v>5983</v>
      </c>
      <c r="S1034" s="25">
        <f>data[[#This Row],[Revenue]]/data[[#This Row],[TotalMiles]]</f>
        <v>15.481566820276498</v>
      </c>
      <c r="T1034" s="26">
        <f>data[[#This Row],[Revenue]]-data[[#This Row],[ShippingCost]]</f>
        <v>736</v>
      </c>
      <c r="U1034" s="17">
        <v>6719</v>
      </c>
      <c r="V1034" s="17">
        <v>89</v>
      </c>
      <c r="W1034" s="17" t="s">
        <v>25</v>
      </c>
      <c r="X1034" s="17">
        <v>4</v>
      </c>
      <c r="Y1034" s="17">
        <f>data[[#This Row],[DeliveryDate]]-data[[#This Row],[ShipDate]]</f>
        <v>0</v>
      </c>
      <c r="Z1034" s="17" t="str">
        <f>IF(data[[#This Row],[Actual Delivery Days]]&gt;AD1035,"Yes","No")</f>
        <v>No</v>
      </c>
    </row>
    <row r="1035" spans="1:26">
      <c r="A1035" s="17">
        <v>11098</v>
      </c>
      <c r="B1035" s="17">
        <v>3</v>
      </c>
      <c r="C1035" s="17">
        <v>3</v>
      </c>
      <c r="D1035" s="17" t="s">
        <v>500</v>
      </c>
      <c r="E1035" s="17" t="s">
        <v>521</v>
      </c>
      <c r="F1035" s="17" t="str">
        <f>TEXT(data[[#This Row],[ShipDate]],"yyyy - mmmm")</f>
        <v>2016 - February</v>
      </c>
      <c r="G1035" s="17" t="str">
        <f>data[[#This Row],[OriginCity]] &amp; " - "  &amp; data[[#This Row],[DestinationCity]]</f>
        <v>Kalamazoo - Bangor</v>
      </c>
      <c r="H1035" s="17" t="s">
        <v>71</v>
      </c>
      <c r="I1035" s="17" t="s">
        <v>21</v>
      </c>
      <c r="J1035" s="17">
        <v>3</v>
      </c>
      <c r="K1035" s="17" t="s">
        <v>104</v>
      </c>
      <c r="L1035" s="17" t="s">
        <v>21</v>
      </c>
      <c r="M1035" s="17" t="s">
        <v>268</v>
      </c>
      <c r="N1035" s="17">
        <v>799</v>
      </c>
      <c r="O1035" s="17">
        <v>799</v>
      </c>
      <c r="P1035" s="26">
        <f>(data[[#This Row],[LoadedMiles]]/data[[#This Row],[TotalMiles]])*100</f>
        <v>100</v>
      </c>
      <c r="Q1035" s="25">
        <f>data[[#This Row],[ShippingCost]]/data[[#This Row],[TotalMiles]]</f>
        <v>5.0225281602002507</v>
      </c>
      <c r="R1035" s="17">
        <v>4013</v>
      </c>
      <c r="S1035" s="25">
        <f>data[[#This Row],[Revenue]]/data[[#This Row],[TotalMiles]]</f>
        <v>5.6883604505632039</v>
      </c>
      <c r="T1035" s="26">
        <f>data[[#This Row],[Revenue]]-data[[#This Row],[ShippingCost]]</f>
        <v>532</v>
      </c>
      <c r="U1035" s="17">
        <v>4545</v>
      </c>
      <c r="V1035" s="17">
        <v>69</v>
      </c>
      <c r="W1035" s="17" t="s">
        <v>25</v>
      </c>
      <c r="X1035" s="17">
        <v>10</v>
      </c>
      <c r="Y1035" s="17">
        <f>data[[#This Row],[DeliveryDate]]-data[[#This Row],[ShipDate]]</f>
        <v>3</v>
      </c>
      <c r="Z1035" s="17" t="str">
        <f>IF(data[[#This Row],[Actual Delivery Days]]&gt;AD1036,"Yes","No")</f>
        <v>Yes</v>
      </c>
    </row>
    <row r="1036" spans="1:26">
      <c r="A1036" s="17">
        <v>11114</v>
      </c>
      <c r="B1036" s="17">
        <v>2</v>
      </c>
      <c r="C1036" s="17">
        <v>2</v>
      </c>
      <c r="D1036" s="17" t="s">
        <v>520</v>
      </c>
      <c r="E1036" s="17" t="s">
        <v>218</v>
      </c>
      <c r="F1036" s="17" t="str">
        <f>TEXT(data[[#This Row],[ShipDate]],"yyyy - mmmm")</f>
        <v>2016 - May</v>
      </c>
      <c r="G1036" s="17" t="str">
        <f>data[[#This Row],[OriginCity]] &amp; " - "  &amp; data[[#This Row],[DestinationCity]]</f>
        <v>Dayton - Elgin</v>
      </c>
      <c r="H1036" s="17" t="s">
        <v>93</v>
      </c>
      <c r="I1036" s="17" t="s">
        <v>23</v>
      </c>
      <c r="J1036" s="17">
        <v>3</v>
      </c>
      <c r="K1036" s="17" t="s">
        <v>94</v>
      </c>
      <c r="L1036" s="17" t="s">
        <v>31</v>
      </c>
      <c r="M1036" s="17" t="s">
        <v>224</v>
      </c>
      <c r="N1036" s="17">
        <v>870</v>
      </c>
      <c r="O1036" s="17">
        <v>263</v>
      </c>
      <c r="P1036" s="26">
        <f>(data[[#This Row],[LoadedMiles]]/data[[#This Row],[TotalMiles]])*100</f>
        <v>30.229885057471261</v>
      </c>
      <c r="Q1036" s="25">
        <f>data[[#This Row],[ShippingCost]]/data[[#This Row],[TotalMiles]]</f>
        <v>3.9321839080459768</v>
      </c>
      <c r="R1036" s="17">
        <v>3421</v>
      </c>
      <c r="S1036" s="25">
        <f>data[[#This Row],[Revenue]]/data[[#This Row],[TotalMiles]]</f>
        <v>4.5494252873563221</v>
      </c>
      <c r="T1036" s="26">
        <f>data[[#This Row],[Revenue]]-data[[#This Row],[ShippingCost]]</f>
        <v>537</v>
      </c>
      <c r="U1036" s="17">
        <v>3958</v>
      </c>
      <c r="V1036" s="17">
        <v>86</v>
      </c>
      <c r="W1036" s="17" t="s">
        <v>25</v>
      </c>
      <c r="X1036" s="17">
        <v>7</v>
      </c>
      <c r="Y1036" s="17">
        <f>data[[#This Row],[DeliveryDate]]-data[[#This Row],[ShipDate]]</f>
        <v>1</v>
      </c>
      <c r="Z1036" s="17" t="str">
        <f>IF(data[[#This Row],[Actual Delivery Days]]&gt;AD1037,"Yes","No")</f>
        <v>Yes</v>
      </c>
    </row>
    <row r="1037" spans="1:26">
      <c r="A1037" s="17">
        <v>11118</v>
      </c>
      <c r="B1037" s="17">
        <v>2</v>
      </c>
      <c r="C1037" s="17">
        <v>3</v>
      </c>
      <c r="D1037" s="17" t="s">
        <v>526</v>
      </c>
      <c r="E1037" s="17" t="s">
        <v>422</v>
      </c>
      <c r="F1037" s="17" t="str">
        <f>TEXT(data[[#This Row],[ShipDate]],"yyyy - mmmm")</f>
        <v>2016 - August</v>
      </c>
      <c r="G1037" s="17" t="str">
        <f>data[[#This Row],[OriginCity]] &amp; " - "  &amp; data[[#This Row],[DestinationCity]]</f>
        <v>Elgin - Cincinnati</v>
      </c>
      <c r="H1037" s="17" t="s">
        <v>94</v>
      </c>
      <c r="I1037" s="17" t="s">
        <v>31</v>
      </c>
      <c r="J1037" s="17">
        <v>3</v>
      </c>
      <c r="K1037" s="17" t="s">
        <v>89</v>
      </c>
      <c r="L1037" s="17" t="s">
        <v>23</v>
      </c>
      <c r="M1037" s="17" t="s">
        <v>408</v>
      </c>
      <c r="N1037" s="17">
        <v>889</v>
      </c>
      <c r="O1037" s="17">
        <v>502</v>
      </c>
      <c r="P1037" s="26">
        <f>(data[[#This Row],[LoadedMiles]]/data[[#This Row],[TotalMiles]])*100</f>
        <v>56.467941507311579</v>
      </c>
      <c r="Q1037" s="25">
        <f>data[[#This Row],[ShippingCost]]/data[[#This Row],[TotalMiles]]</f>
        <v>3.0573678290213722</v>
      </c>
      <c r="R1037" s="17">
        <v>2718</v>
      </c>
      <c r="S1037" s="25">
        <f>data[[#This Row],[Revenue]]/data[[#This Row],[TotalMiles]]</f>
        <v>3.6647919010123733</v>
      </c>
      <c r="T1037" s="26">
        <f>data[[#This Row],[Revenue]]-data[[#This Row],[ShippingCost]]</f>
        <v>540</v>
      </c>
      <c r="U1037" s="17">
        <v>3258</v>
      </c>
      <c r="V1037" s="17">
        <v>56</v>
      </c>
      <c r="W1037" s="17" t="s">
        <v>25</v>
      </c>
      <c r="X1037" s="17">
        <v>5</v>
      </c>
      <c r="Y1037" s="17">
        <f>data[[#This Row],[DeliveryDate]]-data[[#This Row],[ShipDate]]</f>
        <v>3</v>
      </c>
      <c r="Z1037" s="17" t="str">
        <f>IF(data[[#This Row],[Actual Delivery Days]]&gt;AD1038,"Yes","No")</f>
        <v>Yes</v>
      </c>
    </row>
    <row r="1038" spans="1:26">
      <c r="A1038" s="17">
        <v>11119</v>
      </c>
      <c r="B1038" s="17">
        <v>3</v>
      </c>
      <c r="C1038" s="17">
        <v>5</v>
      </c>
      <c r="D1038" s="17" t="s">
        <v>528</v>
      </c>
      <c r="E1038" s="17" t="s">
        <v>365</v>
      </c>
      <c r="F1038" s="17" t="str">
        <f>TEXT(data[[#This Row],[ShipDate]],"yyyy - mmmm")</f>
        <v>2016 - June</v>
      </c>
      <c r="G1038" s="17" t="str">
        <f>data[[#This Row],[OriginCity]] &amp; " - "  &amp; data[[#This Row],[DestinationCity]]</f>
        <v>Kalamazoo - Bangor</v>
      </c>
      <c r="H1038" s="17" t="s">
        <v>71</v>
      </c>
      <c r="I1038" s="17" t="s">
        <v>21</v>
      </c>
      <c r="J1038" s="17">
        <v>3</v>
      </c>
      <c r="K1038" s="17" t="s">
        <v>104</v>
      </c>
      <c r="L1038" s="17" t="s">
        <v>21</v>
      </c>
      <c r="M1038" s="17" t="s">
        <v>135</v>
      </c>
      <c r="N1038" s="17">
        <v>620</v>
      </c>
      <c r="O1038" s="17">
        <v>319</v>
      </c>
      <c r="P1038" s="26">
        <f>(data[[#This Row],[LoadedMiles]]/data[[#This Row],[TotalMiles]])*100</f>
        <v>51.451612903225808</v>
      </c>
      <c r="Q1038" s="25">
        <f>data[[#This Row],[ShippingCost]]/data[[#This Row],[TotalMiles]]</f>
        <v>13.635483870967741</v>
      </c>
      <c r="R1038" s="17">
        <v>8454</v>
      </c>
      <c r="S1038" s="25">
        <f>data[[#This Row],[Revenue]]/data[[#This Row],[TotalMiles]]</f>
        <v>14.501612903225807</v>
      </c>
      <c r="T1038" s="26">
        <f>data[[#This Row],[Revenue]]-data[[#This Row],[ShippingCost]]</f>
        <v>537</v>
      </c>
      <c r="U1038" s="17">
        <v>8991</v>
      </c>
      <c r="V1038" s="17">
        <v>84</v>
      </c>
      <c r="W1038" s="17" t="s">
        <v>25</v>
      </c>
      <c r="X1038" s="17">
        <v>9</v>
      </c>
      <c r="Y1038" s="17">
        <f>data[[#This Row],[DeliveryDate]]-data[[#This Row],[ShipDate]]</f>
        <v>3</v>
      </c>
      <c r="Z1038" s="17" t="str">
        <f>IF(data[[#This Row],[Actual Delivery Days]]&gt;AD1039,"Yes","No")</f>
        <v>Yes</v>
      </c>
    </row>
    <row r="1039" spans="1:26">
      <c r="A1039" s="17">
        <v>11120</v>
      </c>
      <c r="B1039" s="17">
        <v>2</v>
      </c>
      <c r="C1039" s="17">
        <v>4</v>
      </c>
      <c r="D1039" s="17" t="s">
        <v>529</v>
      </c>
      <c r="E1039" s="17" t="s">
        <v>132</v>
      </c>
      <c r="F1039" s="17" t="str">
        <f>TEXT(data[[#This Row],[ShipDate]],"yyyy - mmmm")</f>
        <v>2016 - February</v>
      </c>
      <c r="G1039" s="17" t="str">
        <f>data[[#This Row],[OriginCity]] &amp; " - "  &amp; data[[#This Row],[DestinationCity]]</f>
        <v>Davenport - Appleton</v>
      </c>
      <c r="H1039" s="17" t="s">
        <v>105</v>
      </c>
      <c r="I1039" s="17" t="s">
        <v>106</v>
      </c>
      <c r="J1039" s="17">
        <v>3</v>
      </c>
      <c r="K1039" s="17" t="s">
        <v>85</v>
      </c>
      <c r="L1039" s="17" t="s">
        <v>29</v>
      </c>
      <c r="M1039" s="17" t="s">
        <v>74</v>
      </c>
      <c r="N1039" s="17">
        <v>508</v>
      </c>
      <c r="O1039" s="17">
        <v>493</v>
      </c>
      <c r="P1039" s="26">
        <f>(data[[#This Row],[LoadedMiles]]/data[[#This Row],[TotalMiles]])*100</f>
        <v>97.047244094488192</v>
      </c>
      <c r="Q1039" s="25">
        <f>data[[#This Row],[ShippingCost]]/data[[#This Row],[TotalMiles]]</f>
        <v>5.2637795275590555</v>
      </c>
      <c r="R1039" s="17">
        <v>2674</v>
      </c>
      <c r="S1039" s="25">
        <f>data[[#This Row],[Revenue]]/data[[#This Row],[TotalMiles]]</f>
        <v>1.6929133858267718</v>
      </c>
      <c r="T1039" s="26">
        <f>data[[#This Row],[Revenue]]-data[[#This Row],[ShippingCost]]</f>
        <v>-1814</v>
      </c>
      <c r="U1039" s="17">
        <v>860</v>
      </c>
      <c r="V1039" s="17">
        <v>73</v>
      </c>
      <c r="W1039" s="17" t="s">
        <v>25</v>
      </c>
      <c r="X1039" s="17">
        <v>3</v>
      </c>
      <c r="Y1039" s="17">
        <f>data[[#This Row],[DeliveryDate]]-data[[#This Row],[ShipDate]]</f>
        <v>3</v>
      </c>
      <c r="Z1039" s="17" t="str">
        <f>IF(data[[#This Row],[Actual Delivery Days]]&gt;AD1040,"Yes","No")</f>
        <v>Yes</v>
      </c>
    </row>
    <row r="1040" spans="1:26">
      <c r="A1040" s="17">
        <v>11121</v>
      </c>
      <c r="B1040" s="17">
        <v>2</v>
      </c>
      <c r="C1040" s="17">
        <v>1</v>
      </c>
      <c r="D1040" s="17" t="s">
        <v>532</v>
      </c>
      <c r="E1040" s="17" t="s">
        <v>612</v>
      </c>
      <c r="F1040" s="17" t="str">
        <f>TEXT(data[[#This Row],[ShipDate]],"yyyy - mmmm")</f>
        <v>2016 - January</v>
      </c>
      <c r="G1040" s="17" t="str">
        <f>data[[#This Row],[OriginCity]] &amp; " - "  &amp; data[[#This Row],[DestinationCity]]</f>
        <v>Grand Rapids - Toledo</v>
      </c>
      <c r="H1040" s="17" t="s">
        <v>20</v>
      </c>
      <c r="I1040" s="17" t="s">
        <v>21</v>
      </c>
      <c r="J1040" s="17">
        <v>3</v>
      </c>
      <c r="K1040" s="17" t="s">
        <v>22</v>
      </c>
      <c r="L1040" s="17" t="s">
        <v>23</v>
      </c>
      <c r="M1040" s="17" t="s">
        <v>304</v>
      </c>
      <c r="N1040" s="17">
        <v>357</v>
      </c>
      <c r="O1040" s="17">
        <v>238</v>
      </c>
      <c r="P1040" s="26">
        <f>(data[[#This Row],[LoadedMiles]]/data[[#This Row],[TotalMiles]])*100</f>
        <v>66.666666666666657</v>
      </c>
      <c r="Q1040" s="25">
        <f>data[[#This Row],[ShippingCost]]/data[[#This Row],[TotalMiles]]</f>
        <v>6.3753501400560229</v>
      </c>
      <c r="R1040" s="17">
        <v>2276</v>
      </c>
      <c r="S1040" s="25">
        <f>data[[#This Row],[Revenue]]/data[[#This Row],[TotalMiles]]</f>
        <v>20.69467787114846</v>
      </c>
      <c r="T1040" s="26">
        <f>data[[#This Row],[Revenue]]-data[[#This Row],[ShippingCost]]</f>
        <v>5112</v>
      </c>
      <c r="U1040" s="17">
        <v>7388</v>
      </c>
      <c r="V1040" s="17">
        <v>60</v>
      </c>
      <c r="W1040" s="17" t="s">
        <v>25</v>
      </c>
      <c r="X1040" s="17">
        <v>10</v>
      </c>
      <c r="Y1040" s="17">
        <f>data[[#This Row],[DeliveryDate]]-data[[#This Row],[ShipDate]]</f>
        <v>1</v>
      </c>
      <c r="Z1040" s="17" t="str">
        <f>IF(data[[#This Row],[Actual Delivery Days]]&gt;AD1041,"Yes","No")</f>
        <v>Yes</v>
      </c>
    </row>
    <row r="1041" spans="1:26">
      <c r="A1041" s="17">
        <v>11135</v>
      </c>
      <c r="B1041" s="17">
        <v>3</v>
      </c>
      <c r="C1041" s="17">
        <v>6</v>
      </c>
      <c r="D1041" s="17" t="s">
        <v>550</v>
      </c>
      <c r="E1041" s="17" t="s">
        <v>114</v>
      </c>
      <c r="F1041" s="17" t="str">
        <f>TEXT(data[[#This Row],[ShipDate]],"yyyy - mmmm")</f>
        <v>2016 - April</v>
      </c>
      <c r="G1041" s="17" t="str">
        <f>data[[#This Row],[OriginCity]] &amp; " - "  &amp; data[[#This Row],[DestinationCity]]</f>
        <v>Appleton - Grand Rapids</v>
      </c>
      <c r="H1041" s="17" t="s">
        <v>85</v>
      </c>
      <c r="I1041" s="17" t="s">
        <v>29</v>
      </c>
      <c r="J1041" s="17">
        <v>3</v>
      </c>
      <c r="K1041" s="17" t="s">
        <v>20</v>
      </c>
      <c r="L1041" s="17" t="s">
        <v>21</v>
      </c>
      <c r="M1041" s="17" t="s">
        <v>624</v>
      </c>
      <c r="N1041" s="17">
        <v>860</v>
      </c>
      <c r="O1041" s="17">
        <v>330</v>
      </c>
      <c r="P1041" s="26">
        <f>(data[[#This Row],[LoadedMiles]]/data[[#This Row],[TotalMiles]])*100</f>
        <v>38.372093023255815</v>
      </c>
      <c r="Q1041" s="25">
        <f>data[[#This Row],[ShippingCost]]/data[[#This Row],[TotalMiles]]</f>
        <v>0.56511627906976747</v>
      </c>
      <c r="R1041" s="17">
        <v>486</v>
      </c>
      <c r="S1041" s="25">
        <f>data[[#This Row],[Revenue]]/data[[#This Row],[TotalMiles]]</f>
        <v>0.99767441860465111</v>
      </c>
      <c r="T1041" s="26">
        <f>data[[#This Row],[Revenue]]-data[[#This Row],[ShippingCost]]</f>
        <v>372</v>
      </c>
      <c r="U1041" s="17">
        <v>858</v>
      </c>
      <c r="V1041" s="17">
        <v>84</v>
      </c>
      <c r="W1041" s="17" t="s">
        <v>25</v>
      </c>
      <c r="X1041" s="17">
        <v>3</v>
      </c>
      <c r="Y1041" s="17">
        <f>data[[#This Row],[DeliveryDate]]-data[[#This Row],[ShipDate]]</f>
        <v>3</v>
      </c>
      <c r="Z1041" s="17" t="str">
        <f>IF(data[[#This Row],[Actual Delivery Days]]&gt;AD1042,"Yes","No")</f>
        <v>Yes</v>
      </c>
    </row>
    <row r="1042" spans="1:26">
      <c r="A1042" s="17">
        <v>11137</v>
      </c>
      <c r="B1042" s="17">
        <v>3</v>
      </c>
      <c r="C1042" s="17">
        <v>2</v>
      </c>
      <c r="D1042" s="17" t="s">
        <v>552</v>
      </c>
      <c r="E1042" s="17" t="s">
        <v>348</v>
      </c>
      <c r="F1042" s="17" t="str">
        <f>TEXT(data[[#This Row],[ShipDate]],"yyyy - mmmm")</f>
        <v>2016 - May</v>
      </c>
      <c r="G1042" s="17" t="str">
        <f>data[[#This Row],[OriginCity]] &amp; " - "  &amp; data[[#This Row],[DestinationCity]]</f>
        <v>Dayton - Elgin</v>
      </c>
      <c r="H1042" s="17" t="s">
        <v>93</v>
      </c>
      <c r="I1042" s="17" t="s">
        <v>23</v>
      </c>
      <c r="J1042" s="17">
        <v>3</v>
      </c>
      <c r="K1042" s="17" t="s">
        <v>94</v>
      </c>
      <c r="L1042" s="17" t="s">
        <v>31</v>
      </c>
      <c r="M1042" s="17" t="s">
        <v>312</v>
      </c>
      <c r="N1042" s="17">
        <v>209</v>
      </c>
      <c r="O1042" s="17">
        <v>209</v>
      </c>
      <c r="P1042" s="26">
        <f>(data[[#This Row],[LoadedMiles]]/data[[#This Row],[TotalMiles]])*100</f>
        <v>100</v>
      </c>
      <c r="Q1042" s="25">
        <f>data[[#This Row],[ShippingCost]]/data[[#This Row],[TotalMiles]]</f>
        <v>1.229665071770335</v>
      </c>
      <c r="R1042" s="17">
        <v>257</v>
      </c>
      <c r="S1042" s="25">
        <f>data[[#This Row],[Revenue]]/data[[#This Row],[TotalMiles]]</f>
        <v>5.8947368421052628</v>
      </c>
      <c r="T1042" s="26">
        <f>data[[#This Row],[Revenue]]-data[[#This Row],[ShippingCost]]</f>
        <v>975</v>
      </c>
      <c r="U1042" s="17">
        <v>1232</v>
      </c>
      <c r="V1042" s="17">
        <v>75</v>
      </c>
      <c r="W1042" s="17" t="s">
        <v>25</v>
      </c>
      <c r="X1042" s="17">
        <v>3</v>
      </c>
      <c r="Y1042" s="17">
        <f>data[[#This Row],[DeliveryDate]]-data[[#This Row],[ShipDate]]</f>
        <v>3</v>
      </c>
      <c r="Z1042" s="17" t="str">
        <f>IF(data[[#This Row],[Actual Delivery Days]]&gt;AD1043,"Yes","No")</f>
        <v>Yes</v>
      </c>
    </row>
    <row r="1043" spans="1:26">
      <c r="A1043" s="17">
        <v>11138</v>
      </c>
      <c r="B1043" s="17">
        <v>2</v>
      </c>
      <c r="C1043" s="17">
        <v>2</v>
      </c>
      <c r="D1043" s="17" t="s">
        <v>554</v>
      </c>
      <c r="E1043" s="17" t="s">
        <v>413</v>
      </c>
      <c r="F1043" s="17" t="str">
        <f>TEXT(data[[#This Row],[ShipDate]],"yyyy - mmmm")</f>
        <v>2016 - April</v>
      </c>
      <c r="G1043" s="17" t="str">
        <f>data[[#This Row],[OriginCity]] &amp; " - "  &amp; data[[#This Row],[DestinationCity]]</f>
        <v>Toledo - Detriot</v>
      </c>
      <c r="H1043" s="17" t="s">
        <v>22</v>
      </c>
      <c r="I1043" s="17" t="s">
        <v>23</v>
      </c>
      <c r="J1043" s="17">
        <v>3</v>
      </c>
      <c r="K1043" s="17" t="s">
        <v>52</v>
      </c>
      <c r="L1043" s="17" t="s">
        <v>21</v>
      </c>
      <c r="M1043" s="17" t="s">
        <v>98</v>
      </c>
      <c r="N1043" s="17">
        <v>571</v>
      </c>
      <c r="O1043" s="17">
        <v>238</v>
      </c>
      <c r="P1043" s="26">
        <f>(data[[#This Row],[LoadedMiles]]/data[[#This Row],[TotalMiles]])*100</f>
        <v>41.681260945709283</v>
      </c>
      <c r="Q1043" s="25">
        <f>data[[#This Row],[ShippingCost]]/data[[#This Row],[TotalMiles]]</f>
        <v>6.945709281961471</v>
      </c>
      <c r="R1043" s="17">
        <v>3966</v>
      </c>
      <c r="S1043" s="25">
        <f>data[[#This Row],[Revenue]]/data[[#This Row],[TotalMiles]]</f>
        <v>8.0700525394045535</v>
      </c>
      <c r="T1043" s="26">
        <f>data[[#This Row],[Revenue]]-data[[#This Row],[ShippingCost]]</f>
        <v>642</v>
      </c>
      <c r="U1043" s="17">
        <v>4608</v>
      </c>
      <c r="V1043" s="17">
        <v>61</v>
      </c>
      <c r="W1043" s="17" t="s">
        <v>25</v>
      </c>
      <c r="X1043" s="17">
        <v>6</v>
      </c>
      <c r="Y1043" s="17">
        <f>data[[#This Row],[DeliveryDate]]-data[[#This Row],[ShipDate]]</f>
        <v>3</v>
      </c>
      <c r="Z1043" s="17" t="str">
        <f>IF(data[[#This Row],[Actual Delivery Days]]&gt;AD1044,"Yes","No")</f>
        <v>Yes</v>
      </c>
    </row>
    <row r="1044" spans="1:26">
      <c r="A1044" s="17">
        <v>11151</v>
      </c>
      <c r="B1044" s="17">
        <v>2</v>
      </c>
      <c r="C1044" s="17">
        <v>1</v>
      </c>
      <c r="D1044" s="17" t="s">
        <v>570</v>
      </c>
      <c r="E1044" s="17" t="s">
        <v>238</v>
      </c>
      <c r="F1044" s="17" t="str">
        <f>TEXT(data[[#This Row],[ShipDate]],"yyyy - mmmm")</f>
        <v>2016 - March</v>
      </c>
      <c r="G1044" s="17" t="str">
        <f>data[[#This Row],[OriginCity]] &amp; " - "  &amp; data[[#This Row],[DestinationCity]]</f>
        <v>Joliet - Madison</v>
      </c>
      <c r="H1044" s="17" t="s">
        <v>61</v>
      </c>
      <c r="I1044" s="17" t="s">
        <v>31</v>
      </c>
      <c r="J1044" s="17">
        <v>3</v>
      </c>
      <c r="K1044" s="17" t="s">
        <v>62</v>
      </c>
      <c r="L1044" s="17" t="s">
        <v>29</v>
      </c>
      <c r="M1044" s="17" t="s">
        <v>124</v>
      </c>
      <c r="N1044" s="17">
        <v>1074</v>
      </c>
      <c r="O1044" s="17">
        <v>553</v>
      </c>
      <c r="P1044" s="26">
        <f>(data[[#This Row],[LoadedMiles]]/data[[#This Row],[TotalMiles]])*100</f>
        <v>51.489757914338917</v>
      </c>
      <c r="Q1044" s="25">
        <f>data[[#This Row],[ShippingCost]]/data[[#This Row],[TotalMiles]]</f>
        <v>1.8789571694599627</v>
      </c>
      <c r="R1044" s="17">
        <v>2018</v>
      </c>
      <c r="S1044" s="25">
        <f>data[[#This Row],[Revenue]]/data[[#This Row],[TotalMiles]]</f>
        <v>5.2923649906890127</v>
      </c>
      <c r="T1044" s="26">
        <f>data[[#This Row],[Revenue]]-data[[#This Row],[ShippingCost]]</f>
        <v>3666</v>
      </c>
      <c r="U1044" s="17">
        <v>5684</v>
      </c>
      <c r="V1044" s="17">
        <v>77</v>
      </c>
      <c r="W1044" s="17" t="s">
        <v>25</v>
      </c>
      <c r="X1044" s="17">
        <v>3</v>
      </c>
      <c r="Y1044" s="17">
        <f>data[[#This Row],[DeliveryDate]]-data[[#This Row],[ShipDate]]</f>
        <v>1</v>
      </c>
      <c r="Z1044" s="17" t="str">
        <f>IF(data[[#This Row],[Actual Delivery Days]]&gt;AD1045,"Yes","No")</f>
        <v>Yes</v>
      </c>
    </row>
    <row r="1045" spans="1:26">
      <c r="A1045" s="17">
        <v>11152</v>
      </c>
      <c r="B1045" s="17">
        <v>3</v>
      </c>
      <c r="C1045" s="17">
        <v>6</v>
      </c>
      <c r="D1045" s="17" t="s">
        <v>571</v>
      </c>
      <c r="E1045" s="17" t="s">
        <v>616</v>
      </c>
      <c r="F1045" s="17" t="str">
        <f>TEXT(data[[#This Row],[ShipDate]],"yyyy - mmmm")</f>
        <v>2016 - May</v>
      </c>
      <c r="G1045" s="17" t="str">
        <f>data[[#This Row],[OriginCity]] &amp; " - "  &amp; data[[#This Row],[DestinationCity]]</f>
        <v>Monon - Lansing</v>
      </c>
      <c r="H1045" s="17" t="s">
        <v>53</v>
      </c>
      <c r="I1045" s="17" t="s">
        <v>44</v>
      </c>
      <c r="J1045" s="17">
        <v>3</v>
      </c>
      <c r="K1045" s="17" t="s">
        <v>66</v>
      </c>
      <c r="L1045" s="17" t="s">
        <v>21</v>
      </c>
      <c r="M1045" s="17" t="s">
        <v>437</v>
      </c>
      <c r="N1045" s="17">
        <v>1130</v>
      </c>
      <c r="O1045" s="17">
        <v>518</v>
      </c>
      <c r="P1045" s="26">
        <f>(data[[#This Row],[LoadedMiles]]/data[[#This Row],[TotalMiles]])*100</f>
        <v>45.840707964601769</v>
      </c>
      <c r="Q1045" s="25">
        <f>data[[#This Row],[ShippingCost]]/data[[#This Row],[TotalMiles]]</f>
        <v>6.0592920353982302</v>
      </c>
      <c r="R1045" s="17">
        <v>6847</v>
      </c>
      <c r="S1045" s="25">
        <f>data[[#This Row],[Revenue]]/data[[#This Row],[TotalMiles]]</f>
        <v>6.8</v>
      </c>
      <c r="T1045" s="26">
        <f>data[[#This Row],[Revenue]]-data[[#This Row],[ShippingCost]]</f>
        <v>837</v>
      </c>
      <c r="U1045" s="17">
        <v>7684</v>
      </c>
      <c r="V1045" s="17">
        <v>65</v>
      </c>
      <c r="W1045" s="17" t="s">
        <v>25</v>
      </c>
      <c r="X1045" s="17">
        <v>8</v>
      </c>
      <c r="Y1045" s="17">
        <f>data[[#This Row],[DeliveryDate]]-data[[#This Row],[ShipDate]]</f>
        <v>3</v>
      </c>
      <c r="Z1045" s="17" t="str">
        <f>IF(data[[#This Row],[Actual Delivery Days]]&gt;AD1046,"Yes","No")</f>
        <v>Yes</v>
      </c>
    </row>
    <row r="1046" spans="1:26">
      <c r="A1046" s="17">
        <v>11159</v>
      </c>
      <c r="B1046" s="17">
        <v>3</v>
      </c>
      <c r="C1046" s="17">
        <v>3</v>
      </c>
      <c r="D1046" s="17" t="s">
        <v>579</v>
      </c>
      <c r="E1046" s="17" t="s">
        <v>462</v>
      </c>
      <c r="F1046" s="17" t="str">
        <f>TEXT(data[[#This Row],[ShipDate]],"yyyy - mmmm")</f>
        <v>2016 - March</v>
      </c>
      <c r="G1046" s="17" t="str">
        <f>data[[#This Row],[OriginCity]] &amp; " - "  &amp; data[[#This Row],[DestinationCity]]</f>
        <v>Dayton - Elgin</v>
      </c>
      <c r="H1046" s="17" t="s">
        <v>93</v>
      </c>
      <c r="I1046" s="17" t="s">
        <v>23</v>
      </c>
      <c r="J1046" s="17">
        <v>3</v>
      </c>
      <c r="K1046" s="17" t="s">
        <v>94</v>
      </c>
      <c r="L1046" s="17" t="s">
        <v>31</v>
      </c>
      <c r="M1046" s="17" t="s">
        <v>462</v>
      </c>
      <c r="N1046" s="17">
        <v>551</v>
      </c>
      <c r="O1046" s="17">
        <v>551</v>
      </c>
      <c r="P1046" s="26">
        <f>(data[[#This Row],[LoadedMiles]]/data[[#This Row],[TotalMiles]])*100</f>
        <v>100</v>
      </c>
      <c r="Q1046" s="25">
        <f>data[[#This Row],[ShippingCost]]/data[[#This Row],[TotalMiles]]</f>
        <v>0.82214156079854805</v>
      </c>
      <c r="R1046" s="17">
        <v>453</v>
      </c>
      <c r="S1046" s="25">
        <f>data[[#This Row],[Revenue]]/data[[#This Row],[TotalMiles]]</f>
        <v>2.114337568058076</v>
      </c>
      <c r="T1046" s="26">
        <f>data[[#This Row],[Revenue]]-data[[#This Row],[ShippingCost]]</f>
        <v>712</v>
      </c>
      <c r="U1046" s="17">
        <v>1165</v>
      </c>
      <c r="V1046" s="17">
        <v>80</v>
      </c>
      <c r="W1046" s="17" t="s">
        <v>25</v>
      </c>
      <c r="X1046" s="17">
        <v>9</v>
      </c>
      <c r="Y1046" s="17">
        <f>data[[#This Row],[DeliveryDate]]-data[[#This Row],[ShipDate]]</f>
        <v>0</v>
      </c>
      <c r="Z1046" s="17" t="str">
        <f>IF(data[[#This Row],[Actual Delivery Days]]&gt;AD1047,"Yes","No")</f>
        <v>No</v>
      </c>
    </row>
    <row r="1047" spans="1:26">
      <c r="A1047" s="17">
        <v>11168</v>
      </c>
      <c r="B1047" s="17">
        <v>2</v>
      </c>
      <c r="C1047" s="17">
        <v>2</v>
      </c>
      <c r="D1047" s="17" t="s">
        <v>590</v>
      </c>
      <c r="E1047" s="17" t="s">
        <v>216</v>
      </c>
      <c r="F1047" s="17" t="str">
        <f>TEXT(data[[#This Row],[ShipDate]],"yyyy - mmmm")</f>
        <v>2016 - August</v>
      </c>
      <c r="G1047" s="17" t="str">
        <f>data[[#This Row],[OriginCity]] &amp; " - "  &amp; data[[#This Row],[DestinationCity]]</f>
        <v>Milwaukee - Springfield</v>
      </c>
      <c r="H1047" s="17" t="s">
        <v>28</v>
      </c>
      <c r="I1047" s="17" t="s">
        <v>29</v>
      </c>
      <c r="J1047" s="17">
        <v>3</v>
      </c>
      <c r="K1047" s="17" t="s">
        <v>30</v>
      </c>
      <c r="L1047" s="17" t="s">
        <v>31</v>
      </c>
      <c r="M1047" s="17" t="s">
        <v>103</v>
      </c>
      <c r="N1047" s="17">
        <v>361</v>
      </c>
      <c r="O1047" s="17">
        <v>361</v>
      </c>
      <c r="P1047" s="26">
        <f>(data[[#This Row],[LoadedMiles]]/data[[#This Row],[TotalMiles]])*100</f>
        <v>100</v>
      </c>
      <c r="Q1047" s="25">
        <f>data[[#This Row],[ShippingCost]]/data[[#This Row],[TotalMiles]]</f>
        <v>4.8199445983379503</v>
      </c>
      <c r="R1047" s="17">
        <v>1740</v>
      </c>
      <c r="S1047" s="25">
        <f>data[[#This Row],[Revenue]]/data[[#This Row],[TotalMiles]]</f>
        <v>6.4875346260387809</v>
      </c>
      <c r="T1047" s="26">
        <f>data[[#This Row],[Revenue]]-data[[#This Row],[ShippingCost]]</f>
        <v>602</v>
      </c>
      <c r="U1047" s="17">
        <v>2342</v>
      </c>
      <c r="V1047" s="17">
        <v>87</v>
      </c>
      <c r="W1047" s="17" t="s">
        <v>25</v>
      </c>
      <c r="X1047" s="17">
        <v>3</v>
      </c>
      <c r="Y1047" s="17">
        <f>data[[#This Row],[DeliveryDate]]-data[[#This Row],[ShipDate]]</f>
        <v>3</v>
      </c>
      <c r="Z1047" s="17" t="str">
        <f>IF(data[[#This Row],[Actual Delivery Days]]&gt;AD1048,"Yes","No")</f>
        <v>Yes</v>
      </c>
    </row>
    <row r="1048" spans="1:26">
      <c r="A1048" s="17">
        <v>11172</v>
      </c>
      <c r="B1048" s="17">
        <v>2</v>
      </c>
      <c r="C1048" s="17">
        <v>2</v>
      </c>
      <c r="D1048" s="17" t="s">
        <v>594</v>
      </c>
      <c r="E1048" s="17" t="s">
        <v>76</v>
      </c>
      <c r="F1048" s="17" t="str">
        <f>TEXT(data[[#This Row],[ShipDate]],"yyyy - mmmm")</f>
        <v>2016 - March</v>
      </c>
      <c r="G1048" s="17" t="str">
        <f>data[[#This Row],[OriginCity]] &amp; " - "  &amp; data[[#This Row],[DestinationCity]]</f>
        <v>Northbrook - Naperville</v>
      </c>
      <c r="H1048" s="17" t="s">
        <v>45</v>
      </c>
      <c r="I1048" s="17" t="s">
        <v>31</v>
      </c>
      <c r="J1048" s="17">
        <v>3</v>
      </c>
      <c r="K1048" s="17" t="s">
        <v>48</v>
      </c>
      <c r="L1048" s="17" t="s">
        <v>31</v>
      </c>
      <c r="M1048" s="17" t="s">
        <v>238</v>
      </c>
      <c r="N1048" s="17">
        <v>810</v>
      </c>
      <c r="O1048" s="17">
        <v>633</v>
      </c>
      <c r="P1048" s="26">
        <f>(data[[#This Row],[LoadedMiles]]/data[[#This Row],[TotalMiles]])*100</f>
        <v>78.148148148148138</v>
      </c>
      <c r="Q1048" s="25">
        <f>data[[#This Row],[ShippingCost]]/data[[#This Row],[TotalMiles]]</f>
        <v>0.26419753086419751</v>
      </c>
      <c r="R1048" s="17">
        <v>214</v>
      </c>
      <c r="S1048" s="25">
        <f>data[[#This Row],[Revenue]]/data[[#This Row],[TotalMiles]]</f>
        <v>0.5444444444444444</v>
      </c>
      <c r="T1048" s="26">
        <f>data[[#This Row],[Revenue]]-data[[#This Row],[ShippingCost]]</f>
        <v>227</v>
      </c>
      <c r="U1048" s="17">
        <v>441</v>
      </c>
      <c r="V1048" s="17">
        <v>63</v>
      </c>
      <c r="W1048" s="17" t="s">
        <v>25</v>
      </c>
      <c r="X1048" s="17">
        <v>10</v>
      </c>
      <c r="Y1048" s="17">
        <f>data[[#This Row],[DeliveryDate]]-data[[#This Row],[ShipDate]]</f>
        <v>3</v>
      </c>
      <c r="Z1048" s="17" t="str">
        <f>IF(data[[#This Row],[Actual Delivery Days]]&gt;AD1049,"Yes","No")</f>
        <v>Yes</v>
      </c>
    </row>
    <row r="1049" spans="1:26">
      <c r="A1049" s="17">
        <v>11176</v>
      </c>
      <c r="B1049" s="17">
        <v>3</v>
      </c>
      <c r="C1049" s="17">
        <v>1</v>
      </c>
      <c r="D1049" s="17" t="s">
        <v>599</v>
      </c>
      <c r="E1049" s="17" t="s">
        <v>132</v>
      </c>
      <c r="F1049" s="17" t="str">
        <f>TEXT(data[[#This Row],[ShipDate]],"yyyy - mmmm")</f>
        <v>2016 - February</v>
      </c>
      <c r="G1049" s="17" t="str">
        <f>data[[#This Row],[OriginCity]] &amp; " - "  &amp; data[[#This Row],[DestinationCity]]</f>
        <v>Monon - Lansing</v>
      </c>
      <c r="H1049" s="17" t="s">
        <v>53</v>
      </c>
      <c r="I1049" s="17" t="s">
        <v>44</v>
      </c>
      <c r="J1049" s="17">
        <v>3</v>
      </c>
      <c r="K1049" s="17" t="s">
        <v>66</v>
      </c>
      <c r="L1049" s="17" t="s">
        <v>21</v>
      </c>
      <c r="M1049" s="17" t="s">
        <v>74</v>
      </c>
      <c r="N1049" s="17">
        <v>1002</v>
      </c>
      <c r="O1049" s="17">
        <v>585</v>
      </c>
      <c r="P1049" s="26">
        <f>(data[[#This Row],[LoadedMiles]]/data[[#This Row],[TotalMiles]])*100</f>
        <v>58.383233532934128</v>
      </c>
      <c r="Q1049" s="25">
        <f>data[[#This Row],[ShippingCost]]/data[[#This Row],[TotalMiles]]</f>
        <v>0.70059880239520955</v>
      </c>
      <c r="R1049" s="17">
        <v>702</v>
      </c>
      <c r="S1049" s="25">
        <f>data[[#This Row],[Revenue]]/data[[#This Row],[TotalMiles]]</f>
        <v>5.4041916167664672</v>
      </c>
      <c r="T1049" s="26">
        <f>data[[#This Row],[Revenue]]-data[[#This Row],[ShippingCost]]</f>
        <v>4713</v>
      </c>
      <c r="U1049" s="17">
        <v>5415</v>
      </c>
      <c r="V1049" s="17">
        <v>82</v>
      </c>
      <c r="W1049" s="17" t="s">
        <v>25</v>
      </c>
      <c r="X1049" s="17">
        <v>6</v>
      </c>
      <c r="Y1049" s="17">
        <f>data[[#This Row],[DeliveryDate]]-data[[#This Row],[ShipDate]]</f>
        <v>3</v>
      </c>
      <c r="Z1049" s="17" t="str">
        <f>IF(data[[#This Row],[Actual Delivery Days]]&gt;AD1050,"Yes","No")</f>
        <v>Yes</v>
      </c>
    </row>
    <row r="1050" spans="1:26">
      <c r="A1050" s="17">
        <v>11177</v>
      </c>
      <c r="B1050" s="17">
        <v>3</v>
      </c>
      <c r="C1050" s="17">
        <v>4</v>
      </c>
      <c r="D1050" s="17" t="s">
        <v>600</v>
      </c>
      <c r="E1050" s="17" t="s">
        <v>109</v>
      </c>
      <c r="F1050" s="17" t="str">
        <f>TEXT(data[[#This Row],[ShipDate]],"yyyy - mmmm")</f>
        <v>2016 - May</v>
      </c>
      <c r="G1050" s="17" t="str">
        <f>data[[#This Row],[OriginCity]] &amp; " - "  &amp; data[[#This Row],[DestinationCity]]</f>
        <v>Madison - Kalamazoo</v>
      </c>
      <c r="H1050" s="17" t="s">
        <v>62</v>
      </c>
      <c r="I1050" s="17" t="s">
        <v>29</v>
      </c>
      <c r="J1050" s="17">
        <v>3</v>
      </c>
      <c r="K1050" s="17" t="s">
        <v>71</v>
      </c>
      <c r="L1050" s="17" t="s">
        <v>21</v>
      </c>
      <c r="M1050" s="17" t="s">
        <v>509</v>
      </c>
      <c r="N1050" s="17">
        <v>708</v>
      </c>
      <c r="O1050" s="17">
        <v>481</v>
      </c>
      <c r="P1050" s="26">
        <f>(data[[#This Row],[LoadedMiles]]/data[[#This Row],[TotalMiles]])*100</f>
        <v>67.937853107344637</v>
      </c>
      <c r="Q1050" s="25">
        <f>data[[#This Row],[ShippingCost]]/data[[#This Row],[TotalMiles]]</f>
        <v>6.5974576271186445</v>
      </c>
      <c r="R1050" s="17">
        <v>4671</v>
      </c>
      <c r="S1050" s="25">
        <f>data[[#This Row],[Revenue]]/data[[#This Row],[TotalMiles]]</f>
        <v>4.4844632768361583</v>
      </c>
      <c r="T1050" s="26">
        <f>data[[#This Row],[Revenue]]-data[[#This Row],[ShippingCost]]</f>
        <v>-1496</v>
      </c>
      <c r="U1050" s="17">
        <v>3175</v>
      </c>
      <c r="V1050" s="17">
        <v>85</v>
      </c>
      <c r="W1050" s="17" t="s">
        <v>25</v>
      </c>
      <c r="X1050" s="17">
        <v>7</v>
      </c>
      <c r="Y1050" s="17">
        <f>data[[#This Row],[DeliveryDate]]-data[[#This Row],[ShipDate]]</f>
        <v>3</v>
      </c>
      <c r="Z1050" s="17" t="str">
        <f>IF(data[[#This Row],[Actual Delivery Days]]&gt;AD1051,"Yes","No")</f>
        <v>Yes</v>
      </c>
    </row>
    <row r="1051" spans="1:26">
      <c r="A1051" s="17">
        <v>11187</v>
      </c>
      <c r="B1051" s="17">
        <v>3</v>
      </c>
      <c r="C1051" s="17">
        <v>6</v>
      </c>
      <c r="D1051" s="17" t="s">
        <v>41</v>
      </c>
      <c r="E1051" s="17" t="s">
        <v>611</v>
      </c>
      <c r="F1051" s="17" t="str">
        <f>TEXT(data[[#This Row],[ShipDate]],"yyyy - mmmm")</f>
        <v>2016 - February</v>
      </c>
      <c r="G1051" s="17" t="str">
        <f>data[[#This Row],[OriginCity]] &amp; " - "  &amp; data[[#This Row],[DestinationCity]]</f>
        <v>Elgin - Cincinnati</v>
      </c>
      <c r="H1051" s="17" t="s">
        <v>94</v>
      </c>
      <c r="I1051" s="17" t="s">
        <v>31</v>
      </c>
      <c r="J1051" s="17">
        <v>3</v>
      </c>
      <c r="K1051" s="17" t="s">
        <v>89</v>
      </c>
      <c r="L1051" s="17" t="s">
        <v>23</v>
      </c>
      <c r="M1051" s="17" t="s">
        <v>379</v>
      </c>
      <c r="N1051" s="17">
        <v>509</v>
      </c>
      <c r="O1051" s="17">
        <v>407</v>
      </c>
      <c r="P1051" s="26">
        <f>(data[[#This Row],[LoadedMiles]]/data[[#This Row],[TotalMiles]])*100</f>
        <v>79.960707269155208</v>
      </c>
      <c r="Q1051" s="25">
        <f>data[[#This Row],[ShippingCost]]/data[[#This Row],[TotalMiles]]</f>
        <v>9.1768172888015709</v>
      </c>
      <c r="R1051" s="17">
        <v>4671</v>
      </c>
      <c r="S1051" s="25">
        <f>data[[#This Row],[Revenue]]/data[[#This Row],[TotalMiles]]</f>
        <v>10.740667976424362</v>
      </c>
      <c r="T1051" s="26">
        <f>data[[#This Row],[Revenue]]-data[[#This Row],[ShippingCost]]</f>
        <v>796</v>
      </c>
      <c r="U1051" s="17">
        <v>5467</v>
      </c>
      <c r="V1051" s="17">
        <v>90</v>
      </c>
      <c r="W1051" s="17" t="s">
        <v>25</v>
      </c>
      <c r="X1051" s="17">
        <v>5</v>
      </c>
      <c r="Y1051" s="17">
        <f>data[[#This Row],[DeliveryDate]]-data[[#This Row],[ShipDate]]</f>
        <v>3</v>
      </c>
      <c r="Z1051" s="17" t="str">
        <f>IF(data[[#This Row],[Actual Delivery Days]]&gt;AD1052,"Yes","No")</f>
        <v>Yes</v>
      </c>
    </row>
    <row r="1052" spans="1:26">
      <c r="A1052" s="17">
        <v>11191</v>
      </c>
      <c r="B1052" s="17">
        <v>2</v>
      </c>
      <c r="C1052" s="17">
        <v>1</v>
      </c>
      <c r="D1052" s="17" t="s">
        <v>59</v>
      </c>
      <c r="E1052" s="17" t="s">
        <v>118</v>
      </c>
      <c r="F1052" s="17" t="str">
        <f>TEXT(data[[#This Row],[ShipDate]],"yyyy - mmmm")</f>
        <v>2016 - August</v>
      </c>
      <c r="G1052" s="17" t="str">
        <f>data[[#This Row],[OriginCity]] &amp; " - "  &amp; data[[#This Row],[DestinationCity]]</f>
        <v>Grand Rapids - Toledo</v>
      </c>
      <c r="H1052" s="17" t="s">
        <v>20</v>
      </c>
      <c r="I1052" s="17" t="s">
        <v>21</v>
      </c>
      <c r="J1052" s="17">
        <v>3</v>
      </c>
      <c r="K1052" s="17" t="s">
        <v>22</v>
      </c>
      <c r="L1052" s="17" t="s">
        <v>23</v>
      </c>
      <c r="M1052" s="17" t="s">
        <v>216</v>
      </c>
      <c r="N1052" s="17">
        <v>802</v>
      </c>
      <c r="O1052" s="17">
        <v>207</v>
      </c>
      <c r="P1052" s="26">
        <f>(data[[#This Row],[LoadedMiles]]/data[[#This Row],[TotalMiles]])*100</f>
        <v>25.81047381546135</v>
      </c>
      <c r="Q1052" s="25">
        <f>data[[#This Row],[ShippingCost]]/data[[#This Row],[TotalMiles]]</f>
        <v>0.50374064837905241</v>
      </c>
      <c r="R1052" s="17">
        <v>404</v>
      </c>
      <c r="S1052" s="25">
        <f>data[[#This Row],[Revenue]]/data[[#This Row],[TotalMiles]]</f>
        <v>6.5473815461346634</v>
      </c>
      <c r="T1052" s="26">
        <f>data[[#This Row],[Revenue]]-data[[#This Row],[ShippingCost]]</f>
        <v>4847</v>
      </c>
      <c r="U1052" s="17">
        <v>5251</v>
      </c>
      <c r="V1052" s="17">
        <v>58</v>
      </c>
      <c r="W1052" s="17" t="s">
        <v>25</v>
      </c>
      <c r="X1052" s="17">
        <v>7</v>
      </c>
      <c r="Y1052" s="17">
        <f>data[[#This Row],[DeliveryDate]]-data[[#This Row],[ShipDate]]</f>
        <v>1</v>
      </c>
      <c r="Z1052" s="17" t="str">
        <f>IF(data[[#This Row],[Actual Delivery Days]]&gt;AD1053,"Yes","No")</f>
        <v>Yes</v>
      </c>
    </row>
    <row r="1053" spans="1:26">
      <c r="A1053" s="17">
        <v>11193</v>
      </c>
      <c r="B1053" s="17">
        <v>3</v>
      </c>
      <c r="C1053" s="17">
        <v>3</v>
      </c>
      <c r="D1053" s="17" t="s">
        <v>69</v>
      </c>
      <c r="E1053" s="17" t="s">
        <v>149</v>
      </c>
      <c r="F1053" s="17" t="str">
        <f>TEXT(data[[#This Row],[ShipDate]],"yyyy - mmmm")</f>
        <v>2016 - July</v>
      </c>
      <c r="G1053" s="17" t="str">
        <f>data[[#This Row],[OriginCity]] &amp; " - "  &amp; data[[#This Row],[DestinationCity]]</f>
        <v>Springfield - Skokie</v>
      </c>
      <c r="H1053" s="17" t="s">
        <v>30</v>
      </c>
      <c r="I1053" s="17" t="s">
        <v>31</v>
      </c>
      <c r="J1053" s="17">
        <v>3</v>
      </c>
      <c r="K1053" s="17" t="s">
        <v>35</v>
      </c>
      <c r="L1053" s="17" t="s">
        <v>31</v>
      </c>
      <c r="M1053" s="17" t="s">
        <v>386</v>
      </c>
      <c r="N1053" s="17">
        <v>1042</v>
      </c>
      <c r="O1053" s="17">
        <v>756</v>
      </c>
      <c r="P1053" s="26">
        <f>(data[[#This Row],[LoadedMiles]]/data[[#This Row],[TotalMiles]])*100</f>
        <v>72.552783109404999</v>
      </c>
      <c r="Q1053" s="25">
        <f>data[[#This Row],[ShippingCost]]/data[[#This Row],[TotalMiles]]</f>
        <v>7.7466410748560461</v>
      </c>
      <c r="R1053" s="17">
        <v>8072</v>
      </c>
      <c r="S1053" s="25">
        <f>data[[#This Row],[Revenue]]/data[[#This Row],[TotalMiles]]</f>
        <v>8.3493282149712087</v>
      </c>
      <c r="T1053" s="26">
        <f>data[[#This Row],[Revenue]]-data[[#This Row],[ShippingCost]]</f>
        <v>628</v>
      </c>
      <c r="U1053" s="17">
        <v>8700</v>
      </c>
      <c r="V1053" s="17">
        <v>64</v>
      </c>
      <c r="W1053" s="17" t="s">
        <v>25</v>
      </c>
      <c r="X1053" s="17">
        <v>3</v>
      </c>
      <c r="Y1053" s="17">
        <f>data[[#This Row],[DeliveryDate]]-data[[#This Row],[ShipDate]]</f>
        <v>3</v>
      </c>
      <c r="Z1053" s="17" t="str">
        <f>IF(data[[#This Row],[Actual Delivery Days]]&gt;AD1054,"Yes","No")</f>
        <v>Yes</v>
      </c>
    </row>
    <row r="1054" spans="1:26">
      <c r="A1054" s="17">
        <v>11194</v>
      </c>
      <c r="B1054" s="17">
        <v>2</v>
      </c>
      <c r="C1054" s="17">
        <v>4</v>
      </c>
      <c r="D1054" s="17" t="s">
        <v>73</v>
      </c>
      <c r="E1054" s="17" t="s">
        <v>118</v>
      </c>
      <c r="F1054" s="17" t="str">
        <f>TEXT(data[[#This Row],[ShipDate]],"yyyy - mmmm")</f>
        <v>2016 - August</v>
      </c>
      <c r="G1054" s="17" t="str">
        <f>data[[#This Row],[OriginCity]] &amp; " - "  &amp; data[[#This Row],[DestinationCity]]</f>
        <v>Chicago - Rockford</v>
      </c>
      <c r="H1054" s="17" t="s">
        <v>39</v>
      </c>
      <c r="I1054" s="17" t="s">
        <v>31</v>
      </c>
      <c r="J1054" s="17">
        <v>3</v>
      </c>
      <c r="K1054" s="17" t="s">
        <v>40</v>
      </c>
      <c r="L1054" s="17" t="s">
        <v>31</v>
      </c>
      <c r="M1054" s="17" t="s">
        <v>38</v>
      </c>
      <c r="N1054" s="17">
        <v>515</v>
      </c>
      <c r="O1054" s="17">
        <v>494</v>
      </c>
      <c r="P1054" s="26">
        <f>(data[[#This Row],[LoadedMiles]]/data[[#This Row],[TotalMiles]])*100</f>
        <v>95.922330097087382</v>
      </c>
      <c r="Q1054" s="25">
        <f>data[[#This Row],[ShippingCost]]/data[[#This Row],[TotalMiles]]</f>
        <v>12.681553398058252</v>
      </c>
      <c r="R1054" s="17">
        <v>6531</v>
      </c>
      <c r="S1054" s="25">
        <f>data[[#This Row],[Revenue]]/data[[#This Row],[TotalMiles]]</f>
        <v>9.0135922330097085</v>
      </c>
      <c r="T1054" s="26">
        <f>data[[#This Row],[Revenue]]-data[[#This Row],[ShippingCost]]</f>
        <v>-1889</v>
      </c>
      <c r="U1054" s="17">
        <v>4642</v>
      </c>
      <c r="V1054" s="17">
        <v>99</v>
      </c>
      <c r="W1054" s="17" t="s">
        <v>25</v>
      </c>
      <c r="X1054" s="17">
        <v>3</v>
      </c>
      <c r="Y1054" s="17">
        <f>data[[#This Row],[DeliveryDate]]-data[[#This Row],[ShipDate]]</f>
        <v>3</v>
      </c>
      <c r="Z1054" s="17" t="str">
        <f>IF(data[[#This Row],[Actual Delivery Days]]&gt;AD1055,"Yes","No")</f>
        <v>Yes</v>
      </c>
    </row>
    <row r="1055" spans="1:26">
      <c r="A1055" s="17">
        <v>11204</v>
      </c>
      <c r="B1055" s="17">
        <v>3</v>
      </c>
      <c r="C1055" s="17">
        <v>5</v>
      </c>
      <c r="D1055" s="17" t="s">
        <v>115</v>
      </c>
      <c r="E1055" s="17" t="s">
        <v>124</v>
      </c>
      <c r="F1055" s="17" t="str">
        <f>TEXT(data[[#This Row],[ShipDate]],"yyyy - mmmm")</f>
        <v>2016 - March</v>
      </c>
      <c r="G1055" s="17" t="str">
        <f>data[[#This Row],[OriginCity]] &amp; " - "  &amp; data[[#This Row],[DestinationCity]]</f>
        <v>Cincinnati - Gary</v>
      </c>
      <c r="H1055" s="17" t="s">
        <v>89</v>
      </c>
      <c r="I1055" s="17" t="s">
        <v>23</v>
      </c>
      <c r="J1055" s="17">
        <v>3</v>
      </c>
      <c r="K1055" s="17" t="s">
        <v>57</v>
      </c>
      <c r="L1055" s="17" t="s">
        <v>44</v>
      </c>
      <c r="M1055" s="17" t="s">
        <v>449</v>
      </c>
      <c r="N1055" s="17">
        <v>430</v>
      </c>
      <c r="O1055" s="17">
        <v>430</v>
      </c>
      <c r="P1055" s="26">
        <f>(data[[#This Row],[LoadedMiles]]/data[[#This Row],[TotalMiles]])*100</f>
        <v>100</v>
      </c>
      <c r="Q1055" s="25">
        <f>data[[#This Row],[ShippingCost]]/data[[#This Row],[TotalMiles]]</f>
        <v>18.546511627906977</v>
      </c>
      <c r="R1055" s="17">
        <v>7975</v>
      </c>
      <c r="S1055" s="25">
        <f>data[[#This Row],[Revenue]]/data[[#This Row],[TotalMiles]]</f>
        <v>19.330232558139535</v>
      </c>
      <c r="T1055" s="26">
        <f>data[[#This Row],[Revenue]]-data[[#This Row],[ShippingCost]]</f>
        <v>337</v>
      </c>
      <c r="U1055" s="17">
        <v>8312</v>
      </c>
      <c r="V1055" s="17">
        <v>78</v>
      </c>
      <c r="W1055" s="17" t="s">
        <v>25</v>
      </c>
      <c r="X1055" s="17">
        <v>4</v>
      </c>
      <c r="Y1055" s="17">
        <f>data[[#This Row],[DeliveryDate]]-data[[#This Row],[ShipDate]]</f>
        <v>3</v>
      </c>
      <c r="Z1055" s="17" t="str">
        <f>IF(data[[#This Row],[Actual Delivery Days]]&gt;AD1056,"Yes","No")</f>
        <v>Yes</v>
      </c>
    </row>
    <row r="1056" spans="1:26">
      <c r="A1056" s="17">
        <v>11205</v>
      </c>
      <c r="B1056" s="17">
        <v>2</v>
      </c>
      <c r="C1056" s="17">
        <v>2</v>
      </c>
      <c r="D1056" s="17" t="s">
        <v>117</v>
      </c>
      <c r="E1056" s="17" t="s">
        <v>58</v>
      </c>
      <c r="F1056" s="17" t="str">
        <f>TEXT(data[[#This Row],[ShipDate]],"yyyy - mmmm")</f>
        <v>2016 - May</v>
      </c>
      <c r="G1056" s="17" t="str">
        <f>data[[#This Row],[OriginCity]] &amp; " - "  &amp; data[[#This Row],[DestinationCity]]</f>
        <v>Dayton - Elgin</v>
      </c>
      <c r="H1056" s="17" t="s">
        <v>93</v>
      </c>
      <c r="I1056" s="17" t="s">
        <v>23</v>
      </c>
      <c r="J1056" s="17">
        <v>3</v>
      </c>
      <c r="K1056" s="17" t="s">
        <v>94</v>
      </c>
      <c r="L1056" s="17" t="s">
        <v>31</v>
      </c>
      <c r="M1056" s="17" t="s">
        <v>27</v>
      </c>
      <c r="N1056" s="17">
        <v>275</v>
      </c>
      <c r="O1056" s="17">
        <v>256</v>
      </c>
      <c r="P1056" s="26">
        <f>(data[[#This Row],[LoadedMiles]]/data[[#This Row],[TotalMiles]])*100</f>
        <v>93.090909090909093</v>
      </c>
      <c r="Q1056" s="25">
        <f>data[[#This Row],[ShippingCost]]/data[[#This Row],[TotalMiles]]</f>
        <v>26.414545454545454</v>
      </c>
      <c r="R1056" s="17">
        <v>7264</v>
      </c>
      <c r="S1056" s="25">
        <f>data[[#This Row],[Revenue]]/data[[#This Row],[TotalMiles]]</f>
        <v>29.327272727272728</v>
      </c>
      <c r="T1056" s="26">
        <f>data[[#This Row],[Revenue]]-data[[#This Row],[ShippingCost]]</f>
        <v>801</v>
      </c>
      <c r="U1056" s="17">
        <v>8065</v>
      </c>
      <c r="V1056" s="17">
        <v>63</v>
      </c>
      <c r="W1056" s="17" t="s">
        <v>25</v>
      </c>
      <c r="X1056" s="17">
        <v>9</v>
      </c>
      <c r="Y1056" s="17">
        <f>data[[#This Row],[DeliveryDate]]-data[[#This Row],[ShipDate]]</f>
        <v>3</v>
      </c>
      <c r="Z1056" s="17" t="str">
        <f>IF(data[[#This Row],[Actual Delivery Days]]&gt;AD1057,"Yes","No")</f>
        <v>Yes</v>
      </c>
    </row>
    <row r="1057" spans="1:26">
      <c r="A1057" s="17">
        <v>11212</v>
      </c>
      <c r="B1057" s="17">
        <v>3</v>
      </c>
      <c r="C1057" s="17">
        <v>6</v>
      </c>
      <c r="D1057" s="17" t="s">
        <v>137</v>
      </c>
      <c r="E1057" s="17" t="s">
        <v>114</v>
      </c>
      <c r="F1057" s="17" t="str">
        <f>TEXT(data[[#This Row],[ShipDate]],"yyyy - mmmm")</f>
        <v>2016 - April</v>
      </c>
      <c r="G1057" s="17" t="str">
        <f>data[[#This Row],[OriginCity]] &amp; " - "  &amp; data[[#This Row],[DestinationCity]]</f>
        <v>Davenport - Appleton</v>
      </c>
      <c r="H1057" s="17" t="s">
        <v>105</v>
      </c>
      <c r="I1057" s="17" t="s">
        <v>106</v>
      </c>
      <c r="J1057" s="17">
        <v>3</v>
      </c>
      <c r="K1057" s="17" t="s">
        <v>85</v>
      </c>
      <c r="L1057" s="17" t="s">
        <v>29</v>
      </c>
      <c r="M1057" s="17" t="s">
        <v>624</v>
      </c>
      <c r="N1057" s="17">
        <v>890</v>
      </c>
      <c r="O1057" s="17">
        <v>328</v>
      </c>
      <c r="P1057" s="26">
        <f>(data[[#This Row],[LoadedMiles]]/data[[#This Row],[TotalMiles]])*100</f>
        <v>36.853932584269664</v>
      </c>
      <c r="Q1057" s="25">
        <f>data[[#This Row],[ShippingCost]]/data[[#This Row],[TotalMiles]]</f>
        <v>3.8235955056179773</v>
      </c>
      <c r="R1057" s="17">
        <v>3403</v>
      </c>
      <c r="S1057" s="25">
        <f>data[[#This Row],[Revenue]]/data[[#This Row],[TotalMiles]]</f>
        <v>4.559550561797753</v>
      </c>
      <c r="T1057" s="26">
        <f>data[[#This Row],[Revenue]]-data[[#This Row],[ShippingCost]]</f>
        <v>655</v>
      </c>
      <c r="U1057" s="17">
        <v>4058</v>
      </c>
      <c r="V1057" s="17">
        <v>54</v>
      </c>
      <c r="W1057" s="17" t="s">
        <v>25</v>
      </c>
      <c r="X1057" s="17">
        <v>6</v>
      </c>
      <c r="Y1057" s="17">
        <f>data[[#This Row],[DeliveryDate]]-data[[#This Row],[ShipDate]]</f>
        <v>3</v>
      </c>
      <c r="Z1057" s="17" t="str">
        <f>IF(data[[#This Row],[Actual Delivery Days]]&gt;AD1058,"Yes","No")</f>
        <v>Yes</v>
      </c>
    </row>
    <row r="1058" spans="1:26">
      <c r="A1058" s="17">
        <v>11214</v>
      </c>
      <c r="B1058" s="17">
        <v>3</v>
      </c>
      <c r="C1058" s="17">
        <v>6</v>
      </c>
      <c r="D1058" s="17" t="s">
        <v>143</v>
      </c>
      <c r="E1058" s="17" t="s">
        <v>24</v>
      </c>
      <c r="F1058" s="17" t="str">
        <f>TEXT(data[[#This Row],[ShipDate]],"yyyy - mmmm")</f>
        <v>2016 - July</v>
      </c>
      <c r="G1058" s="17" t="str">
        <f>data[[#This Row],[OriginCity]] &amp; " - "  &amp; data[[#This Row],[DestinationCity]]</f>
        <v>Milwaukee - Springfield</v>
      </c>
      <c r="H1058" s="17" t="s">
        <v>28</v>
      </c>
      <c r="I1058" s="17" t="s">
        <v>29</v>
      </c>
      <c r="J1058" s="17">
        <v>3</v>
      </c>
      <c r="K1058" s="17" t="s">
        <v>30</v>
      </c>
      <c r="L1058" s="17" t="s">
        <v>31</v>
      </c>
      <c r="M1058" s="17" t="s">
        <v>191</v>
      </c>
      <c r="N1058" s="17">
        <v>728</v>
      </c>
      <c r="O1058" s="17">
        <v>728</v>
      </c>
      <c r="P1058" s="26">
        <f>(data[[#This Row],[LoadedMiles]]/data[[#This Row],[TotalMiles]])*100</f>
        <v>100</v>
      </c>
      <c r="Q1058" s="25">
        <f>data[[#This Row],[ShippingCost]]/data[[#This Row],[TotalMiles]]</f>
        <v>0.30631868131868134</v>
      </c>
      <c r="R1058" s="17">
        <v>223</v>
      </c>
      <c r="S1058" s="25">
        <f>data[[#This Row],[Revenue]]/data[[#This Row],[TotalMiles]]</f>
        <v>1.1771978021978022</v>
      </c>
      <c r="T1058" s="26">
        <f>data[[#This Row],[Revenue]]-data[[#This Row],[ShippingCost]]</f>
        <v>634</v>
      </c>
      <c r="U1058" s="17">
        <v>857</v>
      </c>
      <c r="V1058" s="17">
        <v>50</v>
      </c>
      <c r="W1058" s="17" t="s">
        <v>25</v>
      </c>
      <c r="X1058" s="17">
        <v>8</v>
      </c>
      <c r="Y1058" s="17">
        <f>data[[#This Row],[DeliveryDate]]-data[[#This Row],[ShipDate]]</f>
        <v>3</v>
      </c>
      <c r="Z1058" s="17" t="str">
        <f>IF(data[[#This Row],[Actual Delivery Days]]&gt;AD1059,"Yes","No")</f>
        <v>Yes</v>
      </c>
    </row>
    <row r="1059" spans="1:26">
      <c r="A1059" s="17">
        <v>11215</v>
      </c>
      <c r="B1059" s="17">
        <v>2</v>
      </c>
      <c r="C1059" s="17">
        <v>3</v>
      </c>
      <c r="D1059" s="17" t="s">
        <v>145</v>
      </c>
      <c r="E1059" s="17" t="s">
        <v>387</v>
      </c>
      <c r="F1059" s="17" t="str">
        <f>TEXT(data[[#This Row],[ShipDate]],"yyyy - mmmm")</f>
        <v>2016 - August</v>
      </c>
      <c r="G1059" s="17" t="str">
        <f>data[[#This Row],[OriginCity]] &amp; " - "  &amp; data[[#This Row],[DestinationCity]]</f>
        <v>Springfield - Skokie</v>
      </c>
      <c r="H1059" s="17" t="s">
        <v>30</v>
      </c>
      <c r="I1059" s="17" t="s">
        <v>31</v>
      </c>
      <c r="J1059" s="17">
        <v>3</v>
      </c>
      <c r="K1059" s="17" t="s">
        <v>35</v>
      </c>
      <c r="L1059" s="17" t="s">
        <v>31</v>
      </c>
      <c r="M1059" s="17" t="s">
        <v>142</v>
      </c>
      <c r="N1059" s="17">
        <v>886</v>
      </c>
      <c r="O1059" s="17">
        <v>682</v>
      </c>
      <c r="P1059" s="26">
        <f>(data[[#This Row],[LoadedMiles]]/data[[#This Row],[TotalMiles]])*100</f>
        <v>76.97516930022573</v>
      </c>
      <c r="Q1059" s="25">
        <f>data[[#This Row],[ShippingCost]]/data[[#This Row],[TotalMiles]]</f>
        <v>9.782167042889391</v>
      </c>
      <c r="R1059" s="17">
        <v>8667</v>
      </c>
      <c r="S1059" s="25">
        <f>data[[#This Row],[Revenue]]/data[[#This Row],[TotalMiles]]</f>
        <v>10.067720090293454</v>
      </c>
      <c r="T1059" s="26">
        <f>data[[#This Row],[Revenue]]-data[[#This Row],[ShippingCost]]</f>
        <v>253</v>
      </c>
      <c r="U1059" s="17">
        <v>8920</v>
      </c>
      <c r="V1059" s="17">
        <v>64</v>
      </c>
      <c r="W1059" s="17" t="s">
        <v>25</v>
      </c>
      <c r="X1059" s="17">
        <v>6</v>
      </c>
      <c r="Y1059" s="17">
        <f>data[[#This Row],[DeliveryDate]]-data[[#This Row],[ShipDate]]</f>
        <v>3</v>
      </c>
      <c r="Z1059" s="17" t="str">
        <f>IF(data[[#This Row],[Actual Delivery Days]]&gt;AD1060,"Yes","No")</f>
        <v>Yes</v>
      </c>
    </row>
    <row r="1060" spans="1:26">
      <c r="A1060" s="17">
        <v>11216</v>
      </c>
      <c r="B1060" s="17">
        <v>3</v>
      </c>
      <c r="C1060" s="17">
        <v>6</v>
      </c>
      <c r="D1060" s="17" t="s">
        <v>148</v>
      </c>
      <c r="E1060" s="17" t="s">
        <v>158</v>
      </c>
      <c r="F1060" s="17" t="str">
        <f>TEXT(data[[#This Row],[ShipDate]],"yyyy - mmmm")</f>
        <v>2016 - April</v>
      </c>
      <c r="G1060" s="17" t="str">
        <f>data[[#This Row],[OriginCity]] &amp; " - "  &amp; data[[#This Row],[DestinationCity]]</f>
        <v>Chicago - Rockford</v>
      </c>
      <c r="H1060" s="17" t="s">
        <v>39</v>
      </c>
      <c r="I1060" s="17" t="s">
        <v>31</v>
      </c>
      <c r="J1060" s="17">
        <v>3</v>
      </c>
      <c r="K1060" s="17" t="s">
        <v>40</v>
      </c>
      <c r="L1060" s="17" t="s">
        <v>31</v>
      </c>
      <c r="M1060" s="17" t="s">
        <v>418</v>
      </c>
      <c r="N1060" s="17">
        <v>256</v>
      </c>
      <c r="O1060" s="17">
        <v>256</v>
      </c>
      <c r="P1060" s="26">
        <f>(data[[#This Row],[LoadedMiles]]/data[[#This Row],[TotalMiles]])*100</f>
        <v>100</v>
      </c>
      <c r="Q1060" s="25">
        <f>data[[#This Row],[ShippingCost]]/data[[#This Row],[TotalMiles]]</f>
        <v>8.40234375</v>
      </c>
      <c r="R1060" s="17">
        <v>2151</v>
      </c>
      <c r="S1060" s="25">
        <f>data[[#This Row],[Revenue]]/data[[#This Row],[TotalMiles]]</f>
        <v>11.1015625</v>
      </c>
      <c r="T1060" s="26">
        <f>data[[#This Row],[Revenue]]-data[[#This Row],[ShippingCost]]</f>
        <v>691</v>
      </c>
      <c r="U1060" s="17">
        <v>2842</v>
      </c>
      <c r="V1060" s="17">
        <v>50</v>
      </c>
      <c r="W1060" s="17" t="s">
        <v>25</v>
      </c>
      <c r="X1060" s="17">
        <v>2</v>
      </c>
      <c r="Y1060" s="17">
        <f>data[[#This Row],[DeliveryDate]]-data[[#This Row],[ShipDate]]</f>
        <v>3</v>
      </c>
      <c r="Z1060" s="17" t="str">
        <f>IF(data[[#This Row],[Actual Delivery Days]]&gt;AD1061,"Yes","No")</f>
        <v>Yes</v>
      </c>
    </row>
    <row r="1061" spans="1:26">
      <c r="A1061" s="17">
        <v>11229</v>
      </c>
      <c r="B1061" s="17">
        <v>2</v>
      </c>
      <c r="C1061" s="17">
        <v>4</v>
      </c>
      <c r="D1061" s="17" t="s">
        <v>185</v>
      </c>
      <c r="E1061" s="17" t="s">
        <v>171</v>
      </c>
      <c r="F1061" s="17" t="str">
        <f>TEXT(data[[#This Row],[ShipDate]],"yyyy - mmmm")</f>
        <v>2016 - April</v>
      </c>
      <c r="G1061" s="17" t="str">
        <f>data[[#This Row],[OriginCity]] &amp; " - "  &amp; data[[#This Row],[DestinationCity]]</f>
        <v>Lansing - Dayton</v>
      </c>
      <c r="H1061" s="17" t="s">
        <v>66</v>
      </c>
      <c r="I1061" s="17" t="s">
        <v>21</v>
      </c>
      <c r="J1061" s="17">
        <v>3</v>
      </c>
      <c r="K1061" s="17" t="s">
        <v>93</v>
      </c>
      <c r="L1061" s="17" t="s">
        <v>23</v>
      </c>
      <c r="M1061" s="17" t="s">
        <v>101</v>
      </c>
      <c r="N1061" s="17">
        <v>394</v>
      </c>
      <c r="O1061" s="17">
        <v>394</v>
      </c>
      <c r="P1061" s="26">
        <f>(data[[#This Row],[LoadedMiles]]/data[[#This Row],[TotalMiles]])*100</f>
        <v>100</v>
      </c>
      <c r="Q1061" s="25">
        <f>data[[#This Row],[ShippingCost]]/data[[#This Row],[TotalMiles]]</f>
        <v>11.631979695431472</v>
      </c>
      <c r="R1061" s="17">
        <v>4583</v>
      </c>
      <c r="S1061" s="25">
        <f>data[[#This Row],[Revenue]]/data[[#This Row],[TotalMiles]]</f>
        <v>6.2639593908629445</v>
      </c>
      <c r="T1061" s="26">
        <f>data[[#This Row],[Revenue]]-data[[#This Row],[ShippingCost]]</f>
        <v>-2115</v>
      </c>
      <c r="U1061" s="17">
        <v>2468</v>
      </c>
      <c r="V1061" s="17">
        <v>79</v>
      </c>
      <c r="W1061" s="17" t="s">
        <v>25</v>
      </c>
      <c r="X1061" s="17">
        <v>7</v>
      </c>
      <c r="Y1061" s="17">
        <f>data[[#This Row],[DeliveryDate]]-data[[#This Row],[ShipDate]]</f>
        <v>3</v>
      </c>
      <c r="Z1061" s="17" t="str">
        <f>IF(data[[#This Row],[Actual Delivery Days]]&gt;AD1062,"Yes","No")</f>
        <v>Yes</v>
      </c>
    </row>
    <row r="1062" spans="1:26">
      <c r="A1062" s="17">
        <v>11233</v>
      </c>
      <c r="B1062" s="17">
        <v>2</v>
      </c>
      <c r="C1062" s="17">
        <v>6</v>
      </c>
      <c r="D1062" s="17" t="s">
        <v>194</v>
      </c>
      <c r="E1062" s="17" t="s">
        <v>623</v>
      </c>
      <c r="F1062" s="17" t="str">
        <f>TEXT(data[[#This Row],[ShipDate]],"yyyy - mmmm")</f>
        <v>2016 - April</v>
      </c>
      <c r="G1062" s="17" t="str">
        <f>data[[#This Row],[OriginCity]] &amp; " - "  &amp; data[[#This Row],[DestinationCity]]</f>
        <v>Kalamazoo - Bangor</v>
      </c>
      <c r="H1062" s="17" t="s">
        <v>71</v>
      </c>
      <c r="I1062" s="17" t="s">
        <v>21</v>
      </c>
      <c r="J1062" s="17">
        <v>3</v>
      </c>
      <c r="K1062" s="17" t="s">
        <v>104</v>
      </c>
      <c r="L1062" s="17" t="s">
        <v>21</v>
      </c>
      <c r="M1062" s="17" t="s">
        <v>222</v>
      </c>
      <c r="N1062" s="17">
        <v>871</v>
      </c>
      <c r="O1062" s="17">
        <v>642</v>
      </c>
      <c r="P1062" s="26">
        <f>(data[[#This Row],[LoadedMiles]]/data[[#This Row],[TotalMiles]])*100</f>
        <v>73.708381171067742</v>
      </c>
      <c r="Q1062" s="25">
        <f>data[[#This Row],[ShippingCost]]/data[[#This Row],[TotalMiles]]</f>
        <v>1.0470723306544203</v>
      </c>
      <c r="R1062" s="17">
        <v>912</v>
      </c>
      <c r="S1062" s="25">
        <f>data[[#This Row],[Revenue]]/data[[#This Row],[TotalMiles]]</f>
        <v>1.600459242250287</v>
      </c>
      <c r="T1062" s="26">
        <f>data[[#This Row],[Revenue]]-data[[#This Row],[ShippingCost]]</f>
        <v>482</v>
      </c>
      <c r="U1062" s="17">
        <v>1394</v>
      </c>
      <c r="V1062" s="17">
        <v>78</v>
      </c>
      <c r="W1062" s="17" t="s">
        <v>25</v>
      </c>
      <c r="X1062" s="17">
        <v>3</v>
      </c>
      <c r="Y1062" s="17">
        <f>data[[#This Row],[DeliveryDate]]-data[[#This Row],[ShipDate]]</f>
        <v>3</v>
      </c>
      <c r="Z1062" s="17" t="str">
        <f>IF(data[[#This Row],[Actual Delivery Days]]&gt;AD1063,"Yes","No")</f>
        <v>Yes</v>
      </c>
    </row>
    <row r="1063" spans="1:26">
      <c r="A1063" s="17">
        <v>11248</v>
      </c>
      <c r="B1063" s="17">
        <v>2</v>
      </c>
      <c r="C1063" s="17">
        <v>3</v>
      </c>
      <c r="D1063" s="17" t="s">
        <v>230</v>
      </c>
      <c r="E1063" s="17" t="s">
        <v>19</v>
      </c>
      <c r="F1063" s="17" t="str">
        <f>TEXT(data[[#This Row],[ShipDate]],"yyyy - mmmm")</f>
        <v>2016 - July</v>
      </c>
      <c r="G1063" s="17" t="str">
        <f>data[[#This Row],[OriginCity]] &amp; " - "  &amp; data[[#This Row],[DestinationCity]]</f>
        <v>Appleton - Grand Rapids</v>
      </c>
      <c r="H1063" s="17" t="s">
        <v>85</v>
      </c>
      <c r="I1063" s="17" t="s">
        <v>29</v>
      </c>
      <c r="J1063" s="17">
        <v>3</v>
      </c>
      <c r="K1063" s="17" t="s">
        <v>20</v>
      </c>
      <c r="L1063" s="17" t="s">
        <v>21</v>
      </c>
      <c r="M1063" s="17" t="s">
        <v>608</v>
      </c>
      <c r="N1063" s="17">
        <v>895</v>
      </c>
      <c r="O1063" s="17">
        <v>559</v>
      </c>
      <c r="P1063" s="26">
        <f>(data[[#This Row],[LoadedMiles]]/data[[#This Row],[TotalMiles]])*100</f>
        <v>62.458100558659211</v>
      </c>
      <c r="Q1063" s="25">
        <f>data[[#This Row],[ShippingCost]]/data[[#This Row],[TotalMiles]]</f>
        <v>6.5586592178770946</v>
      </c>
      <c r="R1063" s="17">
        <v>5870</v>
      </c>
      <c r="S1063" s="25">
        <f>data[[#This Row],[Revenue]]/data[[#This Row],[TotalMiles]]</f>
        <v>7.1865921787709501</v>
      </c>
      <c r="T1063" s="26">
        <f>data[[#This Row],[Revenue]]-data[[#This Row],[ShippingCost]]</f>
        <v>562</v>
      </c>
      <c r="U1063" s="17">
        <v>6432</v>
      </c>
      <c r="V1063" s="17">
        <v>98</v>
      </c>
      <c r="W1063" s="17" t="s">
        <v>25</v>
      </c>
      <c r="X1063" s="17">
        <v>8</v>
      </c>
      <c r="Y1063" s="17">
        <f>data[[#This Row],[DeliveryDate]]-data[[#This Row],[ShipDate]]</f>
        <v>3</v>
      </c>
      <c r="Z1063" s="17" t="str">
        <f>IF(data[[#This Row],[Actual Delivery Days]]&gt;AD1064,"Yes","No")</f>
        <v>Yes</v>
      </c>
    </row>
    <row r="1064" spans="1:26">
      <c r="A1064" s="17">
        <v>11252</v>
      </c>
      <c r="B1064" s="17">
        <v>2</v>
      </c>
      <c r="C1064" s="17">
        <v>2</v>
      </c>
      <c r="D1064" s="17" t="s">
        <v>237</v>
      </c>
      <c r="E1064" s="17" t="s">
        <v>136</v>
      </c>
      <c r="F1064" s="17" t="str">
        <f>TEXT(data[[#This Row],[ShipDate]],"yyyy - mmmm")</f>
        <v>2016 - June</v>
      </c>
      <c r="G1064" s="17" t="str">
        <f>data[[#This Row],[OriginCity]] &amp; " - "  &amp; data[[#This Row],[DestinationCity]]</f>
        <v>Lansing - Dayton</v>
      </c>
      <c r="H1064" s="17" t="s">
        <v>66</v>
      </c>
      <c r="I1064" s="17" t="s">
        <v>21</v>
      </c>
      <c r="J1064" s="17">
        <v>3</v>
      </c>
      <c r="K1064" s="17" t="s">
        <v>93</v>
      </c>
      <c r="L1064" s="17" t="s">
        <v>23</v>
      </c>
      <c r="M1064" s="17" t="s">
        <v>474</v>
      </c>
      <c r="N1064" s="17">
        <v>954</v>
      </c>
      <c r="O1064" s="17">
        <v>725</v>
      </c>
      <c r="P1064" s="26">
        <f>(data[[#This Row],[LoadedMiles]]/data[[#This Row],[TotalMiles]])*100</f>
        <v>75.9958071278826</v>
      </c>
      <c r="Q1064" s="25">
        <f>data[[#This Row],[ShippingCost]]/data[[#This Row],[TotalMiles]]</f>
        <v>8.5199161425576513</v>
      </c>
      <c r="R1064" s="17">
        <v>8128</v>
      </c>
      <c r="S1064" s="25">
        <f>data[[#This Row],[Revenue]]/data[[#This Row],[TotalMiles]]</f>
        <v>8.634171907756814</v>
      </c>
      <c r="T1064" s="26">
        <f>data[[#This Row],[Revenue]]-data[[#This Row],[ShippingCost]]</f>
        <v>109</v>
      </c>
      <c r="U1064" s="17">
        <v>8237</v>
      </c>
      <c r="V1064" s="17">
        <v>87</v>
      </c>
      <c r="W1064" s="17" t="s">
        <v>25</v>
      </c>
      <c r="X1064" s="17">
        <v>8</v>
      </c>
      <c r="Y1064" s="17">
        <f>data[[#This Row],[DeliveryDate]]-data[[#This Row],[ShipDate]]</f>
        <v>3</v>
      </c>
      <c r="Z1064" s="17" t="str">
        <f>IF(data[[#This Row],[Actual Delivery Days]]&gt;AD1065,"Yes","No")</f>
        <v>Yes</v>
      </c>
    </row>
    <row r="1065" spans="1:26">
      <c r="A1065" s="17">
        <v>11254</v>
      </c>
      <c r="B1065" s="17">
        <v>3</v>
      </c>
      <c r="C1065" s="17">
        <v>5</v>
      </c>
      <c r="D1065" s="17" t="s">
        <v>242</v>
      </c>
      <c r="E1065" s="17" t="s">
        <v>332</v>
      </c>
      <c r="F1065" s="17" t="str">
        <f>TEXT(data[[#This Row],[ShipDate]],"yyyy - mmmm")</f>
        <v>2016 - February</v>
      </c>
      <c r="G1065" s="17" t="str">
        <f>data[[#This Row],[OriginCity]] &amp; " - "  &amp; data[[#This Row],[DestinationCity]]</f>
        <v>Elgin - Cincinnati</v>
      </c>
      <c r="H1065" s="17" t="s">
        <v>94</v>
      </c>
      <c r="I1065" s="17" t="s">
        <v>31</v>
      </c>
      <c r="J1065" s="17">
        <v>3</v>
      </c>
      <c r="K1065" s="17" t="s">
        <v>89</v>
      </c>
      <c r="L1065" s="17" t="s">
        <v>23</v>
      </c>
      <c r="M1065" s="17" t="s">
        <v>611</v>
      </c>
      <c r="N1065" s="17">
        <v>1042</v>
      </c>
      <c r="O1065" s="17">
        <v>258</v>
      </c>
      <c r="P1065" s="26">
        <f>(data[[#This Row],[LoadedMiles]]/data[[#This Row],[TotalMiles]])*100</f>
        <v>24.760076775431862</v>
      </c>
      <c r="Q1065" s="25">
        <f>data[[#This Row],[ShippingCost]]/data[[#This Row],[TotalMiles]]</f>
        <v>4.2591170825335896</v>
      </c>
      <c r="R1065" s="17">
        <v>4438</v>
      </c>
      <c r="S1065" s="25">
        <f>data[[#This Row],[Revenue]]/data[[#This Row],[TotalMiles]]</f>
        <v>5.0115163147792705</v>
      </c>
      <c r="T1065" s="26">
        <f>data[[#This Row],[Revenue]]-data[[#This Row],[ShippingCost]]</f>
        <v>784</v>
      </c>
      <c r="U1065" s="17">
        <v>5222</v>
      </c>
      <c r="V1065" s="17">
        <v>64</v>
      </c>
      <c r="W1065" s="17" t="s">
        <v>25</v>
      </c>
      <c r="X1065" s="17">
        <v>8</v>
      </c>
      <c r="Y1065" s="17">
        <f>data[[#This Row],[DeliveryDate]]-data[[#This Row],[ShipDate]]</f>
        <v>2</v>
      </c>
      <c r="Z1065" s="17" t="str">
        <f>IF(data[[#This Row],[Actual Delivery Days]]&gt;AD1066,"Yes","No")</f>
        <v>Yes</v>
      </c>
    </row>
    <row r="1066" spans="1:26">
      <c r="A1066" s="17">
        <v>11262</v>
      </c>
      <c r="B1066" s="17">
        <v>3</v>
      </c>
      <c r="C1066" s="17">
        <v>4</v>
      </c>
      <c r="D1066" s="17" t="s">
        <v>266</v>
      </c>
      <c r="E1066" s="17" t="s">
        <v>470</v>
      </c>
      <c r="F1066" s="17" t="str">
        <f>TEXT(data[[#This Row],[ShipDate]],"yyyy - mmmm")</f>
        <v>2016 - August</v>
      </c>
      <c r="G1066" s="17" t="str">
        <f>data[[#This Row],[OriginCity]] &amp; " - "  &amp; data[[#This Row],[DestinationCity]]</f>
        <v>Joliet - Madison</v>
      </c>
      <c r="H1066" s="17" t="s">
        <v>61</v>
      </c>
      <c r="I1066" s="17" t="s">
        <v>31</v>
      </c>
      <c r="J1066" s="17">
        <v>3</v>
      </c>
      <c r="K1066" s="17" t="s">
        <v>62</v>
      </c>
      <c r="L1066" s="17" t="s">
        <v>29</v>
      </c>
      <c r="M1066" s="17" t="s">
        <v>141</v>
      </c>
      <c r="N1066" s="17">
        <v>651</v>
      </c>
      <c r="O1066" s="17">
        <v>555</v>
      </c>
      <c r="P1066" s="26">
        <f>(data[[#This Row],[LoadedMiles]]/data[[#This Row],[TotalMiles]])*100</f>
        <v>85.253456221198149</v>
      </c>
      <c r="Q1066" s="25">
        <f>data[[#This Row],[ShippingCost]]/data[[#This Row],[TotalMiles]]</f>
        <v>8.6021505376344081</v>
      </c>
      <c r="R1066" s="17">
        <v>5600</v>
      </c>
      <c r="S1066" s="25">
        <f>data[[#This Row],[Revenue]]/data[[#This Row],[TotalMiles]]</f>
        <v>6.3256528417818743</v>
      </c>
      <c r="T1066" s="26">
        <f>data[[#This Row],[Revenue]]-data[[#This Row],[ShippingCost]]</f>
        <v>-1482</v>
      </c>
      <c r="U1066" s="17">
        <v>4118</v>
      </c>
      <c r="V1066" s="17">
        <v>73</v>
      </c>
      <c r="W1066" s="17" t="s">
        <v>25</v>
      </c>
      <c r="X1066" s="17">
        <v>10</v>
      </c>
      <c r="Y1066" s="17">
        <f>data[[#This Row],[DeliveryDate]]-data[[#This Row],[ShipDate]]</f>
        <v>1</v>
      </c>
      <c r="Z1066" s="17" t="str">
        <f>IF(data[[#This Row],[Actual Delivery Days]]&gt;AD1067,"Yes","No")</f>
        <v>Yes</v>
      </c>
    </row>
    <row r="1067" spans="1:26">
      <c r="A1067" s="17">
        <v>11264</v>
      </c>
      <c r="B1067" s="17">
        <v>3</v>
      </c>
      <c r="C1067" s="17">
        <v>4</v>
      </c>
      <c r="D1067" s="17" t="s">
        <v>269</v>
      </c>
      <c r="E1067" s="17" t="s">
        <v>149</v>
      </c>
      <c r="F1067" s="17" t="str">
        <f>TEXT(data[[#This Row],[ShipDate]],"yyyy - mmmm")</f>
        <v>2016 - July</v>
      </c>
      <c r="G1067" s="17" t="str">
        <f>data[[#This Row],[OriginCity]] &amp; " - "  &amp; data[[#This Row],[DestinationCity]]</f>
        <v>Madison - Kalamazoo</v>
      </c>
      <c r="H1067" s="17" t="s">
        <v>62</v>
      </c>
      <c r="I1067" s="17" t="s">
        <v>29</v>
      </c>
      <c r="J1067" s="17">
        <v>3</v>
      </c>
      <c r="K1067" s="17" t="s">
        <v>71</v>
      </c>
      <c r="L1067" s="17" t="s">
        <v>21</v>
      </c>
      <c r="M1067" s="17" t="s">
        <v>386</v>
      </c>
      <c r="N1067" s="17">
        <v>236</v>
      </c>
      <c r="O1067" s="17">
        <v>236</v>
      </c>
      <c r="P1067" s="26">
        <f>(data[[#This Row],[LoadedMiles]]/data[[#This Row],[TotalMiles]])*100</f>
        <v>100</v>
      </c>
      <c r="Q1067" s="25">
        <f>data[[#This Row],[ShippingCost]]/data[[#This Row],[TotalMiles]]</f>
        <v>18.343220338983052</v>
      </c>
      <c r="R1067" s="17">
        <v>4329</v>
      </c>
      <c r="S1067" s="25">
        <f>data[[#This Row],[Revenue]]/data[[#This Row],[TotalMiles]]</f>
        <v>12.449152542372881</v>
      </c>
      <c r="T1067" s="26">
        <f>data[[#This Row],[Revenue]]-data[[#This Row],[ShippingCost]]</f>
        <v>-1391</v>
      </c>
      <c r="U1067" s="17">
        <v>2938</v>
      </c>
      <c r="V1067" s="17">
        <v>65</v>
      </c>
      <c r="W1067" s="17" t="s">
        <v>25</v>
      </c>
      <c r="X1067" s="17">
        <v>6</v>
      </c>
      <c r="Y1067" s="17">
        <f>data[[#This Row],[DeliveryDate]]-data[[#This Row],[ShipDate]]</f>
        <v>3</v>
      </c>
      <c r="Z1067" s="17" t="str">
        <f>IF(data[[#This Row],[Actual Delivery Days]]&gt;AD1068,"Yes","No")</f>
        <v>Yes</v>
      </c>
    </row>
    <row r="1068" spans="1:26">
      <c r="A1068" s="17">
        <v>11268</v>
      </c>
      <c r="B1068" s="17">
        <v>2</v>
      </c>
      <c r="C1068" s="17">
        <v>2</v>
      </c>
      <c r="D1068" s="17" t="s">
        <v>276</v>
      </c>
      <c r="E1068" s="17" t="s">
        <v>212</v>
      </c>
      <c r="F1068" s="17" t="str">
        <f>TEXT(data[[#This Row],[ShipDate]],"yyyy - mmmm")</f>
        <v>2016 - August</v>
      </c>
      <c r="G1068" s="17" t="str">
        <f>data[[#This Row],[OriginCity]] &amp; " - "  &amp; data[[#This Row],[DestinationCity]]</f>
        <v>Appleton - Grand Rapids</v>
      </c>
      <c r="H1068" s="17" t="s">
        <v>85</v>
      </c>
      <c r="I1068" s="17" t="s">
        <v>29</v>
      </c>
      <c r="J1068" s="17">
        <v>3</v>
      </c>
      <c r="K1068" s="17" t="s">
        <v>20</v>
      </c>
      <c r="L1068" s="17" t="s">
        <v>21</v>
      </c>
      <c r="M1068" s="17" t="s">
        <v>301</v>
      </c>
      <c r="N1068" s="17">
        <v>350</v>
      </c>
      <c r="O1068" s="17">
        <v>350</v>
      </c>
      <c r="P1068" s="26">
        <f>(data[[#This Row],[LoadedMiles]]/data[[#This Row],[TotalMiles]])*100</f>
        <v>100</v>
      </c>
      <c r="Q1068" s="25">
        <f>data[[#This Row],[ShippingCost]]/data[[#This Row],[TotalMiles]]</f>
        <v>7.2028571428571428</v>
      </c>
      <c r="R1068" s="17">
        <v>2521</v>
      </c>
      <c r="S1068" s="25">
        <f>data[[#This Row],[Revenue]]/data[[#This Row],[TotalMiles]]</f>
        <v>8.2285714285714278</v>
      </c>
      <c r="T1068" s="26">
        <f>data[[#This Row],[Revenue]]-data[[#This Row],[ShippingCost]]</f>
        <v>359</v>
      </c>
      <c r="U1068" s="17">
        <v>2880</v>
      </c>
      <c r="V1068" s="17">
        <v>73</v>
      </c>
      <c r="W1068" s="17" t="s">
        <v>25</v>
      </c>
      <c r="X1068" s="17">
        <v>8</v>
      </c>
      <c r="Y1068" s="17">
        <f>data[[#This Row],[DeliveryDate]]-data[[#This Row],[ShipDate]]</f>
        <v>3</v>
      </c>
      <c r="Z1068" s="17" t="str">
        <f>IF(data[[#This Row],[Actual Delivery Days]]&gt;AD1069,"Yes","No")</f>
        <v>Yes</v>
      </c>
    </row>
    <row r="1069" spans="1:26">
      <c r="A1069" s="17">
        <v>11269</v>
      </c>
      <c r="B1069" s="17">
        <v>2</v>
      </c>
      <c r="C1069" s="17">
        <v>3</v>
      </c>
      <c r="D1069" s="17" t="s">
        <v>277</v>
      </c>
      <c r="E1069" s="17" t="s">
        <v>101</v>
      </c>
      <c r="F1069" s="17" t="str">
        <f>TEXT(data[[#This Row],[ShipDate]],"yyyy - mmmm")</f>
        <v>2016 - April</v>
      </c>
      <c r="G1069" s="17" t="str">
        <f>data[[#This Row],[OriginCity]] &amp; " - "  &amp; data[[#This Row],[DestinationCity]]</f>
        <v>Cincinnati - Gary</v>
      </c>
      <c r="H1069" s="17" t="s">
        <v>89</v>
      </c>
      <c r="I1069" s="17" t="s">
        <v>23</v>
      </c>
      <c r="J1069" s="17">
        <v>3</v>
      </c>
      <c r="K1069" s="17" t="s">
        <v>57</v>
      </c>
      <c r="L1069" s="17" t="s">
        <v>44</v>
      </c>
      <c r="M1069" s="17" t="s">
        <v>480</v>
      </c>
      <c r="N1069" s="17">
        <v>1054</v>
      </c>
      <c r="O1069" s="17">
        <v>441</v>
      </c>
      <c r="P1069" s="26">
        <f>(data[[#This Row],[LoadedMiles]]/data[[#This Row],[TotalMiles]])*100</f>
        <v>41.840607210626182</v>
      </c>
      <c r="Q1069" s="25">
        <f>data[[#This Row],[ShippingCost]]/data[[#This Row],[TotalMiles]]</f>
        <v>3.8908918406072108</v>
      </c>
      <c r="R1069" s="17">
        <v>4101</v>
      </c>
      <c r="S1069" s="25">
        <f>data[[#This Row],[Revenue]]/data[[#This Row],[TotalMiles]]</f>
        <v>4.8311195445920303</v>
      </c>
      <c r="T1069" s="26">
        <f>data[[#This Row],[Revenue]]-data[[#This Row],[ShippingCost]]</f>
        <v>991</v>
      </c>
      <c r="U1069" s="17">
        <v>5092</v>
      </c>
      <c r="V1069" s="17">
        <v>89</v>
      </c>
      <c r="W1069" s="17" t="s">
        <v>25</v>
      </c>
      <c r="X1069" s="17">
        <v>1</v>
      </c>
      <c r="Y1069" s="17">
        <f>data[[#This Row],[DeliveryDate]]-data[[#This Row],[ShipDate]]</f>
        <v>3</v>
      </c>
      <c r="Z1069" s="17" t="str">
        <f>IF(data[[#This Row],[Actual Delivery Days]]&gt;AD1070,"Yes","No")</f>
        <v>Yes</v>
      </c>
    </row>
    <row r="1070" spans="1:26">
      <c r="A1070" s="17">
        <v>11287</v>
      </c>
      <c r="B1070" s="17">
        <v>3</v>
      </c>
      <c r="C1070" s="17">
        <v>3</v>
      </c>
      <c r="D1070" s="17" t="s">
        <v>314</v>
      </c>
      <c r="E1070" s="17" t="s">
        <v>318</v>
      </c>
      <c r="F1070" s="17" t="str">
        <f>TEXT(data[[#This Row],[ShipDate]],"yyyy - mmmm")</f>
        <v>2016 - June</v>
      </c>
      <c r="G1070" s="17" t="str">
        <f>data[[#This Row],[OriginCity]] &amp; " - "  &amp; data[[#This Row],[DestinationCity]]</f>
        <v>Madison - Kalamazoo</v>
      </c>
      <c r="H1070" s="17" t="s">
        <v>62</v>
      </c>
      <c r="I1070" s="17" t="s">
        <v>29</v>
      </c>
      <c r="J1070" s="17">
        <v>3</v>
      </c>
      <c r="K1070" s="17" t="s">
        <v>71</v>
      </c>
      <c r="L1070" s="17" t="s">
        <v>21</v>
      </c>
      <c r="M1070" s="17" t="s">
        <v>439</v>
      </c>
      <c r="N1070" s="17">
        <v>1035</v>
      </c>
      <c r="O1070" s="17">
        <v>505</v>
      </c>
      <c r="P1070" s="26">
        <f>(data[[#This Row],[LoadedMiles]]/data[[#This Row],[TotalMiles]])*100</f>
        <v>48.792270531400966</v>
      </c>
      <c r="Q1070" s="25">
        <f>data[[#This Row],[ShippingCost]]/data[[#This Row],[TotalMiles]]</f>
        <v>1.4106280193236715</v>
      </c>
      <c r="R1070" s="17">
        <v>1460</v>
      </c>
      <c r="S1070" s="25">
        <f>data[[#This Row],[Revenue]]/data[[#This Row],[TotalMiles]]</f>
        <v>1.7971014492753623</v>
      </c>
      <c r="T1070" s="26">
        <f>data[[#This Row],[Revenue]]-data[[#This Row],[ShippingCost]]</f>
        <v>400</v>
      </c>
      <c r="U1070" s="17">
        <v>1860</v>
      </c>
      <c r="V1070" s="17">
        <v>79</v>
      </c>
      <c r="W1070" s="17" t="s">
        <v>25</v>
      </c>
      <c r="X1070" s="17">
        <v>2</v>
      </c>
      <c r="Y1070" s="17">
        <f>data[[#This Row],[DeliveryDate]]-data[[#This Row],[ShipDate]]</f>
        <v>3</v>
      </c>
      <c r="Z1070" s="17" t="str">
        <f>IF(data[[#This Row],[Actual Delivery Days]]&gt;AD1071,"Yes","No")</f>
        <v>Yes</v>
      </c>
    </row>
    <row r="1071" spans="1:26">
      <c r="A1071" s="17">
        <v>11295</v>
      </c>
      <c r="B1071" s="17">
        <v>3</v>
      </c>
      <c r="C1071" s="17">
        <v>1</v>
      </c>
      <c r="D1071" s="17" t="s">
        <v>330</v>
      </c>
      <c r="E1071" s="17" t="s">
        <v>623</v>
      </c>
      <c r="F1071" s="17" t="str">
        <f>TEXT(data[[#This Row],[ShipDate]],"yyyy - mmmm")</f>
        <v>2016 - April</v>
      </c>
      <c r="G1071" s="17" t="str">
        <f>data[[#This Row],[OriginCity]] &amp; " - "  &amp; data[[#This Row],[DestinationCity]]</f>
        <v>Elgin - Cincinnati</v>
      </c>
      <c r="H1071" s="17" t="s">
        <v>94</v>
      </c>
      <c r="I1071" s="17" t="s">
        <v>31</v>
      </c>
      <c r="J1071" s="17">
        <v>3</v>
      </c>
      <c r="K1071" s="17" t="s">
        <v>89</v>
      </c>
      <c r="L1071" s="17" t="s">
        <v>23</v>
      </c>
      <c r="M1071" s="17" t="s">
        <v>222</v>
      </c>
      <c r="N1071" s="17">
        <v>210</v>
      </c>
      <c r="O1071" s="17">
        <v>210</v>
      </c>
      <c r="P1071" s="26">
        <f>(data[[#This Row],[LoadedMiles]]/data[[#This Row],[TotalMiles]])*100</f>
        <v>100</v>
      </c>
      <c r="Q1071" s="25">
        <f>data[[#This Row],[ShippingCost]]/data[[#This Row],[TotalMiles]]</f>
        <v>15.019047619047619</v>
      </c>
      <c r="R1071" s="17">
        <v>3154</v>
      </c>
      <c r="S1071" s="25">
        <f>data[[#This Row],[Revenue]]/data[[#This Row],[TotalMiles]]</f>
        <v>39.24285714285714</v>
      </c>
      <c r="T1071" s="26">
        <f>data[[#This Row],[Revenue]]-data[[#This Row],[ShippingCost]]</f>
        <v>5087</v>
      </c>
      <c r="U1071" s="17">
        <v>8241</v>
      </c>
      <c r="V1071" s="17">
        <v>77</v>
      </c>
      <c r="W1071" s="17" t="s">
        <v>25</v>
      </c>
      <c r="X1071" s="17">
        <v>8</v>
      </c>
      <c r="Y1071" s="17">
        <f>data[[#This Row],[DeliveryDate]]-data[[#This Row],[ShipDate]]</f>
        <v>3</v>
      </c>
      <c r="Z1071" s="17" t="str">
        <f>IF(data[[#This Row],[Actual Delivery Days]]&gt;AD1072,"Yes","No")</f>
        <v>Yes</v>
      </c>
    </row>
    <row r="1072" spans="1:26">
      <c r="A1072" s="17">
        <v>11314</v>
      </c>
      <c r="B1072" s="17">
        <v>3</v>
      </c>
      <c r="C1072" s="17">
        <v>1</v>
      </c>
      <c r="D1072" s="17" t="s">
        <v>330</v>
      </c>
      <c r="E1072" s="17" t="s">
        <v>616</v>
      </c>
      <c r="F1072" s="17" t="str">
        <f>TEXT(data[[#This Row],[ShipDate]],"yyyy - mmmm")</f>
        <v>2016 - May</v>
      </c>
      <c r="G1072" s="17" t="str">
        <f>data[[#This Row],[OriginCity]] &amp; " - "  &amp; data[[#This Row],[DestinationCity]]</f>
        <v>Cincinnati - Gary</v>
      </c>
      <c r="H1072" s="17" t="s">
        <v>89</v>
      </c>
      <c r="I1072" s="17" t="s">
        <v>23</v>
      </c>
      <c r="J1072" s="17">
        <v>3</v>
      </c>
      <c r="K1072" s="17" t="s">
        <v>57</v>
      </c>
      <c r="L1072" s="17" t="s">
        <v>44</v>
      </c>
      <c r="M1072" s="17" t="s">
        <v>437</v>
      </c>
      <c r="N1072" s="17">
        <v>459</v>
      </c>
      <c r="O1072" s="17">
        <v>318</v>
      </c>
      <c r="P1072" s="26">
        <f>(data[[#This Row],[LoadedMiles]]/data[[#This Row],[TotalMiles]])*100</f>
        <v>69.281045751633982</v>
      </c>
      <c r="Q1072" s="25">
        <f>data[[#This Row],[ShippingCost]]/data[[#This Row],[TotalMiles]]</f>
        <v>1.1808278867102397</v>
      </c>
      <c r="R1072" s="17">
        <v>542</v>
      </c>
      <c r="S1072" s="25">
        <f>data[[#This Row],[Revenue]]/data[[#This Row],[TotalMiles]]</f>
        <v>11.272331154684096</v>
      </c>
      <c r="T1072" s="26">
        <f>data[[#This Row],[Revenue]]-data[[#This Row],[ShippingCost]]</f>
        <v>4632</v>
      </c>
      <c r="U1072" s="17">
        <v>5174</v>
      </c>
      <c r="V1072" s="17">
        <v>88</v>
      </c>
      <c r="W1072" s="17" t="s">
        <v>25</v>
      </c>
      <c r="X1072" s="17">
        <v>8</v>
      </c>
      <c r="Y1072" s="17">
        <f>data[[#This Row],[DeliveryDate]]-data[[#This Row],[ShipDate]]</f>
        <v>3</v>
      </c>
      <c r="Z1072" s="17" t="str">
        <f>IF(data[[#This Row],[Actual Delivery Days]]&gt;AD1073,"Yes","No")</f>
        <v>Yes</v>
      </c>
    </row>
    <row r="1073" spans="1:26">
      <c r="A1073" s="17">
        <v>11315</v>
      </c>
      <c r="B1073" s="17">
        <v>2</v>
      </c>
      <c r="C1073" s="17">
        <v>2</v>
      </c>
      <c r="D1073" s="17" t="s">
        <v>361</v>
      </c>
      <c r="E1073" s="17" t="s">
        <v>132</v>
      </c>
      <c r="F1073" s="17" t="str">
        <f>TEXT(data[[#This Row],[ShipDate]],"yyyy - mmmm")</f>
        <v>2016 - February</v>
      </c>
      <c r="G1073" s="17" t="str">
        <f>data[[#This Row],[OriginCity]] &amp; " - "  &amp; data[[#This Row],[DestinationCity]]</f>
        <v>Dayton - Elgin</v>
      </c>
      <c r="H1073" s="17" t="s">
        <v>93</v>
      </c>
      <c r="I1073" s="17" t="s">
        <v>23</v>
      </c>
      <c r="J1073" s="17">
        <v>3</v>
      </c>
      <c r="K1073" s="17" t="s">
        <v>94</v>
      </c>
      <c r="L1073" s="17" t="s">
        <v>31</v>
      </c>
      <c r="M1073" s="17" t="s">
        <v>74</v>
      </c>
      <c r="N1073" s="17">
        <v>453</v>
      </c>
      <c r="O1073" s="17">
        <v>341</v>
      </c>
      <c r="P1073" s="26">
        <f>(data[[#This Row],[LoadedMiles]]/data[[#This Row],[TotalMiles]])*100</f>
        <v>75.275938189845476</v>
      </c>
      <c r="Q1073" s="25">
        <f>data[[#This Row],[ShippingCost]]/data[[#This Row],[TotalMiles]]</f>
        <v>3.3554083885209711</v>
      </c>
      <c r="R1073" s="17">
        <v>1520</v>
      </c>
      <c r="S1073" s="25">
        <f>data[[#This Row],[Revenue]]/data[[#This Row],[TotalMiles]]</f>
        <v>4.8498896247240619</v>
      </c>
      <c r="T1073" s="26">
        <f>data[[#This Row],[Revenue]]-data[[#This Row],[ShippingCost]]</f>
        <v>677</v>
      </c>
      <c r="U1073" s="17">
        <v>2197</v>
      </c>
      <c r="V1073" s="17">
        <v>71</v>
      </c>
      <c r="W1073" s="17" t="s">
        <v>25</v>
      </c>
      <c r="X1073" s="17">
        <v>6</v>
      </c>
      <c r="Y1073" s="17">
        <f>data[[#This Row],[DeliveryDate]]-data[[#This Row],[ShipDate]]</f>
        <v>3</v>
      </c>
      <c r="Z1073" s="17" t="str">
        <f>IF(data[[#This Row],[Actual Delivery Days]]&gt;AD1074,"Yes","No")</f>
        <v>Yes</v>
      </c>
    </row>
    <row r="1074" spans="1:26">
      <c r="A1074" s="17">
        <v>11325</v>
      </c>
      <c r="B1074" s="17">
        <v>3</v>
      </c>
      <c r="C1074" s="17">
        <v>6</v>
      </c>
      <c r="D1074" s="17" t="s">
        <v>380</v>
      </c>
      <c r="E1074" s="17" t="s">
        <v>164</v>
      </c>
      <c r="F1074" s="17" t="str">
        <f>TEXT(data[[#This Row],[ShipDate]],"yyyy - mmmm")</f>
        <v>2016 - February</v>
      </c>
      <c r="G1074" s="17" t="str">
        <f>data[[#This Row],[OriginCity]] &amp; " - "  &amp; data[[#This Row],[DestinationCity]]</f>
        <v>Chicago - Rockford</v>
      </c>
      <c r="H1074" s="17" t="s">
        <v>39</v>
      </c>
      <c r="I1074" s="17" t="s">
        <v>31</v>
      </c>
      <c r="J1074" s="17">
        <v>3</v>
      </c>
      <c r="K1074" s="17" t="s">
        <v>40</v>
      </c>
      <c r="L1074" s="17" t="s">
        <v>31</v>
      </c>
      <c r="M1074" s="17" t="s">
        <v>290</v>
      </c>
      <c r="N1074" s="17">
        <v>389</v>
      </c>
      <c r="O1074" s="17">
        <v>389</v>
      </c>
      <c r="P1074" s="26">
        <f>(data[[#This Row],[LoadedMiles]]/data[[#This Row],[TotalMiles]])*100</f>
        <v>100</v>
      </c>
      <c r="Q1074" s="25">
        <f>data[[#This Row],[ShippingCost]]/data[[#This Row],[TotalMiles]]</f>
        <v>4.1233933161953731</v>
      </c>
      <c r="R1074" s="17">
        <v>1604</v>
      </c>
      <c r="S1074" s="25">
        <f>data[[#This Row],[Revenue]]/data[[#This Row],[TotalMiles]]</f>
        <v>5.1722365038560412</v>
      </c>
      <c r="T1074" s="26">
        <f>data[[#This Row],[Revenue]]-data[[#This Row],[ShippingCost]]</f>
        <v>408</v>
      </c>
      <c r="U1074" s="17">
        <v>2012</v>
      </c>
      <c r="V1074" s="17">
        <v>86</v>
      </c>
      <c r="W1074" s="17" t="s">
        <v>25</v>
      </c>
      <c r="X1074" s="17">
        <v>7</v>
      </c>
      <c r="Y1074" s="17">
        <f>data[[#This Row],[DeliveryDate]]-data[[#This Row],[ShipDate]]</f>
        <v>3</v>
      </c>
      <c r="Z1074" s="17" t="str">
        <f>IF(data[[#This Row],[Actual Delivery Days]]&gt;AD1075,"Yes","No")</f>
        <v>Yes</v>
      </c>
    </row>
    <row r="1075" spans="1:26">
      <c r="A1075" s="17">
        <v>11326</v>
      </c>
      <c r="B1075" s="17">
        <v>2</v>
      </c>
      <c r="C1075" s="17">
        <v>2</v>
      </c>
      <c r="D1075" s="17" t="s">
        <v>382</v>
      </c>
      <c r="E1075" s="17" t="s">
        <v>118</v>
      </c>
      <c r="F1075" s="17" t="str">
        <f>TEXT(data[[#This Row],[ShipDate]],"yyyy - mmmm")</f>
        <v>2016 - August</v>
      </c>
      <c r="G1075" s="17" t="str">
        <f>data[[#This Row],[OriginCity]] &amp; " - "  &amp; data[[#This Row],[DestinationCity]]</f>
        <v>Indianapolis - Northbrook</v>
      </c>
      <c r="H1075" s="17" t="s">
        <v>43</v>
      </c>
      <c r="I1075" s="17" t="s">
        <v>44</v>
      </c>
      <c r="J1075" s="17">
        <v>3</v>
      </c>
      <c r="K1075" s="17" t="s">
        <v>45</v>
      </c>
      <c r="L1075" s="17" t="s">
        <v>31</v>
      </c>
      <c r="M1075" s="17" t="s">
        <v>216</v>
      </c>
      <c r="N1075" s="17">
        <v>826</v>
      </c>
      <c r="O1075" s="17">
        <v>245</v>
      </c>
      <c r="P1075" s="26">
        <f>(data[[#This Row],[LoadedMiles]]/data[[#This Row],[TotalMiles]])*100</f>
        <v>29.66101694915254</v>
      </c>
      <c r="Q1075" s="25">
        <f>data[[#This Row],[ShippingCost]]/data[[#This Row],[TotalMiles]]</f>
        <v>5.8062953995157383</v>
      </c>
      <c r="R1075" s="17">
        <v>4796</v>
      </c>
      <c r="S1075" s="25">
        <f>data[[#This Row],[Revenue]]/data[[#This Row],[TotalMiles]]</f>
        <v>6.1815980629539951</v>
      </c>
      <c r="T1075" s="26">
        <f>data[[#This Row],[Revenue]]-data[[#This Row],[ShippingCost]]</f>
        <v>310</v>
      </c>
      <c r="U1075" s="17">
        <v>5106</v>
      </c>
      <c r="V1075" s="17">
        <v>96</v>
      </c>
      <c r="W1075" s="17" t="s">
        <v>25</v>
      </c>
      <c r="X1075" s="17">
        <v>3</v>
      </c>
      <c r="Y1075" s="17">
        <f>data[[#This Row],[DeliveryDate]]-data[[#This Row],[ShipDate]]</f>
        <v>1</v>
      </c>
      <c r="Z1075" s="17" t="str">
        <f>IF(data[[#This Row],[Actual Delivery Days]]&gt;AD1076,"Yes","No")</f>
        <v>Yes</v>
      </c>
    </row>
    <row r="1076" spans="1:26">
      <c r="A1076" s="17">
        <v>11331</v>
      </c>
      <c r="B1076" s="17">
        <v>2</v>
      </c>
      <c r="C1076" s="17">
        <v>2</v>
      </c>
      <c r="D1076" s="17" t="s">
        <v>392</v>
      </c>
      <c r="E1076" s="17" t="s">
        <v>394</v>
      </c>
      <c r="F1076" s="17" t="str">
        <f>TEXT(data[[#This Row],[ShipDate]],"yyyy - mmmm")</f>
        <v>2016 - January</v>
      </c>
      <c r="G1076" s="17" t="str">
        <f>data[[#This Row],[OriginCity]] &amp; " - "  &amp; data[[#This Row],[DestinationCity]]</f>
        <v>Green Bay - Joliet</v>
      </c>
      <c r="H1076" s="17" t="s">
        <v>75</v>
      </c>
      <c r="I1076" s="17" t="s">
        <v>29</v>
      </c>
      <c r="J1076" s="17">
        <v>3</v>
      </c>
      <c r="K1076" s="17" t="s">
        <v>61</v>
      </c>
      <c r="L1076" s="17" t="s">
        <v>31</v>
      </c>
      <c r="M1076" s="17" t="s">
        <v>396</v>
      </c>
      <c r="N1076" s="17">
        <v>909</v>
      </c>
      <c r="O1076" s="17">
        <v>723</v>
      </c>
      <c r="P1076" s="26">
        <f>(data[[#This Row],[LoadedMiles]]/data[[#This Row],[TotalMiles]])*100</f>
        <v>79.537953795379536</v>
      </c>
      <c r="Q1076" s="25">
        <f>data[[#This Row],[ShippingCost]]/data[[#This Row],[TotalMiles]]</f>
        <v>1.130913091309131</v>
      </c>
      <c r="R1076" s="17">
        <v>1028</v>
      </c>
      <c r="S1076" s="25">
        <f>data[[#This Row],[Revenue]]/data[[#This Row],[TotalMiles]]</f>
        <v>2.1199119911991198</v>
      </c>
      <c r="T1076" s="26">
        <f>data[[#This Row],[Revenue]]-data[[#This Row],[ShippingCost]]</f>
        <v>899</v>
      </c>
      <c r="U1076" s="17">
        <v>1927</v>
      </c>
      <c r="V1076" s="17">
        <v>65</v>
      </c>
      <c r="W1076" s="17" t="s">
        <v>25</v>
      </c>
      <c r="X1076" s="17">
        <v>9</v>
      </c>
      <c r="Y1076" s="17">
        <f>data[[#This Row],[DeliveryDate]]-data[[#This Row],[ShipDate]]</f>
        <v>3</v>
      </c>
      <c r="Z1076" s="17" t="str">
        <f>IF(data[[#This Row],[Actual Delivery Days]]&gt;AD1077,"Yes","No")</f>
        <v>Yes</v>
      </c>
    </row>
    <row r="1077" spans="1:26">
      <c r="A1077" s="17">
        <v>11336</v>
      </c>
      <c r="B1077" s="17">
        <v>3</v>
      </c>
      <c r="C1077" s="17">
        <v>6</v>
      </c>
      <c r="D1077" s="17" t="s">
        <v>400</v>
      </c>
      <c r="E1077" s="17" t="s">
        <v>333</v>
      </c>
      <c r="F1077" s="17" t="str">
        <f>TEXT(data[[#This Row],[ShipDate]],"yyyy - mmmm")</f>
        <v>2016 - February</v>
      </c>
      <c r="G1077" s="17" t="str">
        <f>data[[#This Row],[OriginCity]] &amp; " - "  &amp; data[[#This Row],[DestinationCity]]</f>
        <v>Dayton - Elgin</v>
      </c>
      <c r="H1077" s="17" t="s">
        <v>93</v>
      </c>
      <c r="I1077" s="17" t="s">
        <v>23</v>
      </c>
      <c r="J1077" s="17">
        <v>3</v>
      </c>
      <c r="K1077" s="17" t="s">
        <v>94</v>
      </c>
      <c r="L1077" s="17" t="s">
        <v>31</v>
      </c>
      <c r="M1077" s="17" t="s">
        <v>567</v>
      </c>
      <c r="N1077" s="17">
        <v>387</v>
      </c>
      <c r="O1077" s="17">
        <v>387</v>
      </c>
      <c r="P1077" s="26">
        <f>(data[[#This Row],[LoadedMiles]]/data[[#This Row],[TotalMiles]])*100</f>
        <v>100</v>
      </c>
      <c r="Q1077" s="25">
        <f>data[[#This Row],[ShippingCost]]/data[[#This Row],[TotalMiles]]</f>
        <v>0.87338501291989667</v>
      </c>
      <c r="R1077" s="17">
        <v>338</v>
      </c>
      <c r="S1077" s="25">
        <f>data[[#This Row],[Revenue]]/data[[#This Row],[TotalMiles]]</f>
        <v>1.2506459948320414</v>
      </c>
      <c r="T1077" s="26">
        <f>data[[#This Row],[Revenue]]-data[[#This Row],[ShippingCost]]</f>
        <v>146</v>
      </c>
      <c r="U1077" s="17">
        <v>484</v>
      </c>
      <c r="V1077" s="17">
        <v>70</v>
      </c>
      <c r="W1077" s="17" t="s">
        <v>25</v>
      </c>
      <c r="X1077" s="17">
        <v>2</v>
      </c>
      <c r="Y1077" s="17">
        <f>data[[#This Row],[DeliveryDate]]-data[[#This Row],[ShipDate]]</f>
        <v>2</v>
      </c>
      <c r="Z1077" s="17" t="str">
        <f>IF(data[[#This Row],[Actual Delivery Days]]&gt;AD1078,"Yes","No")</f>
        <v>Yes</v>
      </c>
    </row>
    <row r="1078" spans="1:26">
      <c r="A1078" s="17">
        <v>11339</v>
      </c>
      <c r="B1078" s="17">
        <v>2</v>
      </c>
      <c r="C1078" s="17">
        <v>5</v>
      </c>
      <c r="D1078" s="17" t="s">
        <v>403</v>
      </c>
      <c r="E1078" s="17" t="s">
        <v>282</v>
      </c>
      <c r="F1078" s="17" t="str">
        <f>TEXT(data[[#This Row],[ShipDate]],"yyyy - mmmm")</f>
        <v>2016 - June</v>
      </c>
      <c r="G1078" s="17" t="str">
        <f>data[[#This Row],[OriginCity]] &amp; " - "  &amp; data[[#This Row],[DestinationCity]]</f>
        <v>Bangor - Davenport</v>
      </c>
      <c r="H1078" s="17" t="s">
        <v>104</v>
      </c>
      <c r="I1078" s="17" t="s">
        <v>21</v>
      </c>
      <c r="J1078" s="17">
        <v>3</v>
      </c>
      <c r="K1078" s="17" t="s">
        <v>105</v>
      </c>
      <c r="L1078" s="17" t="s">
        <v>106</v>
      </c>
      <c r="M1078" s="17" t="s">
        <v>444</v>
      </c>
      <c r="N1078" s="17">
        <v>595</v>
      </c>
      <c r="O1078" s="17">
        <v>595</v>
      </c>
      <c r="P1078" s="26">
        <f>(data[[#This Row],[LoadedMiles]]/data[[#This Row],[TotalMiles]])*100</f>
        <v>100</v>
      </c>
      <c r="Q1078" s="25">
        <f>data[[#This Row],[ShippingCost]]/data[[#This Row],[TotalMiles]]</f>
        <v>3.3966386554621848</v>
      </c>
      <c r="R1078" s="17">
        <v>2021</v>
      </c>
      <c r="S1078" s="25">
        <f>data[[#This Row],[Revenue]]/data[[#This Row],[TotalMiles]]</f>
        <v>3.7226890756302522</v>
      </c>
      <c r="T1078" s="26">
        <f>data[[#This Row],[Revenue]]-data[[#This Row],[ShippingCost]]</f>
        <v>194</v>
      </c>
      <c r="U1078" s="17">
        <v>2215</v>
      </c>
      <c r="V1078" s="17">
        <v>91</v>
      </c>
      <c r="W1078" s="17" t="s">
        <v>25</v>
      </c>
      <c r="X1078" s="17">
        <v>5</v>
      </c>
      <c r="Y1078" s="17">
        <f>data[[#This Row],[DeliveryDate]]-data[[#This Row],[ShipDate]]</f>
        <v>3</v>
      </c>
      <c r="Z1078" s="17" t="str">
        <f>IF(data[[#This Row],[Actual Delivery Days]]&gt;AD1079,"Yes","No")</f>
        <v>Yes</v>
      </c>
    </row>
    <row r="1079" spans="1:26">
      <c r="A1079" s="17">
        <v>11342</v>
      </c>
      <c r="B1079" s="17">
        <v>3</v>
      </c>
      <c r="C1079" s="17">
        <v>3</v>
      </c>
      <c r="D1079" s="17" t="s">
        <v>409</v>
      </c>
      <c r="E1079" s="17" t="s">
        <v>32</v>
      </c>
      <c r="F1079" s="17" t="str">
        <f>TEXT(data[[#This Row],[ShipDate]],"yyyy - mmmm")</f>
        <v>2016 - May</v>
      </c>
      <c r="G1079" s="17" t="str">
        <f>data[[#This Row],[OriginCity]] &amp; " - "  &amp; data[[#This Row],[DestinationCity]]</f>
        <v>Kalamazoo - Bangor</v>
      </c>
      <c r="H1079" s="17" t="s">
        <v>71</v>
      </c>
      <c r="I1079" s="17" t="s">
        <v>21</v>
      </c>
      <c r="J1079" s="17">
        <v>3</v>
      </c>
      <c r="K1079" s="17" t="s">
        <v>104</v>
      </c>
      <c r="L1079" s="17" t="s">
        <v>21</v>
      </c>
      <c r="M1079" s="17" t="s">
        <v>368</v>
      </c>
      <c r="N1079" s="17">
        <v>702</v>
      </c>
      <c r="O1079" s="17">
        <v>702</v>
      </c>
      <c r="P1079" s="26">
        <f>(data[[#This Row],[LoadedMiles]]/data[[#This Row],[TotalMiles]])*100</f>
        <v>100</v>
      </c>
      <c r="Q1079" s="25">
        <f>data[[#This Row],[ShippingCost]]/data[[#This Row],[TotalMiles]]</f>
        <v>8.7735042735042743</v>
      </c>
      <c r="R1079" s="17">
        <v>6159</v>
      </c>
      <c r="S1079" s="25">
        <f>data[[#This Row],[Revenue]]/data[[#This Row],[TotalMiles]]</f>
        <v>8.9415954415954424</v>
      </c>
      <c r="T1079" s="26">
        <f>data[[#This Row],[Revenue]]-data[[#This Row],[ShippingCost]]</f>
        <v>118</v>
      </c>
      <c r="U1079" s="17">
        <v>6277</v>
      </c>
      <c r="V1079" s="17">
        <v>69</v>
      </c>
      <c r="W1079" s="17" t="s">
        <v>25</v>
      </c>
      <c r="X1079" s="17">
        <v>1</v>
      </c>
      <c r="Y1079" s="17">
        <f>data[[#This Row],[DeliveryDate]]-data[[#This Row],[ShipDate]]</f>
        <v>3</v>
      </c>
      <c r="Z1079" s="17" t="str">
        <f>IF(data[[#This Row],[Actual Delivery Days]]&gt;AD1080,"Yes","No")</f>
        <v>Yes</v>
      </c>
    </row>
    <row r="1080" spans="1:26">
      <c r="A1080" s="17">
        <v>11344</v>
      </c>
      <c r="B1080" s="17">
        <v>3</v>
      </c>
      <c r="C1080" s="17">
        <v>1</v>
      </c>
      <c r="D1080" s="17" t="s">
        <v>412</v>
      </c>
      <c r="E1080" s="17" t="s">
        <v>363</v>
      </c>
      <c r="F1080" s="17" t="str">
        <f>TEXT(data[[#This Row],[ShipDate]],"yyyy - mmmm")</f>
        <v>2016 - February</v>
      </c>
      <c r="G1080" s="17" t="str">
        <f>data[[#This Row],[OriginCity]] &amp; " - "  &amp; data[[#This Row],[DestinationCity]]</f>
        <v>Grand Rapids - Toledo</v>
      </c>
      <c r="H1080" s="17" t="s">
        <v>20</v>
      </c>
      <c r="I1080" s="17" t="s">
        <v>21</v>
      </c>
      <c r="J1080" s="17">
        <v>3</v>
      </c>
      <c r="K1080" s="17" t="s">
        <v>22</v>
      </c>
      <c r="L1080" s="17" t="s">
        <v>23</v>
      </c>
      <c r="M1080" s="17" t="s">
        <v>333</v>
      </c>
      <c r="N1080" s="17">
        <v>303</v>
      </c>
      <c r="O1080" s="17">
        <v>303</v>
      </c>
      <c r="P1080" s="26">
        <f>(data[[#This Row],[LoadedMiles]]/data[[#This Row],[TotalMiles]])*100</f>
        <v>100</v>
      </c>
      <c r="Q1080" s="25">
        <f>data[[#This Row],[ShippingCost]]/data[[#This Row],[TotalMiles]]</f>
        <v>4.7161716171617165</v>
      </c>
      <c r="R1080" s="17">
        <v>1429</v>
      </c>
      <c r="S1080" s="25">
        <f>data[[#This Row],[Revenue]]/data[[#This Row],[TotalMiles]]</f>
        <v>22.095709570957094</v>
      </c>
      <c r="T1080" s="26">
        <f>data[[#This Row],[Revenue]]-data[[#This Row],[ShippingCost]]</f>
        <v>5266</v>
      </c>
      <c r="U1080" s="17">
        <v>6695</v>
      </c>
      <c r="V1080" s="17">
        <v>65</v>
      </c>
      <c r="W1080" s="17" t="s">
        <v>25</v>
      </c>
      <c r="X1080" s="17">
        <v>9</v>
      </c>
      <c r="Y1080" s="17">
        <f>data[[#This Row],[DeliveryDate]]-data[[#This Row],[ShipDate]]</f>
        <v>1</v>
      </c>
      <c r="Z1080" s="17" t="str">
        <f>IF(data[[#This Row],[Actual Delivery Days]]&gt;AD1081,"Yes","No")</f>
        <v>Yes</v>
      </c>
    </row>
    <row r="1081" spans="1:26">
      <c r="A1081" s="17">
        <v>11351</v>
      </c>
      <c r="B1081" s="17">
        <v>3</v>
      </c>
      <c r="C1081" s="17">
        <v>5</v>
      </c>
      <c r="D1081" s="17" t="s">
        <v>425</v>
      </c>
      <c r="E1081" s="17" t="s">
        <v>616</v>
      </c>
      <c r="F1081" s="17" t="str">
        <f>TEXT(data[[#This Row],[ShipDate]],"yyyy - mmmm")</f>
        <v>2016 - May</v>
      </c>
      <c r="G1081" s="17" t="str">
        <f>data[[#This Row],[OriginCity]] &amp; " - "  &amp; data[[#This Row],[DestinationCity]]</f>
        <v>Gary - Milwaukee</v>
      </c>
      <c r="H1081" s="17" t="s">
        <v>57</v>
      </c>
      <c r="I1081" s="17" t="s">
        <v>44</v>
      </c>
      <c r="J1081" s="17">
        <v>3</v>
      </c>
      <c r="K1081" s="17" t="s">
        <v>28</v>
      </c>
      <c r="L1081" s="17" t="s">
        <v>29</v>
      </c>
      <c r="M1081" s="17" t="s">
        <v>437</v>
      </c>
      <c r="N1081" s="17">
        <v>478</v>
      </c>
      <c r="O1081" s="17">
        <v>478</v>
      </c>
      <c r="P1081" s="26">
        <f>(data[[#This Row],[LoadedMiles]]/data[[#This Row],[TotalMiles]])*100</f>
        <v>100</v>
      </c>
      <c r="Q1081" s="25">
        <f>data[[#This Row],[ShippingCost]]/data[[#This Row],[TotalMiles]]</f>
        <v>15.799163179916318</v>
      </c>
      <c r="R1081" s="17">
        <v>7552</v>
      </c>
      <c r="S1081" s="25">
        <f>data[[#This Row],[Revenue]]/data[[#This Row],[TotalMiles]]</f>
        <v>17.418410041841003</v>
      </c>
      <c r="T1081" s="26">
        <f>data[[#This Row],[Revenue]]-data[[#This Row],[ShippingCost]]</f>
        <v>774</v>
      </c>
      <c r="U1081" s="17">
        <v>8326</v>
      </c>
      <c r="V1081" s="17">
        <v>50</v>
      </c>
      <c r="W1081" s="17" t="s">
        <v>25</v>
      </c>
      <c r="X1081" s="17">
        <v>3</v>
      </c>
      <c r="Y1081" s="17">
        <f>data[[#This Row],[DeliveryDate]]-data[[#This Row],[ShipDate]]</f>
        <v>3</v>
      </c>
      <c r="Z1081" s="17" t="str">
        <f>IF(data[[#This Row],[Actual Delivery Days]]&gt;AD1082,"Yes","No")</f>
        <v>Yes</v>
      </c>
    </row>
    <row r="1082" spans="1:26">
      <c r="A1082" s="17">
        <v>11356</v>
      </c>
      <c r="B1082" s="17">
        <v>2</v>
      </c>
      <c r="C1082" s="17">
        <v>6</v>
      </c>
      <c r="D1082" s="17" t="s">
        <v>432</v>
      </c>
      <c r="E1082" s="17" t="s">
        <v>379</v>
      </c>
      <c r="F1082" s="17" t="str">
        <f>TEXT(data[[#This Row],[ShipDate]],"yyyy - mmmm")</f>
        <v>2016 - February</v>
      </c>
      <c r="G1082" s="17" t="str">
        <f>data[[#This Row],[OriginCity]] &amp; " - "  &amp; data[[#This Row],[DestinationCity]]</f>
        <v>Naperville - Indianapolis</v>
      </c>
      <c r="H1082" s="17" t="s">
        <v>48</v>
      </c>
      <c r="I1082" s="17" t="s">
        <v>31</v>
      </c>
      <c r="J1082" s="17">
        <v>3</v>
      </c>
      <c r="K1082" s="17" t="s">
        <v>43</v>
      </c>
      <c r="L1082" s="17" t="s">
        <v>44</v>
      </c>
      <c r="M1082" s="17" t="s">
        <v>379</v>
      </c>
      <c r="N1082" s="17">
        <v>384</v>
      </c>
      <c r="O1082" s="17">
        <v>384</v>
      </c>
      <c r="P1082" s="26">
        <f>(data[[#This Row],[LoadedMiles]]/data[[#This Row],[TotalMiles]])*100</f>
        <v>100</v>
      </c>
      <c r="Q1082" s="25">
        <f>data[[#This Row],[ShippingCost]]/data[[#This Row],[TotalMiles]]</f>
        <v>17.471354166666668</v>
      </c>
      <c r="R1082" s="17">
        <v>6709</v>
      </c>
      <c r="S1082" s="25">
        <f>data[[#This Row],[Revenue]]/data[[#This Row],[TotalMiles]]</f>
        <v>18.747395833333332</v>
      </c>
      <c r="T1082" s="26">
        <f>data[[#This Row],[Revenue]]-data[[#This Row],[ShippingCost]]</f>
        <v>490</v>
      </c>
      <c r="U1082" s="17">
        <v>7199</v>
      </c>
      <c r="V1082" s="17">
        <v>79</v>
      </c>
      <c r="W1082" s="17" t="s">
        <v>25</v>
      </c>
      <c r="X1082" s="17">
        <v>2</v>
      </c>
      <c r="Y1082" s="17">
        <f>data[[#This Row],[DeliveryDate]]-data[[#This Row],[ShipDate]]</f>
        <v>0</v>
      </c>
      <c r="Z1082" s="17" t="str">
        <f>IF(data[[#This Row],[Actual Delivery Days]]&gt;AD1083,"Yes","No")</f>
        <v>No</v>
      </c>
    </row>
    <row r="1083" spans="1:26">
      <c r="A1083" s="17">
        <v>11357</v>
      </c>
      <c r="B1083" s="17">
        <v>2</v>
      </c>
      <c r="C1083" s="17">
        <v>6</v>
      </c>
      <c r="D1083" s="17" t="s">
        <v>433</v>
      </c>
      <c r="E1083" s="17" t="s">
        <v>197</v>
      </c>
      <c r="F1083" s="17" t="str">
        <f>TEXT(data[[#This Row],[ShipDate]],"yyyy - mmmm")</f>
        <v>2016 - May</v>
      </c>
      <c r="G1083" s="17" t="str">
        <f>data[[#This Row],[OriginCity]] &amp; " - "  &amp; data[[#This Row],[DestinationCity]]</f>
        <v>Rockford - Green Bay</v>
      </c>
      <c r="H1083" s="17" t="s">
        <v>40</v>
      </c>
      <c r="I1083" s="17" t="s">
        <v>31</v>
      </c>
      <c r="J1083" s="17">
        <v>3</v>
      </c>
      <c r="K1083" s="17" t="s">
        <v>75</v>
      </c>
      <c r="L1083" s="17" t="s">
        <v>29</v>
      </c>
      <c r="M1083" s="17" t="s">
        <v>218</v>
      </c>
      <c r="N1083" s="17">
        <v>1019</v>
      </c>
      <c r="O1083" s="17">
        <v>711</v>
      </c>
      <c r="P1083" s="26">
        <f>(data[[#This Row],[LoadedMiles]]/data[[#This Row],[TotalMiles]])*100</f>
        <v>69.774288518155061</v>
      </c>
      <c r="Q1083" s="25">
        <f>data[[#This Row],[ShippingCost]]/data[[#This Row],[TotalMiles]]</f>
        <v>1.3326790971540725</v>
      </c>
      <c r="R1083" s="17">
        <v>1358</v>
      </c>
      <c r="S1083" s="25">
        <f>data[[#This Row],[Revenue]]/data[[#This Row],[TotalMiles]]</f>
        <v>2.1334641805691854</v>
      </c>
      <c r="T1083" s="26">
        <f>data[[#This Row],[Revenue]]-data[[#This Row],[ShippingCost]]</f>
        <v>816</v>
      </c>
      <c r="U1083" s="17">
        <v>2174</v>
      </c>
      <c r="V1083" s="17">
        <v>96</v>
      </c>
      <c r="W1083" s="17" t="s">
        <v>25</v>
      </c>
      <c r="X1083" s="17">
        <v>7</v>
      </c>
      <c r="Y1083" s="17">
        <f>data[[#This Row],[DeliveryDate]]-data[[#This Row],[ShipDate]]</f>
        <v>3</v>
      </c>
      <c r="Z1083" s="17" t="str">
        <f>IF(data[[#This Row],[Actual Delivery Days]]&gt;AD1084,"Yes","No")</f>
        <v>Yes</v>
      </c>
    </row>
    <row r="1084" spans="1:26">
      <c r="A1084" s="17">
        <v>11360</v>
      </c>
      <c r="B1084" s="17">
        <v>3</v>
      </c>
      <c r="C1084" s="17">
        <v>2</v>
      </c>
      <c r="D1084" s="17" t="s">
        <v>438</v>
      </c>
      <c r="E1084" s="17" t="s">
        <v>332</v>
      </c>
      <c r="F1084" s="17" t="str">
        <f>TEXT(data[[#This Row],[ShipDate]],"yyyy - mmmm")</f>
        <v>2016 - February</v>
      </c>
      <c r="G1084" s="17" t="str">
        <f>data[[#This Row],[OriginCity]] &amp; " - "  &amp; data[[#This Row],[DestinationCity]]</f>
        <v>Dayton - Elgin</v>
      </c>
      <c r="H1084" s="17" t="s">
        <v>93</v>
      </c>
      <c r="I1084" s="17" t="s">
        <v>23</v>
      </c>
      <c r="J1084" s="17">
        <v>3</v>
      </c>
      <c r="K1084" s="17" t="s">
        <v>94</v>
      </c>
      <c r="L1084" s="17" t="s">
        <v>31</v>
      </c>
      <c r="M1084" s="17" t="s">
        <v>363</v>
      </c>
      <c r="N1084" s="17">
        <v>381</v>
      </c>
      <c r="O1084" s="17">
        <v>332</v>
      </c>
      <c r="P1084" s="26">
        <f>(data[[#This Row],[LoadedMiles]]/data[[#This Row],[TotalMiles]])*100</f>
        <v>87.139107611548567</v>
      </c>
      <c r="Q1084" s="25">
        <f>data[[#This Row],[ShippingCost]]/data[[#This Row],[TotalMiles]]</f>
        <v>15.627296587926509</v>
      </c>
      <c r="R1084" s="17">
        <v>5954</v>
      </c>
      <c r="S1084" s="25">
        <f>data[[#This Row],[Revenue]]/data[[#This Row],[TotalMiles]]</f>
        <v>17.719160104986877</v>
      </c>
      <c r="T1084" s="26">
        <f>data[[#This Row],[Revenue]]-data[[#This Row],[ShippingCost]]</f>
        <v>797</v>
      </c>
      <c r="U1084" s="17">
        <v>6751</v>
      </c>
      <c r="V1084" s="17">
        <v>56</v>
      </c>
      <c r="W1084" s="17" t="s">
        <v>25</v>
      </c>
      <c r="X1084" s="17">
        <v>7</v>
      </c>
      <c r="Y1084" s="17">
        <f>data[[#This Row],[DeliveryDate]]-data[[#This Row],[ShipDate]]</f>
        <v>3</v>
      </c>
      <c r="Z1084" s="17" t="str">
        <f>IF(data[[#This Row],[Actual Delivery Days]]&gt;AD1085,"Yes","No")</f>
        <v>Yes</v>
      </c>
    </row>
    <row r="1085" spans="1:26">
      <c r="A1085" s="17">
        <v>11363</v>
      </c>
      <c r="B1085" s="17">
        <v>3</v>
      </c>
      <c r="C1085" s="17">
        <v>1</v>
      </c>
      <c r="D1085" s="17" t="s">
        <v>442</v>
      </c>
      <c r="E1085" s="17" t="s">
        <v>146</v>
      </c>
      <c r="F1085" s="17" t="str">
        <f>TEXT(data[[#This Row],[ShipDate]],"yyyy - mmmm")</f>
        <v>2016 - June</v>
      </c>
      <c r="G1085" s="17" t="str">
        <f>data[[#This Row],[OriginCity]] &amp; " - "  &amp; data[[#This Row],[DestinationCity]]</f>
        <v>Bangor - Davenport</v>
      </c>
      <c r="H1085" s="17" t="s">
        <v>104</v>
      </c>
      <c r="I1085" s="17" t="s">
        <v>21</v>
      </c>
      <c r="J1085" s="17">
        <v>3</v>
      </c>
      <c r="K1085" s="17" t="s">
        <v>105</v>
      </c>
      <c r="L1085" s="17" t="s">
        <v>106</v>
      </c>
      <c r="M1085" s="17" t="s">
        <v>316</v>
      </c>
      <c r="N1085" s="17">
        <v>950</v>
      </c>
      <c r="O1085" s="17">
        <v>751</v>
      </c>
      <c r="P1085" s="26">
        <f>(data[[#This Row],[LoadedMiles]]/data[[#This Row],[TotalMiles]])*100</f>
        <v>79.05263157894737</v>
      </c>
      <c r="Q1085" s="25">
        <f>data[[#This Row],[ShippingCost]]/data[[#This Row],[TotalMiles]]</f>
        <v>7.4210526315789478</v>
      </c>
      <c r="R1085" s="17">
        <v>7050</v>
      </c>
      <c r="S1085" s="25">
        <f>data[[#This Row],[Revenue]]/data[[#This Row],[TotalMiles]]</f>
        <v>11.816842105263158</v>
      </c>
      <c r="T1085" s="26">
        <f>data[[#This Row],[Revenue]]-data[[#This Row],[ShippingCost]]</f>
        <v>4176</v>
      </c>
      <c r="U1085" s="17">
        <v>11226</v>
      </c>
      <c r="V1085" s="17">
        <v>67</v>
      </c>
      <c r="W1085" s="17" t="s">
        <v>25</v>
      </c>
      <c r="X1085" s="17">
        <v>9</v>
      </c>
      <c r="Y1085" s="17">
        <f>data[[#This Row],[DeliveryDate]]-data[[#This Row],[ShipDate]]</f>
        <v>3</v>
      </c>
      <c r="Z1085" s="17" t="str">
        <f>IF(data[[#This Row],[Actual Delivery Days]]&gt;AD1086,"Yes","No")</f>
        <v>Yes</v>
      </c>
    </row>
    <row r="1086" spans="1:26">
      <c r="A1086" s="17">
        <v>11377</v>
      </c>
      <c r="B1086" s="17">
        <v>2</v>
      </c>
      <c r="C1086" s="17">
        <v>5</v>
      </c>
      <c r="D1086" s="17" t="s">
        <v>463</v>
      </c>
      <c r="E1086" s="17" t="s">
        <v>362</v>
      </c>
      <c r="F1086" s="17" t="str">
        <f>TEXT(data[[#This Row],[ShipDate]],"yyyy - mmmm")</f>
        <v>2016 - February</v>
      </c>
      <c r="G1086" s="17" t="str">
        <f>data[[#This Row],[OriginCity]] &amp; " - "  &amp; data[[#This Row],[DestinationCity]]</f>
        <v>Monon - Lansing</v>
      </c>
      <c r="H1086" s="17" t="s">
        <v>53</v>
      </c>
      <c r="I1086" s="17" t="s">
        <v>44</v>
      </c>
      <c r="J1086" s="17">
        <v>3</v>
      </c>
      <c r="K1086" s="17" t="s">
        <v>66</v>
      </c>
      <c r="L1086" s="17" t="s">
        <v>21</v>
      </c>
      <c r="M1086" s="17" t="s">
        <v>611</v>
      </c>
      <c r="N1086" s="17">
        <v>1067</v>
      </c>
      <c r="O1086" s="17">
        <v>679</v>
      </c>
      <c r="P1086" s="26">
        <f>(data[[#This Row],[LoadedMiles]]/data[[#This Row],[TotalMiles]])*100</f>
        <v>63.636363636363633</v>
      </c>
      <c r="Q1086" s="25">
        <f>data[[#This Row],[ShippingCost]]/data[[#This Row],[TotalMiles]]</f>
        <v>4.1030927835051543</v>
      </c>
      <c r="R1086" s="17">
        <v>4378</v>
      </c>
      <c r="S1086" s="25">
        <f>data[[#This Row],[Revenue]]/data[[#This Row],[TotalMiles]]</f>
        <v>4.5388940955951265</v>
      </c>
      <c r="T1086" s="26">
        <f>data[[#This Row],[Revenue]]-data[[#This Row],[ShippingCost]]</f>
        <v>465</v>
      </c>
      <c r="U1086" s="17">
        <v>4843</v>
      </c>
      <c r="V1086" s="17">
        <v>100</v>
      </c>
      <c r="W1086" s="17" t="s">
        <v>25</v>
      </c>
      <c r="X1086" s="17">
        <v>6</v>
      </c>
      <c r="Y1086" s="17">
        <f>data[[#This Row],[DeliveryDate]]-data[[#This Row],[ShipDate]]</f>
        <v>3</v>
      </c>
      <c r="Z1086" s="17" t="str">
        <f>IF(data[[#This Row],[Actual Delivery Days]]&gt;AD1087,"Yes","No")</f>
        <v>Yes</v>
      </c>
    </row>
    <row r="1087" spans="1:26">
      <c r="A1087" s="17">
        <v>11379</v>
      </c>
      <c r="B1087" s="17">
        <v>3</v>
      </c>
      <c r="C1087" s="17">
        <v>6</v>
      </c>
      <c r="D1087" s="17" t="s">
        <v>465</v>
      </c>
      <c r="E1087" s="17" t="s">
        <v>207</v>
      </c>
      <c r="F1087" s="17" t="str">
        <f>TEXT(data[[#This Row],[ShipDate]],"yyyy - mmmm")</f>
        <v>2016 - March</v>
      </c>
      <c r="G1087" s="17" t="str">
        <f>data[[#This Row],[OriginCity]] &amp; " - "  &amp; data[[#This Row],[DestinationCity]]</f>
        <v>Green Bay - Joliet</v>
      </c>
      <c r="H1087" s="17" t="s">
        <v>75</v>
      </c>
      <c r="I1087" s="17" t="s">
        <v>29</v>
      </c>
      <c r="J1087" s="17">
        <v>3</v>
      </c>
      <c r="K1087" s="17" t="s">
        <v>61</v>
      </c>
      <c r="L1087" s="17" t="s">
        <v>31</v>
      </c>
      <c r="M1087" s="17" t="s">
        <v>133</v>
      </c>
      <c r="N1087" s="17">
        <v>425</v>
      </c>
      <c r="O1087" s="17">
        <v>425</v>
      </c>
      <c r="P1087" s="26">
        <f>(data[[#This Row],[LoadedMiles]]/data[[#This Row],[TotalMiles]])*100</f>
        <v>100</v>
      </c>
      <c r="Q1087" s="25">
        <f>data[[#This Row],[ShippingCost]]/data[[#This Row],[TotalMiles]]</f>
        <v>18.308235294117647</v>
      </c>
      <c r="R1087" s="17">
        <v>7781</v>
      </c>
      <c r="S1087" s="25">
        <f>data[[#This Row],[Revenue]]/data[[#This Row],[TotalMiles]]</f>
        <v>19.458823529411763</v>
      </c>
      <c r="T1087" s="26">
        <f>data[[#This Row],[Revenue]]-data[[#This Row],[ShippingCost]]</f>
        <v>489</v>
      </c>
      <c r="U1087" s="17">
        <v>8270</v>
      </c>
      <c r="V1087" s="17">
        <v>88</v>
      </c>
      <c r="W1087" s="17" t="s">
        <v>25</v>
      </c>
      <c r="X1087" s="17">
        <v>9</v>
      </c>
      <c r="Y1087" s="17">
        <f>data[[#This Row],[DeliveryDate]]-data[[#This Row],[ShipDate]]</f>
        <v>3</v>
      </c>
      <c r="Z1087" s="17" t="str">
        <f>IF(data[[#This Row],[Actual Delivery Days]]&gt;AD1088,"Yes","No")</f>
        <v>Yes</v>
      </c>
    </row>
    <row r="1088" spans="1:26">
      <c r="A1088" s="17">
        <v>11381</v>
      </c>
      <c r="B1088" s="17">
        <v>2</v>
      </c>
      <c r="C1088" s="17">
        <v>2</v>
      </c>
      <c r="D1088" s="17" t="s">
        <v>469</v>
      </c>
      <c r="E1088" s="17" t="s">
        <v>101</v>
      </c>
      <c r="F1088" s="17" t="str">
        <f>TEXT(data[[#This Row],[ShipDate]],"yyyy - mmmm")</f>
        <v>2016 - April</v>
      </c>
      <c r="G1088" s="17" t="str">
        <f>data[[#This Row],[OriginCity]] &amp; " - "  &amp; data[[#This Row],[DestinationCity]]</f>
        <v>Appleton - Grand Rapids</v>
      </c>
      <c r="H1088" s="17" t="s">
        <v>85</v>
      </c>
      <c r="I1088" s="17" t="s">
        <v>29</v>
      </c>
      <c r="J1088" s="17">
        <v>3</v>
      </c>
      <c r="K1088" s="17" t="s">
        <v>20</v>
      </c>
      <c r="L1088" s="17" t="s">
        <v>21</v>
      </c>
      <c r="M1088" s="17" t="s">
        <v>480</v>
      </c>
      <c r="N1088" s="17">
        <v>1089</v>
      </c>
      <c r="O1088" s="17">
        <v>588</v>
      </c>
      <c r="P1088" s="26">
        <f>(data[[#This Row],[LoadedMiles]]/data[[#This Row],[TotalMiles]])*100</f>
        <v>53.994490358126725</v>
      </c>
      <c r="Q1088" s="25">
        <f>data[[#This Row],[ShippingCost]]/data[[#This Row],[TotalMiles]]</f>
        <v>1.1946740128558311</v>
      </c>
      <c r="R1088" s="17">
        <v>1301</v>
      </c>
      <c r="S1088" s="25">
        <f>data[[#This Row],[Revenue]]/data[[#This Row],[TotalMiles]]</f>
        <v>1.8301193755739211</v>
      </c>
      <c r="T1088" s="26">
        <f>data[[#This Row],[Revenue]]-data[[#This Row],[ShippingCost]]</f>
        <v>692</v>
      </c>
      <c r="U1088" s="17">
        <v>1993</v>
      </c>
      <c r="V1088" s="17">
        <v>70</v>
      </c>
      <c r="W1088" s="17" t="s">
        <v>25</v>
      </c>
      <c r="X1088" s="17">
        <v>4</v>
      </c>
      <c r="Y1088" s="17">
        <f>data[[#This Row],[DeliveryDate]]-data[[#This Row],[ShipDate]]</f>
        <v>3</v>
      </c>
      <c r="Z1088" s="17" t="str">
        <f>IF(data[[#This Row],[Actual Delivery Days]]&gt;AD1089,"Yes","No")</f>
        <v>Yes</v>
      </c>
    </row>
    <row r="1089" spans="1:26">
      <c r="A1089" s="17">
        <v>11393</v>
      </c>
      <c r="B1089" s="17">
        <v>3</v>
      </c>
      <c r="C1089" s="17">
        <v>6</v>
      </c>
      <c r="D1089" s="17" t="s">
        <v>487</v>
      </c>
      <c r="E1089" s="17" t="s">
        <v>49</v>
      </c>
      <c r="F1089" s="17" t="str">
        <f>TEXT(data[[#This Row],[ShipDate]],"yyyy - mmmm")</f>
        <v>2016 - April</v>
      </c>
      <c r="G1089" s="17" t="str">
        <f>data[[#This Row],[OriginCity]] &amp; " - "  &amp; data[[#This Row],[DestinationCity]]</f>
        <v>Indianapolis - Northbrook</v>
      </c>
      <c r="H1089" s="17" t="s">
        <v>43</v>
      </c>
      <c r="I1089" s="17" t="s">
        <v>44</v>
      </c>
      <c r="J1089" s="17">
        <v>3</v>
      </c>
      <c r="K1089" s="17" t="s">
        <v>45</v>
      </c>
      <c r="L1089" s="17" t="s">
        <v>31</v>
      </c>
      <c r="M1089" s="17" t="s">
        <v>480</v>
      </c>
      <c r="N1089" s="17">
        <v>1170</v>
      </c>
      <c r="O1089" s="17">
        <v>381</v>
      </c>
      <c r="P1089" s="26">
        <f>(data[[#This Row],[LoadedMiles]]/data[[#This Row],[TotalMiles]])*100</f>
        <v>32.564102564102562</v>
      </c>
      <c r="Q1089" s="25">
        <f>data[[#This Row],[ShippingCost]]/data[[#This Row],[TotalMiles]]</f>
        <v>4.6358974358974363</v>
      </c>
      <c r="R1089" s="17">
        <v>5424</v>
      </c>
      <c r="S1089" s="25">
        <f>data[[#This Row],[Revenue]]/data[[#This Row],[TotalMiles]]</f>
        <v>5.1769230769230772</v>
      </c>
      <c r="T1089" s="26">
        <f>data[[#This Row],[Revenue]]-data[[#This Row],[ShippingCost]]</f>
        <v>633</v>
      </c>
      <c r="U1089" s="17">
        <v>6057</v>
      </c>
      <c r="V1089" s="17">
        <v>65</v>
      </c>
      <c r="W1089" s="17" t="s">
        <v>25</v>
      </c>
      <c r="X1089" s="17">
        <v>10</v>
      </c>
      <c r="Y1089" s="17">
        <f>data[[#This Row],[DeliveryDate]]-data[[#This Row],[ShipDate]]</f>
        <v>1</v>
      </c>
      <c r="Z1089" s="17" t="str">
        <f>IF(data[[#This Row],[Actual Delivery Days]]&gt;AD1090,"Yes","No")</f>
        <v>Yes</v>
      </c>
    </row>
    <row r="1090" spans="1:26">
      <c r="A1090" s="17">
        <v>11394</v>
      </c>
      <c r="B1090" s="17">
        <v>3</v>
      </c>
      <c r="C1090" s="17">
        <v>3</v>
      </c>
      <c r="D1090" s="17" t="s">
        <v>488</v>
      </c>
      <c r="E1090" s="17" t="s">
        <v>67</v>
      </c>
      <c r="F1090" s="17" t="str">
        <f>TEXT(data[[#This Row],[ShipDate]],"yyyy - mmmm")</f>
        <v>2016 - April</v>
      </c>
      <c r="G1090" s="17" t="str">
        <f>data[[#This Row],[OriginCity]] &amp; " - "  &amp; data[[#This Row],[DestinationCity]]</f>
        <v>Northbrook - Naperville</v>
      </c>
      <c r="H1090" s="17" t="s">
        <v>45</v>
      </c>
      <c r="I1090" s="17" t="s">
        <v>31</v>
      </c>
      <c r="J1090" s="17">
        <v>3</v>
      </c>
      <c r="K1090" s="17" t="s">
        <v>48</v>
      </c>
      <c r="L1090" s="17" t="s">
        <v>31</v>
      </c>
      <c r="M1090" s="17" t="s">
        <v>413</v>
      </c>
      <c r="N1090" s="17">
        <v>887</v>
      </c>
      <c r="O1090" s="17">
        <v>220</v>
      </c>
      <c r="P1090" s="26">
        <f>(data[[#This Row],[LoadedMiles]]/data[[#This Row],[TotalMiles]])*100</f>
        <v>24.80270574971815</v>
      </c>
      <c r="Q1090" s="25">
        <f>data[[#This Row],[ShippingCost]]/data[[#This Row],[TotalMiles]]</f>
        <v>1.47576099210823</v>
      </c>
      <c r="R1090" s="17">
        <v>1309</v>
      </c>
      <c r="S1090" s="25">
        <f>data[[#This Row],[Revenue]]/data[[#This Row],[TotalMiles]]</f>
        <v>2.0777903043968431</v>
      </c>
      <c r="T1090" s="26">
        <f>data[[#This Row],[Revenue]]-data[[#This Row],[ShippingCost]]</f>
        <v>534</v>
      </c>
      <c r="U1090" s="17">
        <v>1843</v>
      </c>
      <c r="V1090" s="17">
        <v>90</v>
      </c>
      <c r="W1090" s="17" t="s">
        <v>25</v>
      </c>
      <c r="X1090" s="17">
        <v>7</v>
      </c>
      <c r="Y1090" s="17">
        <f>data[[#This Row],[DeliveryDate]]-data[[#This Row],[ShipDate]]</f>
        <v>3</v>
      </c>
      <c r="Z1090" s="17" t="str">
        <f>IF(data[[#This Row],[Actual Delivery Days]]&gt;AD1091,"Yes","No")</f>
        <v>Yes</v>
      </c>
    </row>
    <row r="1091" spans="1:26">
      <c r="A1091" s="17">
        <v>11414</v>
      </c>
      <c r="B1091" s="17">
        <v>3</v>
      </c>
      <c r="C1091" s="17">
        <v>2</v>
      </c>
      <c r="D1091" s="17" t="s">
        <v>516</v>
      </c>
      <c r="E1091" s="17" t="s">
        <v>24</v>
      </c>
      <c r="F1091" s="17" t="str">
        <f>TEXT(data[[#This Row],[ShipDate]],"yyyy - mmmm")</f>
        <v>2016 - July</v>
      </c>
      <c r="G1091" s="17" t="str">
        <f>data[[#This Row],[OriginCity]] &amp; " - "  &amp; data[[#This Row],[DestinationCity]]</f>
        <v>Indianapolis - Northbrook</v>
      </c>
      <c r="H1091" s="17" t="s">
        <v>43</v>
      </c>
      <c r="I1091" s="17" t="s">
        <v>44</v>
      </c>
      <c r="J1091" s="17">
        <v>3</v>
      </c>
      <c r="K1091" s="17" t="s">
        <v>45</v>
      </c>
      <c r="L1091" s="17" t="s">
        <v>31</v>
      </c>
      <c r="M1091" s="17" t="s">
        <v>191</v>
      </c>
      <c r="N1091" s="17">
        <v>1135</v>
      </c>
      <c r="O1091" s="17">
        <v>746</v>
      </c>
      <c r="P1091" s="26">
        <f>(data[[#This Row],[LoadedMiles]]/data[[#This Row],[TotalMiles]])*100</f>
        <v>65.726872246696033</v>
      </c>
      <c r="Q1091" s="25">
        <f>data[[#This Row],[ShippingCost]]/data[[#This Row],[TotalMiles]]</f>
        <v>3.3330396475770927</v>
      </c>
      <c r="R1091" s="17">
        <v>3783</v>
      </c>
      <c r="S1091" s="25">
        <f>data[[#This Row],[Revenue]]/data[[#This Row],[TotalMiles]]</f>
        <v>3.4810572687224668</v>
      </c>
      <c r="T1091" s="26">
        <f>data[[#This Row],[Revenue]]-data[[#This Row],[ShippingCost]]</f>
        <v>168</v>
      </c>
      <c r="U1091" s="17">
        <v>3951</v>
      </c>
      <c r="V1091" s="17">
        <v>56</v>
      </c>
      <c r="W1091" s="17" t="s">
        <v>25</v>
      </c>
      <c r="X1091" s="17">
        <v>8</v>
      </c>
      <c r="Y1091" s="17">
        <f>data[[#This Row],[DeliveryDate]]-data[[#This Row],[ShipDate]]</f>
        <v>3</v>
      </c>
      <c r="Z1091" s="17" t="str">
        <f>IF(data[[#This Row],[Actual Delivery Days]]&gt;AD1092,"Yes","No")</f>
        <v>Yes</v>
      </c>
    </row>
    <row r="1092" spans="1:26">
      <c r="A1092" s="17">
        <v>11428</v>
      </c>
      <c r="B1092" s="17">
        <v>2</v>
      </c>
      <c r="C1092" s="17">
        <v>5</v>
      </c>
      <c r="D1092" s="17" t="s">
        <v>538</v>
      </c>
      <c r="E1092" s="17" t="s">
        <v>626</v>
      </c>
      <c r="F1092" s="17" t="str">
        <f>TEXT(data[[#This Row],[ShipDate]],"yyyy - mmmm")</f>
        <v>2016 - May</v>
      </c>
      <c r="G1092" s="17" t="str">
        <f>data[[#This Row],[OriginCity]] &amp; " - "  &amp; data[[#This Row],[DestinationCity]]</f>
        <v>Elgin - Cincinnati</v>
      </c>
      <c r="H1092" s="17" t="s">
        <v>94</v>
      </c>
      <c r="I1092" s="17" t="s">
        <v>31</v>
      </c>
      <c r="J1092" s="17">
        <v>3</v>
      </c>
      <c r="K1092" s="17" t="s">
        <v>89</v>
      </c>
      <c r="L1092" s="17" t="s">
        <v>23</v>
      </c>
      <c r="M1092" s="17" t="s">
        <v>626</v>
      </c>
      <c r="N1092" s="17">
        <v>919</v>
      </c>
      <c r="O1092" s="17">
        <v>672</v>
      </c>
      <c r="P1092" s="26">
        <f>(data[[#This Row],[LoadedMiles]]/data[[#This Row],[TotalMiles]])*100</f>
        <v>73.122959738846575</v>
      </c>
      <c r="Q1092" s="25">
        <f>data[[#This Row],[ShippingCost]]/data[[#This Row],[TotalMiles]]</f>
        <v>8.8019586507072898</v>
      </c>
      <c r="R1092" s="17">
        <v>8089</v>
      </c>
      <c r="S1092" s="25">
        <f>data[[#This Row],[Revenue]]/data[[#This Row],[TotalMiles]]</f>
        <v>9.0805223068552774</v>
      </c>
      <c r="T1092" s="26">
        <f>data[[#This Row],[Revenue]]-data[[#This Row],[ShippingCost]]</f>
        <v>256</v>
      </c>
      <c r="U1092" s="17">
        <v>8345</v>
      </c>
      <c r="V1092" s="17">
        <v>61</v>
      </c>
      <c r="W1092" s="17" t="s">
        <v>25</v>
      </c>
      <c r="X1092" s="17">
        <v>5</v>
      </c>
      <c r="Y1092" s="17">
        <f>data[[#This Row],[DeliveryDate]]-data[[#This Row],[ShipDate]]</f>
        <v>0</v>
      </c>
      <c r="Z1092" s="17" t="str">
        <f>IF(data[[#This Row],[Actual Delivery Days]]&gt;AD1093,"Yes","No")</f>
        <v>No</v>
      </c>
    </row>
    <row r="1093" spans="1:26">
      <c r="A1093" s="17">
        <v>11435</v>
      </c>
      <c r="B1093" s="17">
        <v>2</v>
      </c>
      <c r="C1093" s="17">
        <v>6</v>
      </c>
      <c r="D1093" s="17" t="s">
        <v>547</v>
      </c>
      <c r="E1093" s="17" t="s">
        <v>387</v>
      </c>
      <c r="F1093" s="17" t="str">
        <f>TEXT(data[[#This Row],[ShipDate]],"yyyy - mmmm")</f>
        <v>2016 - August</v>
      </c>
      <c r="G1093" s="17" t="str">
        <f>data[[#This Row],[OriginCity]] &amp; " - "  &amp; data[[#This Row],[DestinationCity]]</f>
        <v>Chicago - Rockford</v>
      </c>
      <c r="H1093" s="17" t="s">
        <v>39</v>
      </c>
      <c r="I1093" s="17" t="s">
        <v>31</v>
      </c>
      <c r="J1093" s="17">
        <v>3</v>
      </c>
      <c r="K1093" s="17" t="s">
        <v>40</v>
      </c>
      <c r="L1093" s="17" t="s">
        <v>31</v>
      </c>
      <c r="M1093" s="17" t="s">
        <v>142</v>
      </c>
      <c r="N1093" s="17">
        <v>720</v>
      </c>
      <c r="O1093" s="17">
        <v>546</v>
      </c>
      <c r="P1093" s="26">
        <f>(data[[#This Row],[LoadedMiles]]/data[[#This Row],[TotalMiles]])*100</f>
        <v>75.833333333333329</v>
      </c>
      <c r="Q1093" s="25">
        <f>data[[#This Row],[ShippingCost]]/data[[#This Row],[TotalMiles]]</f>
        <v>5.5041666666666664</v>
      </c>
      <c r="R1093" s="17">
        <v>3963</v>
      </c>
      <c r="S1093" s="25">
        <f>data[[#This Row],[Revenue]]/data[[#This Row],[TotalMiles]]</f>
        <v>5.854166666666667</v>
      </c>
      <c r="T1093" s="26">
        <f>data[[#This Row],[Revenue]]-data[[#This Row],[ShippingCost]]</f>
        <v>252</v>
      </c>
      <c r="U1093" s="17">
        <v>4215</v>
      </c>
      <c r="V1093" s="17">
        <v>88</v>
      </c>
      <c r="W1093" s="17" t="s">
        <v>25</v>
      </c>
      <c r="X1093" s="17">
        <v>5</v>
      </c>
      <c r="Y1093" s="17">
        <f>data[[#This Row],[DeliveryDate]]-data[[#This Row],[ShipDate]]</f>
        <v>3</v>
      </c>
      <c r="Z1093" s="17" t="str">
        <f>IF(data[[#This Row],[Actual Delivery Days]]&gt;AD1094,"Yes","No")</f>
        <v>Yes</v>
      </c>
    </row>
    <row r="1094" spans="1:26">
      <c r="A1094" s="17">
        <v>11443</v>
      </c>
      <c r="B1094" s="17">
        <v>3</v>
      </c>
      <c r="C1094" s="17">
        <v>6</v>
      </c>
      <c r="D1094" s="17" t="s">
        <v>557</v>
      </c>
      <c r="E1094" s="17" t="s">
        <v>179</v>
      </c>
      <c r="F1094" s="17" t="str">
        <f>TEXT(data[[#This Row],[ShipDate]],"yyyy - mmmm")</f>
        <v>2016 - July</v>
      </c>
      <c r="G1094" s="17" t="str">
        <f>data[[#This Row],[OriginCity]] &amp; " - "  &amp; data[[#This Row],[DestinationCity]]</f>
        <v>Naperville - Indianapolis</v>
      </c>
      <c r="H1094" s="17" t="s">
        <v>48</v>
      </c>
      <c r="I1094" s="17" t="s">
        <v>31</v>
      </c>
      <c r="J1094" s="17">
        <v>3</v>
      </c>
      <c r="K1094" s="17" t="s">
        <v>43</v>
      </c>
      <c r="L1094" s="17" t="s">
        <v>44</v>
      </c>
      <c r="M1094" s="17" t="s">
        <v>180</v>
      </c>
      <c r="N1094" s="17">
        <v>959</v>
      </c>
      <c r="O1094" s="17">
        <v>776</v>
      </c>
      <c r="P1094" s="26">
        <f>(data[[#This Row],[LoadedMiles]]/data[[#This Row],[TotalMiles]])*100</f>
        <v>80.917622523461944</v>
      </c>
      <c r="Q1094" s="25">
        <f>data[[#This Row],[ShippingCost]]/data[[#This Row],[TotalMiles]]</f>
        <v>8.6308654848800828</v>
      </c>
      <c r="R1094" s="17">
        <v>8277</v>
      </c>
      <c r="S1094" s="25">
        <f>data[[#This Row],[Revenue]]/data[[#This Row],[TotalMiles]]</f>
        <v>8.7768508863399379</v>
      </c>
      <c r="T1094" s="26">
        <f>data[[#This Row],[Revenue]]-data[[#This Row],[ShippingCost]]</f>
        <v>140</v>
      </c>
      <c r="U1094" s="17">
        <v>8417</v>
      </c>
      <c r="V1094" s="17">
        <v>69</v>
      </c>
      <c r="W1094" s="17" t="s">
        <v>25</v>
      </c>
      <c r="X1094" s="17">
        <v>5</v>
      </c>
      <c r="Y1094" s="17">
        <f>data[[#This Row],[DeliveryDate]]-data[[#This Row],[ShipDate]]</f>
        <v>3</v>
      </c>
      <c r="Z1094" s="17" t="str">
        <f>IF(data[[#This Row],[Actual Delivery Days]]&gt;AD1095,"Yes","No")</f>
        <v>Yes</v>
      </c>
    </row>
    <row r="1095" spans="1:26">
      <c r="A1095" s="17">
        <v>11463</v>
      </c>
      <c r="B1095" s="17">
        <v>3</v>
      </c>
      <c r="C1095" s="17">
        <v>3</v>
      </c>
      <c r="D1095" s="17" t="s">
        <v>580</v>
      </c>
      <c r="E1095" s="17" t="s">
        <v>408</v>
      </c>
      <c r="F1095" s="17" t="str">
        <f>TEXT(data[[#This Row],[ShipDate]],"yyyy - mmmm")</f>
        <v>2016 - August</v>
      </c>
      <c r="G1095" s="17" t="str">
        <f>data[[#This Row],[OriginCity]] &amp; " - "  &amp; data[[#This Row],[DestinationCity]]</f>
        <v>Monon - Lansing</v>
      </c>
      <c r="H1095" s="17" t="s">
        <v>53</v>
      </c>
      <c r="I1095" s="17" t="s">
        <v>44</v>
      </c>
      <c r="J1095" s="17">
        <v>3</v>
      </c>
      <c r="K1095" s="17" t="s">
        <v>66</v>
      </c>
      <c r="L1095" s="17" t="s">
        <v>21</v>
      </c>
      <c r="M1095" s="17" t="s">
        <v>214</v>
      </c>
      <c r="N1095" s="17">
        <v>711</v>
      </c>
      <c r="O1095" s="17">
        <v>570</v>
      </c>
      <c r="P1095" s="26">
        <f>(data[[#This Row],[LoadedMiles]]/data[[#This Row],[TotalMiles]])*100</f>
        <v>80.168776371308013</v>
      </c>
      <c r="Q1095" s="25">
        <f>data[[#This Row],[ShippingCost]]/data[[#This Row],[TotalMiles]]</f>
        <v>10.827004219409282</v>
      </c>
      <c r="R1095" s="17">
        <v>7698</v>
      </c>
      <c r="S1095" s="25">
        <f>data[[#This Row],[Revenue]]/data[[#This Row],[TotalMiles]]</f>
        <v>11.784810126582279</v>
      </c>
      <c r="T1095" s="26">
        <f>data[[#This Row],[Revenue]]-data[[#This Row],[ShippingCost]]</f>
        <v>681</v>
      </c>
      <c r="U1095" s="17">
        <v>8379</v>
      </c>
      <c r="V1095" s="17">
        <v>53</v>
      </c>
      <c r="W1095" s="17" t="s">
        <v>25</v>
      </c>
      <c r="X1095" s="17">
        <v>2</v>
      </c>
      <c r="Y1095" s="17">
        <f>data[[#This Row],[DeliveryDate]]-data[[#This Row],[ShipDate]]</f>
        <v>3</v>
      </c>
      <c r="Z1095" s="17" t="str">
        <f>IF(data[[#This Row],[Actual Delivery Days]]&gt;AD1096,"Yes","No")</f>
        <v>Yes</v>
      </c>
    </row>
    <row r="1096" spans="1:26">
      <c r="A1096" s="17">
        <v>11470</v>
      </c>
      <c r="B1096" s="17">
        <v>2</v>
      </c>
      <c r="C1096" s="17">
        <v>3</v>
      </c>
      <c r="D1096" s="17" t="s">
        <v>590</v>
      </c>
      <c r="E1096" s="17" t="s">
        <v>286</v>
      </c>
      <c r="F1096" s="17" t="str">
        <f>TEXT(data[[#This Row],[ShipDate]],"yyyy - mmmm")</f>
        <v>2016 - May</v>
      </c>
      <c r="G1096" s="17" t="str">
        <f>data[[#This Row],[OriginCity]] &amp; " - "  &amp; data[[#This Row],[DestinationCity]]</f>
        <v>Toledo - Detriot</v>
      </c>
      <c r="H1096" s="17" t="s">
        <v>22</v>
      </c>
      <c r="I1096" s="17" t="s">
        <v>23</v>
      </c>
      <c r="J1096" s="17">
        <v>3</v>
      </c>
      <c r="K1096" s="17" t="s">
        <v>52</v>
      </c>
      <c r="L1096" s="17" t="s">
        <v>21</v>
      </c>
      <c r="M1096" s="17" t="s">
        <v>226</v>
      </c>
      <c r="N1096" s="17">
        <v>1060</v>
      </c>
      <c r="O1096" s="17">
        <v>202</v>
      </c>
      <c r="P1096" s="26">
        <f>(data[[#This Row],[LoadedMiles]]/data[[#This Row],[TotalMiles]])*100</f>
        <v>19.056603773584907</v>
      </c>
      <c r="Q1096" s="25">
        <f>data[[#This Row],[ShippingCost]]/data[[#This Row],[TotalMiles]]</f>
        <v>4.6405660377358489</v>
      </c>
      <c r="R1096" s="17">
        <v>4919</v>
      </c>
      <c r="S1096" s="25">
        <f>data[[#This Row],[Revenue]]/data[[#This Row],[TotalMiles]]</f>
        <v>5.2047169811320755</v>
      </c>
      <c r="T1096" s="26">
        <f>data[[#This Row],[Revenue]]-data[[#This Row],[ShippingCost]]</f>
        <v>598</v>
      </c>
      <c r="U1096" s="17">
        <v>5517</v>
      </c>
      <c r="V1096" s="17">
        <v>71</v>
      </c>
      <c r="W1096" s="17" t="s">
        <v>25</v>
      </c>
      <c r="X1096" s="17">
        <v>10</v>
      </c>
      <c r="Y1096" s="17">
        <f>data[[#This Row],[DeliveryDate]]-data[[#This Row],[ShipDate]]</f>
        <v>3</v>
      </c>
      <c r="Z1096" s="17" t="str">
        <f>IF(data[[#This Row],[Actual Delivery Days]]&gt;AD1097,"Yes","No")</f>
        <v>Yes</v>
      </c>
    </row>
    <row r="1097" spans="1:26">
      <c r="A1097" s="17">
        <v>11471</v>
      </c>
      <c r="B1097" s="17">
        <v>3</v>
      </c>
      <c r="C1097" s="17">
        <v>5</v>
      </c>
      <c r="D1097" s="17" t="s">
        <v>591</v>
      </c>
      <c r="E1097" s="17" t="s">
        <v>147</v>
      </c>
      <c r="F1097" s="17" t="str">
        <f>TEXT(data[[#This Row],[ShipDate]],"yyyy - mmmm")</f>
        <v>2016 - June</v>
      </c>
      <c r="G1097" s="17" t="str">
        <f>data[[#This Row],[OriginCity]] &amp; " - "  &amp; data[[#This Row],[DestinationCity]]</f>
        <v>Lansing - Dayton</v>
      </c>
      <c r="H1097" s="17" t="s">
        <v>66</v>
      </c>
      <c r="I1097" s="17" t="s">
        <v>21</v>
      </c>
      <c r="J1097" s="17">
        <v>3</v>
      </c>
      <c r="K1097" s="17" t="s">
        <v>93</v>
      </c>
      <c r="L1097" s="17" t="s">
        <v>23</v>
      </c>
      <c r="M1097" s="17" t="s">
        <v>78</v>
      </c>
      <c r="N1097" s="17">
        <v>476</v>
      </c>
      <c r="O1097" s="17">
        <v>385</v>
      </c>
      <c r="P1097" s="26">
        <f>(data[[#This Row],[LoadedMiles]]/data[[#This Row],[TotalMiles]])*100</f>
        <v>80.882352941176478</v>
      </c>
      <c r="Q1097" s="25">
        <f>data[[#This Row],[ShippingCost]]/data[[#This Row],[TotalMiles]]</f>
        <v>9.2794117647058822</v>
      </c>
      <c r="R1097" s="17">
        <v>4417</v>
      </c>
      <c r="S1097" s="25">
        <f>data[[#This Row],[Revenue]]/data[[#This Row],[TotalMiles]]</f>
        <v>9.8655462184873954</v>
      </c>
      <c r="T1097" s="26">
        <f>data[[#This Row],[Revenue]]-data[[#This Row],[ShippingCost]]</f>
        <v>279</v>
      </c>
      <c r="U1097" s="17">
        <v>4696</v>
      </c>
      <c r="V1097" s="17">
        <v>58</v>
      </c>
      <c r="W1097" s="17" t="s">
        <v>25</v>
      </c>
      <c r="X1097" s="17">
        <v>10</v>
      </c>
      <c r="Y1097" s="17">
        <f>data[[#This Row],[DeliveryDate]]-data[[#This Row],[ShipDate]]</f>
        <v>3</v>
      </c>
      <c r="Z1097" s="17" t="str">
        <f>IF(data[[#This Row],[Actual Delivery Days]]&gt;AD1098,"Yes","No")</f>
        <v>Yes</v>
      </c>
    </row>
    <row r="1098" spans="1:26">
      <c r="A1098" s="17">
        <v>11485</v>
      </c>
      <c r="B1098" s="17">
        <v>3</v>
      </c>
      <c r="C1098" s="17">
        <v>6</v>
      </c>
      <c r="D1098" s="17" t="s">
        <v>26</v>
      </c>
      <c r="E1098" s="17" t="s">
        <v>610</v>
      </c>
      <c r="F1098" s="17" t="str">
        <f>TEXT(data[[#This Row],[ShipDate]],"yyyy - mmmm")</f>
        <v>2016 - June</v>
      </c>
      <c r="G1098" s="17" t="str">
        <f>data[[#This Row],[OriginCity]] &amp; " - "  &amp; data[[#This Row],[DestinationCity]]</f>
        <v>Monon - Lansing</v>
      </c>
      <c r="H1098" s="17" t="s">
        <v>53</v>
      </c>
      <c r="I1098" s="17" t="s">
        <v>44</v>
      </c>
      <c r="J1098" s="17">
        <v>3</v>
      </c>
      <c r="K1098" s="17" t="s">
        <v>66</v>
      </c>
      <c r="L1098" s="17" t="s">
        <v>21</v>
      </c>
      <c r="M1098" s="17" t="s">
        <v>473</v>
      </c>
      <c r="N1098" s="17">
        <v>942</v>
      </c>
      <c r="O1098" s="17">
        <v>645</v>
      </c>
      <c r="P1098" s="26">
        <f>(data[[#This Row],[LoadedMiles]]/data[[#This Row],[TotalMiles]])*100</f>
        <v>68.471337579617824</v>
      </c>
      <c r="Q1098" s="25">
        <f>data[[#This Row],[ShippingCost]]/data[[#This Row],[TotalMiles]]</f>
        <v>1.3895966029723992</v>
      </c>
      <c r="R1098" s="17">
        <v>1309</v>
      </c>
      <c r="S1098" s="25">
        <f>data[[#This Row],[Revenue]]/data[[#This Row],[TotalMiles]]</f>
        <v>1.6804670912951167</v>
      </c>
      <c r="T1098" s="26">
        <f>data[[#This Row],[Revenue]]-data[[#This Row],[ShippingCost]]</f>
        <v>274</v>
      </c>
      <c r="U1098" s="17">
        <v>1583</v>
      </c>
      <c r="V1098" s="17">
        <v>71</v>
      </c>
      <c r="W1098" s="17" t="s">
        <v>25</v>
      </c>
      <c r="X1098" s="17">
        <v>8</v>
      </c>
      <c r="Y1098" s="17">
        <f>data[[#This Row],[DeliveryDate]]-data[[#This Row],[ShipDate]]</f>
        <v>3</v>
      </c>
      <c r="Z1098" s="17" t="str">
        <f>IF(data[[#This Row],[Actual Delivery Days]]&gt;AD1099,"Yes","No")</f>
        <v>Yes</v>
      </c>
    </row>
    <row r="1099" spans="1:26">
      <c r="A1099" s="17">
        <v>11503</v>
      </c>
      <c r="B1099" s="17">
        <v>2</v>
      </c>
      <c r="C1099" s="17">
        <v>4</v>
      </c>
      <c r="D1099" s="17" t="s">
        <v>110</v>
      </c>
      <c r="E1099" s="17" t="s">
        <v>447</v>
      </c>
      <c r="F1099" s="17" t="str">
        <f>TEXT(data[[#This Row],[ShipDate]],"yyyy - mmmm")</f>
        <v>2016 - January</v>
      </c>
      <c r="G1099" s="17" t="str">
        <f>data[[#This Row],[OriginCity]] &amp; " - "  &amp; data[[#This Row],[DestinationCity]]</f>
        <v>Northbrook - Naperville</v>
      </c>
      <c r="H1099" s="17" t="s">
        <v>45</v>
      </c>
      <c r="I1099" s="17" t="s">
        <v>31</v>
      </c>
      <c r="J1099" s="17">
        <v>3</v>
      </c>
      <c r="K1099" s="17" t="s">
        <v>48</v>
      </c>
      <c r="L1099" s="17" t="s">
        <v>31</v>
      </c>
      <c r="M1099" s="17" t="s">
        <v>394</v>
      </c>
      <c r="N1099" s="17">
        <v>1131</v>
      </c>
      <c r="O1099" s="17">
        <v>627</v>
      </c>
      <c r="P1099" s="26">
        <f>(data[[#This Row],[LoadedMiles]]/data[[#This Row],[TotalMiles]])*100</f>
        <v>55.437665782493376</v>
      </c>
      <c r="Q1099" s="25">
        <f>data[[#This Row],[ShippingCost]]/data[[#This Row],[TotalMiles]]</f>
        <v>5.6410256410256414</v>
      </c>
      <c r="R1099" s="17">
        <v>6380</v>
      </c>
      <c r="S1099" s="25">
        <f>data[[#This Row],[Revenue]]/data[[#This Row],[TotalMiles]]</f>
        <v>3.4244031830238728</v>
      </c>
      <c r="T1099" s="26">
        <f>data[[#This Row],[Revenue]]-data[[#This Row],[ShippingCost]]</f>
        <v>-2507</v>
      </c>
      <c r="U1099" s="17">
        <v>3873</v>
      </c>
      <c r="V1099" s="17">
        <v>75</v>
      </c>
      <c r="W1099" s="17" t="s">
        <v>25</v>
      </c>
      <c r="X1099" s="17">
        <v>3</v>
      </c>
      <c r="Y1099" s="17">
        <f>data[[#This Row],[DeliveryDate]]-data[[#This Row],[ShipDate]]</f>
        <v>3</v>
      </c>
      <c r="Z1099" s="17" t="str">
        <f>IF(data[[#This Row],[Actual Delivery Days]]&gt;AD1100,"Yes","No")</f>
        <v>Yes</v>
      </c>
    </row>
    <row r="1100" spans="1:26">
      <c r="A1100" s="17">
        <v>11508</v>
      </c>
      <c r="B1100" s="17">
        <v>3</v>
      </c>
      <c r="C1100" s="17">
        <v>2</v>
      </c>
      <c r="D1100" s="17" t="s">
        <v>123</v>
      </c>
      <c r="E1100" s="17" t="s">
        <v>264</v>
      </c>
      <c r="F1100" s="17" t="str">
        <f>TEXT(data[[#This Row],[ShipDate]],"yyyy - mmmm")</f>
        <v>2016 - January</v>
      </c>
      <c r="G1100" s="17" t="str">
        <f>data[[#This Row],[OriginCity]] &amp; " - "  &amp; data[[#This Row],[DestinationCity]]</f>
        <v>Madison - Kalamazoo</v>
      </c>
      <c r="H1100" s="17" t="s">
        <v>62</v>
      </c>
      <c r="I1100" s="17" t="s">
        <v>29</v>
      </c>
      <c r="J1100" s="17">
        <v>3</v>
      </c>
      <c r="K1100" s="17" t="s">
        <v>71</v>
      </c>
      <c r="L1100" s="17" t="s">
        <v>21</v>
      </c>
      <c r="M1100" s="17" t="s">
        <v>574</v>
      </c>
      <c r="N1100" s="17">
        <v>1006</v>
      </c>
      <c r="O1100" s="17">
        <v>459</v>
      </c>
      <c r="P1100" s="26">
        <f>(data[[#This Row],[LoadedMiles]]/data[[#This Row],[TotalMiles]])*100</f>
        <v>45.62624254473161</v>
      </c>
      <c r="Q1100" s="25">
        <f>data[[#This Row],[ShippingCost]]/data[[#This Row],[TotalMiles]]</f>
        <v>3.4075546719681911</v>
      </c>
      <c r="R1100" s="17">
        <v>3428</v>
      </c>
      <c r="S1100" s="25">
        <f>data[[#This Row],[Revenue]]/data[[#This Row],[TotalMiles]]</f>
        <v>4.2693836978131214</v>
      </c>
      <c r="T1100" s="26">
        <f>data[[#This Row],[Revenue]]-data[[#This Row],[ShippingCost]]</f>
        <v>867</v>
      </c>
      <c r="U1100" s="17">
        <v>4295</v>
      </c>
      <c r="V1100" s="17">
        <v>84</v>
      </c>
      <c r="W1100" s="17" t="s">
        <v>25</v>
      </c>
      <c r="X1100" s="17">
        <v>7</v>
      </c>
      <c r="Y1100" s="17">
        <f>data[[#This Row],[DeliveryDate]]-data[[#This Row],[ShipDate]]</f>
        <v>3</v>
      </c>
      <c r="Z1100" s="17" t="str">
        <f>IF(data[[#This Row],[Actual Delivery Days]]&gt;AD1101,"Yes","No")</f>
        <v>Yes</v>
      </c>
    </row>
    <row r="1101" spans="1:26">
      <c r="A1101" s="17">
        <v>11518</v>
      </c>
      <c r="B1101" s="17">
        <v>2</v>
      </c>
      <c r="C1101" s="17">
        <v>6</v>
      </c>
      <c r="D1101" s="17" t="s">
        <v>151</v>
      </c>
      <c r="E1101" s="17" t="s">
        <v>424</v>
      </c>
      <c r="F1101" s="17" t="str">
        <f>TEXT(data[[#This Row],[ShipDate]],"yyyy - mmmm")</f>
        <v>2016 - January</v>
      </c>
      <c r="G1101" s="17" t="str">
        <f>data[[#This Row],[OriginCity]] &amp; " - "  &amp; data[[#This Row],[DestinationCity]]</f>
        <v>Elgin - Cincinnati</v>
      </c>
      <c r="H1101" s="17" t="s">
        <v>94</v>
      </c>
      <c r="I1101" s="17" t="s">
        <v>31</v>
      </c>
      <c r="J1101" s="17">
        <v>3</v>
      </c>
      <c r="K1101" s="17" t="s">
        <v>89</v>
      </c>
      <c r="L1101" s="17" t="s">
        <v>23</v>
      </c>
      <c r="M1101" s="17" t="s">
        <v>264</v>
      </c>
      <c r="N1101" s="17">
        <v>1055</v>
      </c>
      <c r="O1101" s="17">
        <v>582</v>
      </c>
      <c r="P1101" s="26">
        <f>(data[[#This Row],[LoadedMiles]]/data[[#This Row],[TotalMiles]])*100</f>
        <v>55.165876777251185</v>
      </c>
      <c r="Q1101" s="25">
        <f>data[[#This Row],[ShippingCost]]/data[[#This Row],[TotalMiles]]</f>
        <v>1.0180094786729859</v>
      </c>
      <c r="R1101" s="17">
        <v>1074</v>
      </c>
      <c r="S1101" s="25">
        <f>data[[#This Row],[Revenue]]/data[[#This Row],[TotalMiles]]</f>
        <v>1.4938388625592418</v>
      </c>
      <c r="T1101" s="26">
        <f>data[[#This Row],[Revenue]]-data[[#This Row],[ShippingCost]]</f>
        <v>502</v>
      </c>
      <c r="U1101" s="17">
        <v>1576</v>
      </c>
      <c r="V1101" s="17">
        <v>95</v>
      </c>
      <c r="W1101" s="17" t="s">
        <v>25</v>
      </c>
      <c r="X1101" s="17">
        <v>10</v>
      </c>
      <c r="Y1101" s="17">
        <f>data[[#This Row],[DeliveryDate]]-data[[#This Row],[ShipDate]]</f>
        <v>3</v>
      </c>
      <c r="Z1101" s="17" t="str">
        <f>IF(data[[#This Row],[Actual Delivery Days]]&gt;AD1102,"Yes","No")</f>
        <v>Yes</v>
      </c>
    </row>
    <row r="1102" spans="1:26">
      <c r="A1102" s="17">
        <v>11523</v>
      </c>
      <c r="B1102" s="17">
        <v>3</v>
      </c>
      <c r="C1102" s="17">
        <v>1</v>
      </c>
      <c r="D1102" s="17" t="s">
        <v>165</v>
      </c>
      <c r="E1102" s="17" t="s">
        <v>614</v>
      </c>
      <c r="F1102" s="17" t="str">
        <f>TEXT(data[[#This Row],[ShipDate]],"yyyy - mmmm")</f>
        <v>2016 - July</v>
      </c>
      <c r="G1102" s="17" t="str">
        <f>data[[#This Row],[OriginCity]] &amp; " - "  &amp; data[[#This Row],[DestinationCity]]</f>
        <v>Milwaukee - Springfield</v>
      </c>
      <c r="H1102" s="17" t="s">
        <v>28</v>
      </c>
      <c r="I1102" s="17" t="s">
        <v>29</v>
      </c>
      <c r="J1102" s="17">
        <v>3</v>
      </c>
      <c r="K1102" s="17" t="s">
        <v>30</v>
      </c>
      <c r="L1102" s="17" t="s">
        <v>31</v>
      </c>
      <c r="M1102" s="17" t="s">
        <v>553</v>
      </c>
      <c r="N1102" s="17">
        <v>632</v>
      </c>
      <c r="O1102" s="17">
        <v>511</v>
      </c>
      <c r="P1102" s="26">
        <f>(data[[#This Row],[LoadedMiles]]/data[[#This Row],[TotalMiles]])*100</f>
        <v>80.85443037974683</v>
      </c>
      <c r="Q1102" s="25">
        <f>data[[#This Row],[ShippingCost]]/data[[#This Row],[TotalMiles]]</f>
        <v>2.1376582278481013</v>
      </c>
      <c r="R1102" s="17">
        <v>1351</v>
      </c>
      <c r="S1102" s="25">
        <f>data[[#This Row],[Revenue]]/data[[#This Row],[TotalMiles]]</f>
        <v>7.9889240506329111</v>
      </c>
      <c r="T1102" s="26">
        <f>data[[#This Row],[Revenue]]-data[[#This Row],[ShippingCost]]</f>
        <v>3698</v>
      </c>
      <c r="U1102" s="17">
        <v>5049</v>
      </c>
      <c r="V1102" s="17">
        <v>98</v>
      </c>
      <c r="W1102" s="17" t="s">
        <v>25</v>
      </c>
      <c r="X1102" s="17">
        <v>5</v>
      </c>
      <c r="Y1102" s="17">
        <f>data[[#This Row],[DeliveryDate]]-data[[#This Row],[ShipDate]]</f>
        <v>3</v>
      </c>
      <c r="Z1102" s="17" t="str">
        <f>IF(data[[#This Row],[Actual Delivery Days]]&gt;AD1103,"Yes","No")</f>
        <v>Yes</v>
      </c>
    </row>
    <row r="1103" spans="1:26">
      <c r="A1103" s="17">
        <v>11524</v>
      </c>
      <c r="B1103" s="17">
        <v>2</v>
      </c>
      <c r="C1103" s="17">
        <v>4</v>
      </c>
      <c r="D1103" s="17" t="s">
        <v>167</v>
      </c>
      <c r="E1103" s="17" t="s">
        <v>362</v>
      </c>
      <c r="F1103" s="17" t="str">
        <f>TEXT(data[[#This Row],[ShipDate]],"yyyy - mmmm")</f>
        <v>2016 - February</v>
      </c>
      <c r="G1103" s="17" t="str">
        <f>data[[#This Row],[OriginCity]] &amp; " - "  &amp; data[[#This Row],[DestinationCity]]</f>
        <v>Springfield - Skokie</v>
      </c>
      <c r="H1103" s="17" t="s">
        <v>30</v>
      </c>
      <c r="I1103" s="17" t="s">
        <v>31</v>
      </c>
      <c r="J1103" s="17">
        <v>3</v>
      </c>
      <c r="K1103" s="17" t="s">
        <v>35</v>
      </c>
      <c r="L1103" s="17" t="s">
        <v>31</v>
      </c>
      <c r="M1103" s="17" t="s">
        <v>611</v>
      </c>
      <c r="N1103" s="17">
        <v>756</v>
      </c>
      <c r="O1103" s="17">
        <v>711</v>
      </c>
      <c r="P1103" s="26">
        <f>(data[[#This Row],[LoadedMiles]]/data[[#This Row],[TotalMiles]])*100</f>
        <v>94.047619047619051</v>
      </c>
      <c r="Q1103" s="25">
        <f>data[[#This Row],[ShippingCost]]/data[[#This Row],[TotalMiles]]</f>
        <v>11.363756613756614</v>
      </c>
      <c r="R1103" s="17">
        <v>8591</v>
      </c>
      <c r="S1103" s="25">
        <f>data[[#This Row],[Revenue]]/data[[#This Row],[TotalMiles]]</f>
        <v>8.25</v>
      </c>
      <c r="T1103" s="26">
        <f>data[[#This Row],[Revenue]]-data[[#This Row],[ShippingCost]]</f>
        <v>-2354</v>
      </c>
      <c r="U1103" s="17">
        <v>6237</v>
      </c>
      <c r="V1103" s="17">
        <v>59</v>
      </c>
      <c r="W1103" s="17" t="s">
        <v>25</v>
      </c>
      <c r="X1103" s="17">
        <v>6</v>
      </c>
      <c r="Y1103" s="17">
        <f>data[[#This Row],[DeliveryDate]]-data[[#This Row],[ShipDate]]</f>
        <v>3</v>
      </c>
      <c r="Z1103" s="17" t="str">
        <f>IF(data[[#This Row],[Actual Delivery Days]]&gt;AD1104,"Yes","No")</f>
        <v>Yes</v>
      </c>
    </row>
    <row r="1104" spans="1:26">
      <c r="A1104" s="17">
        <v>11525</v>
      </c>
      <c r="B1104" s="17">
        <v>2</v>
      </c>
      <c r="C1104" s="17">
        <v>2</v>
      </c>
      <c r="D1104" s="17" t="s">
        <v>169</v>
      </c>
      <c r="E1104" s="17" t="s">
        <v>435</v>
      </c>
      <c r="F1104" s="17" t="str">
        <f>TEXT(data[[#This Row],[ShipDate]],"yyyy - mmmm")</f>
        <v>2016 - February</v>
      </c>
      <c r="G1104" s="17" t="str">
        <f>data[[#This Row],[OriginCity]] &amp; " - "  &amp; data[[#This Row],[DestinationCity]]</f>
        <v>Chicago - Rockford</v>
      </c>
      <c r="H1104" s="17" t="s">
        <v>39</v>
      </c>
      <c r="I1104" s="17" t="s">
        <v>31</v>
      </c>
      <c r="J1104" s="17">
        <v>3</v>
      </c>
      <c r="K1104" s="17" t="s">
        <v>40</v>
      </c>
      <c r="L1104" s="17" t="s">
        <v>31</v>
      </c>
      <c r="M1104" s="17" t="s">
        <v>333</v>
      </c>
      <c r="N1104" s="17">
        <v>837</v>
      </c>
      <c r="O1104" s="17">
        <v>268</v>
      </c>
      <c r="P1104" s="26">
        <f>(data[[#This Row],[LoadedMiles]]/data[[#This Row],[TotalMiles]])*100</f>
        <v>32.019115890083633</v>
      </c>
      <c r="Q1104" s="25">
        <f>data[[#This Row],[ShippingCost]]/data[[#This Row],[TotalMiles]]</f>
        <v>0.83273596176821985</v>
      </c>
      <c r="R1104" s="17">
        <v>697</v>
      </c>
      <c r="S1104" s="25">
        <f>data[[#This Row],[Revenue]]/data[[#This Row],[TotalMiles]]</f>
        <v>1.9534050179211468</v>
      </c>
      <c r="T1104" s="26">
        <f>data[[#This Row],[Revenue]]-data[[#This Row],[ShippingCost]]</f>
        <v>938</v>
      </c>
      <c r="U1104" s="17">
        <v>1635</v>
      </c>
      <c r="V1104" s="17">
        <v>78</v>
      </c>
      <c r="W1104" s="17" t="s">
        <v>25</v>
      </c>
      <c r="X1104" s="17">
        <v>9</v>
      </c>
      <c r="Y1104" s="17">
        <f>data[[#This Row],[DeliveryDate]]-data[[#This Row],[ShipDate]]</f>
        <v>3</v>
      </c>
      <c r="Z1104" s="17" t="str">
        <f>IF(data[[#This Row],[Actual Delivery Days]]&gt;AD1105,"Yes","No")</f>
        <v>Yes</v>
      </c>
    </row>
    <row r="1105" spans="1:26">
      <c r="A1105" s="17">
        <v>11526</v>
      </c>
      <c r="B1105" s="17">
        <v>3</v>
      </c>
      <c r="C1105" s="17">
        <v>3</v>
      </c>
      <c r="D1105" s="17" t="s">
        <v>172</v>
      </c>
      <c r="E1105" s="17" t="s">
        <v>521</v>
      </c>
      <c r="F1105" s="17" t="str">
        <f>TEXT(data[[#This Row],[ShipDate]],"yyyy - mmmm")</f>
        <v>2016 - February</v>
      </c>
      <c r="G1105" s="17" t="str">
        <f>data[[#This Row],[OriginCity]] &amp; " - "  &amp; data[[#This Row],[DestinationCity]]</f>
        <v>Indianapolis - Northbrook</v>
      </c>
      <c r="H1105" s="17" t="s">
        <v>43</v>
      </c>
      <c r="I1105" s="17" t="s">
        <v>44</v>
      </c>
      <c r="J1105" s="17">
        <v>3</v>
      </c>
      <c r="K1105" s="17" t="s">
        <v>45</v>
      </c>
      <c r="L1105" s="17" t="s">
        <v>31</v>
      </c>
      <c r="M1105" s="17" t="s">
        <v>291</v>
      </c>
      <c r="N1105" s="17">
        <v>1001</v>
      </c>
      <c r="O1105" s="17">
        <v>438</v>
      </c>
      <c r="P1105" s="26">
        <f>(data[[#This Row],[LoadedMiles]]/data[[#This Row],[TotalMiles]])*100</f>
        <v>43.756243756243755</v>
      </c>
      <c r="Q1105" s="25">
        <f>data[[#This Row],[ShippingCost]]/data[[#This Row],[TotalMiles]]</f>
        <v>5.6993006993006992</v>
      </c>
      <c r="R1105" s="17">
        <v>5705</v>
      </c>
      <c r="S1105" s="25">
        <f>data[[#This Row],[Revenue]]/data[[#This Row],[TotalMiles]]</f>
        <v>6.34965034965035</v>
      </c>
      <c r="T1105" s="26">
        <f>data[[#This Row],[Revenue]]-data[[#This Row],[ShippingCost]]</f>
        <v>651</v>
      </c>
      <c r="U1105" s="17">
        <v>6356</v>
      </c>
      <c r="V1105" s="17">
        <v>64</v>
      </c>
      <c r="W1105" s="17" t="s">
        <v>25</v>
      </c>
      <c r="X1105" s="17">
        <v>8</v>
      </c>
      <c r="Y1105" s="17">
        <f>data[[#This Row],[DeliveryDate]]-data[[#This Row],[ShipDate]]</f>
        <v>5</v>
      </c>
      <c r="Z1105" s="17" t="str">
        <f>IF(data[[#This Row],[Actual Delivery Days]]&gt;AD1106,"Yes","No")</f>
        <v>Yes</v>
      </c>
    </row>
    <row r="1106" spans="1:26">
      <c r="A1106" s="17">
        <v>11538</v>
      </c>
      <c r="B1106" s="17">
        <v>3</v>
      </c>
      <c r="C1106" s="17">
        <v>3</v>
      </c>
      <c r="D1106" s="17" t="s">
        <v>198</v>
      </c>
      <c r="E1106" s="17" t="s">
        <v>391</v>
      </c>
      <c r="F1106" s="17" t="str">
        <f>TEXT(data[[#This Row],[ShipDate]],"yyyy - mmmm")</f>
        <v>2016 - March</v>
      </c>
      <c r="G1106" s="17" t="str">
        <f>data[[#This Row],[OriginCity]] &amp; " - "  &amp; data[[#This Row],[DestinationCity]]</f>
        <v>Dayton - Elgin</v>
      </c>
      <c r="H1106" s="17" t="s">
        <v>93</v>
      </c>
      <c r="I1106" s="17" t="s">
        <v>23</v>
      </c>
      <c r="J1106" s="17">
        <v>3</v>
      </c>
      <c r="K1106" s="17" t="s">
        <v>94</v>
      </c>
      <c r="L1106" s="17" t="s">
        <v>31</v>
      </c>
      <c r="M1106" s="17" t="s">
        <v>353</v>
      </c>
      <c r="N1106" s="17">
        <v>1133</v>
      </c>
      <c r="O1106" s="17">
        <v>279</v>
      </c>
      <c r="P1106" s="26">
        <f>(data[[#This Row],[LoadedMiles]]/data[[#This Row],[TotalMiles]])*100</f>
        <v>24.624889673433362</v>
      </c>
      <c r="Q1106" s="25">
        <f>data[[#This Row],[ShippingCost]]/data[[#This Row],[TotalMiles]]</f>
        <v>0.58958517210944394</v>
      </c>
      <c r="R1106" s="17">
        <v>668</v>
      </c>
      <c r="S1106" s="25">
        <f>data[[#This Row],[Revenue]]/data[[#This Row],[TotalMiles]]</f>
        <v>0.8455428067078552</v>
      </c>
      <c r="T1106" s="26">
        <f>data[[#This Row],[Revenue]]-data[[#This Row],[ShippingCost]]</f>
        <v>290</v>
      </c>
      <c r="U1106" s="17">
        <v>958</v>
      </c>
      <c r="V1106" s="17">
        <v>85</v>
      </c>
      <c r="W1106" s="17" t="s">
        <v>25</v>
      </c>
      <c r="X1106" s="17">
        <v>7</v>
      </c>
      <c r="Y1106" s="17">
        <f>data[[#This Row],[DeliveryDate]]-data[[#This Row],[ShipDate]]</f>
        <v>3</v>
      </c>
      <c r="Z1106" s="17" t="str">
        <f>IF(data[[#This Row],[Actual Delivery Days]]&gt;AD1107,"Yes","No")</f>
        <v>Yes</v>
      </c>
    </row>
    <row r="1107" spans="1:26">
      <c r="A1107" s="17">
        <v>11543</v>
      </c>
      <c r="B1107" s="17">
        <v>3</v>
      </c>
      <c r="C1107" s="17">
        <v>3</v>
      </c>
      <c r="D1107" s="17" t="s">
        <v>210</v>
      </c>
      <c r="E1107" s="17" t="s">
        <v>368</v>
      </c>
      <c r="F1107" s="17" t="str">
        <f>TEXT(data[[#This Row],[ShipDate]],"yyyy - mmmm")</f>
        <v>2016 - May</v>
      </c>
      <c r="G1107" s="17" t="str">
        <f>data[[#This Row],[OriginCity]] &amp; " - "  &amp; data[[#This Row],[DestinationCity]]</f>
        <v>Skokie - Chicago</v>
      </c>
      <c r="H1107" s="17" t="s">
        <v>35</v>
      </c>
      <c r="I1107" s="17" t="s">
        <v>31</v>
      </c>
      <c r="J1107" s="17">
        <v>3</v>
      </c>
      <c r="K1107" s="17" t="s">
        <v>39</v>
      </c>
      <c r="L1107" s="17" t="s">
        <v>31</v>
      </c>
      <c r="M1107" s="17" t="s">
        <v>373</v>
      </c>
      <c r="N1107" s="17">
        <v>278</v>
      </c>
      <c r="O1107" s="17">
        <v>278</v>
      </c>
      <c r="P1107" s="26">
        <f>(data[[#This Row],[LoadedMiles]]/data[[#This Row],[TotalMiles]])*100</f>
        <v>100</v>
      </c>
      <c r="Q1107" s="25">
        <f>data[[#This Row],[ShippingCost]]/data[[#This Row],[TotalMiles]]</f>
        <v>12.525179856115107</v>
      </c>
      <c r="R1107" s="17">
        <v>3482</v>
      </c>
      <c r="S1107" s="25">
        <f>data[[#This Row],[Revenue]]/data[[#This Row],[TotalMiles]]</f>
        <v>13.399280575539569</v>
      </c>
      <c r="T1107" s="26">
        <f>data[[#This Row],[Revenue]]-data[[#This Row],[ShippingCost]]</f>
        <v>243</v>
      </c>
      <c r="U1107" s="17">
        <v>3725</v>
      </c>
      <c r="V1107" s="17">
        <v>68</v>
      </c>
      <c r="W1107" s="17" t="s">
        <v>25</v>
      </c>
      <c r="X1107" s="17">
        <v>9</v>
      </c>
      <c r="Y1107" s="17">
        <f>data[[#This Row],[DeliveryDate]]-data[[#This Row],[ShipDate]]</f>
        <v>3</v>
      </c>
      <c r="Z1107" s="17" t="str">
        <f>IF(data[[#This Row],[Actual Delivery Days]]&gt;AD1108,"Yes","No")</f>
        <v>Yes</v>
      </c>
    </row>
    <row r="1108" spans="1:26">
      <c r="A1108" s="17">
        <v>11544</v>
      </c>
      <c r="B1108" s="17">
        <v>2</v>
      </c>
      <c r="C1108" s="17">
        <v>3</v>
      </c>
      <c r="D1108" s="17" t="s">
        <v>213</v>
      </c>
      <c r="E1108" s="17" t="s">
        <v>567</v>
      </c>
      <c r="F1108" s="17" t="str">
        <f>TEXT(data[[#This Row],[ShipDate]],"yyyy - mmmm")</f>
        <v>2016 - February</v>
      </c>
      <c r="G1108" s="17" t="str">
        <f>data[[#This Row],[OriginCity]] &amp; " - "  &amp; data[[#This Row],[DestinationCity]]</f>
        <v>Kalamazoo - Bangor</v>
      </c>
      <c r="H1108" s="17" t="s">
        <v>71</v>
      </c>
      <c r="I1108" s="17" t="s">
        <v>21</v>
      </c>
      <c r="J1108" s="17">
        <v>3</v>
      </c>
      <c r="K1108" s="17" t="s">
        <v>104</v>
      </c>
      <c r="L1108" s="17" t="s">
        <v>21</v>
      </c>
      <c r="M1108" s="17" t="s">
        <v>202</v>
      </c>
      <c r="N1108" s="17">
        <v>386</v>
      </c>
      <c r="O1108" s="17">
        <v>278</v>
      </c>
      <c r="P1108" s="26">
        <f>(data[[#This Row],[LoadedMiles]]/data[[#This Row],[TotalMiles]])*100</f>
        <v>72.020725388601036</v>
      </c>
      <c r="Q1108" s="25">
        <f>data[[#This Row],[ShippingCost]]/data[[#This Row],[TotalMiles]]</f>
        <v>5.323834196891192</v>
      </c>
      <c r="R1108" s="17">
        <v>2055</v>
      </c>
      <c r="S1108" s="25">
        <f>data[[#This Row],[Revenue]]/data[[#This Row],[TotalMiles]]</f>
        <v>7.2538860103626943</v>
      </c>
      <c r="T1108" s="26">
        <f>data[[#This Row],[Revenue]]-data[[#This Row],[ShippingCost]]</f>
        <v>745</v>
      </c>
      <c r="U1108" s="17">
        <v>2800</v>
      </c>
      <c r="V1108" s="17">
        <v>91</v>
      </c>
      <c r="W1108" s="17" t="s">
        <v>25</v>
      </c>
      <c r="X1108" s="17">
        <v>6</v>
      </c>
      <c r="Y1108" s="17">
        <f>data[[#This Row],[DeliveryDate]]-data[[#This Row],[ShipDate]]</f>
        <v>3</v>
      </c>
      <c r="Z1108" s="17" t="str">
        <f>IF(data[[#This Row],[Actual Delivery Days]]&gt;AD1109,"Yes","No")</f>
        <v>Yes</v>
      </c>
    </row>
    <row r="1109" spans="1:26">
      <c r="A1109" s="17">
        <v>11546</v>
      </c>
      <c r="B1109" s="17">
        <v>2</v>
      </c>
      <c r="C1109" s="17">
        <v>6</v>
      </c>
      <c r="D1109" s="17" t="s">
        <v>217</v>
      </c>
      <c r="E1109" s="17" t="s">
        <v>60</v>
      </c>
      <c r="F1109" s="17" t="str">
        <f>TEXT(data[[#This Row],[ShipDate]],"yyyy - mmmm")</f>
        <v>2016 - July</v>
      </c>
      <c r="G1109" s="17" t="str">
        <f>data[[#This Row],[OriginCity]] &amp; " - "  &amp; data[[#This Row],[DestinationCity]]</f>
        <v>Grand Rapids - Toledo</v>
      </c>
      <c r="H1109" s="17" t="s">
        <v>20</v>
      </c>
      <c r="I1109" s="17" t="s">
        <v>21</v>
      </c>
      <c r="J1109" s="17">
        <v>3</v>
      </c>
      <c r="K1109" s="17" t="s">
        <v>22</v>
      </c>
      <c r="L1109" s="17" t="s">
        <v>23</v>
      </c>
      <c r="M1109" s="17" t="s">
        <v>492</v>
      </c>
      <c r="N1109" s="17">
        <v>522</v>
      </c>
      <c r="O1109" s="17">
        <v>215</v>
      </c>
      <c r="P1109" s="26">
        <f>(data[[#This Row],[LoadedMiles]]/data[[#This Row],[TotalMiles]])*100</f>
        <v>41.187739463601531</v>
      </c>
      <c r="Q1109" s="25">
        <f>data[[#This Row],[ShippingCost]]/data[[#This Row],[TotalMiles]]</f>
        <v>5.7394636015325666</v>
      </c>
      <c r="R1109" s="17">
        <v>2996</v>
      </c>
      <c r="S1109" s="25">
        <f>data[[#This Row],[Revenue]]/data[[#This Row],[TotalMiles]]</f>
        <v>6.4195402298850572</v>
      </c>
      <c r="T1109" s="26">
        <f>data[[#This Row],[Revenue]]-data[[#This Row],[ShippingCost]]</f>
        <v>355</v>
      </c>
      <c r="U1109" s="17">
        <v>3351</v>
      </c>
      <c r="V1109" s="17">
        <v>50</v>
      </c>
      <c r="W1109" s="17" t="s">
        <v>25</v>
      </c>
      <c r="X1109" s="17">
        <v>6</v>
      </c>
      <c r="Y1109" s="17">
        <f>data[[#This Row],[DeliveryDate]]-data[[#This Row],[ShipDate]]</f>
        <v>6</v>
      </c>
      <c r="Z1109" s="17" t="str">
        <f>IF(data[[#This Row],[Actual Delivery Days]]&gt;AD1110,"Yes","No")</f>
        <v>Yes</v>
      </c>
    </row>
    <row r="1110" spans="1:26">
      <c r="A1110" s="17">
        <v>11548</v>
      </c>
      <c r="B1110" s="17">
        <v>2</v>
      </c>
      <c r="C1110" s="17">
        <v>1</v>
      </c>
      <c r="D1110" s="17" t="s">
        <v>223</v>
      </c>
      <c r="E1110" s="17" t="s">
        <v>135</v>
      </c>
      <c r="F1110" s="17" t="str">
        <f>TEXT(data[[#This Row],[ShipDate]],"yyyy - mmmm")</f>
        <v>2016 - June</v>
      </c>
      <c r="G1110" s="17" t="str">
        <f>data[[#This Row],[OriginCity]] &amp; " - "  &amp; data[[#This Row],[DestinationCity]]</f>
        <v>Chicago - Rockford</v>
      </c>
      <c r="H1110" s="17" t="s">
        <v>39</v>
      </c>
      <c r="I1110" s="17" t="s">
        <v>31</v>
      </c>
      <c r="J1110" s="17">
        <v>3</v>
      </c>
      <c r="K1110" s="17" t="s">
        <v>40</v>
      </c>
      <c r="L1110" s="17" t="s">
        <v>31</v>
      </c>
      <c r="M1110" s="17" t="s">
        <v>315</v>
      </c>
      <c r="N1110" s="17">
        <v>264</v>
      </c>
      <c r="O1110" s="17">
        <v>264</v>
      </c>
      <c r="P1110" s="26">
        <f>(data[[#This Row],[LoadedMiles]]/data[[#This Row],[TotalMiles]])*100</f>
        <v>100</v>
      </c>
      <c r="Q1110" s="25">
        <f>data[[#This Row],[ShippingCost]]/data[[#This Row],[TotalMiles]]</f>
        <v>4.0189393939393936</v>
      </c>
      <c r="R1110" s="17">
        <v>1061</v>
      </c>
      <c r="S1110" s="25">
        <f>data[[#This Row],[Revenue]]/data[[#This Row],[TotalMiles]]</f>
        <v>21.867424242424242</v>
      </c>
      <c r="T1110" s="26">
        <f>data[[#This Row],[Revenue]]-data[[#This Row],[ShippingCost]]</f>
        <v>4712</v>
      </c>
      <c r="U1110" s="17">
        <v>5773</v>
      </c>
      <c r="V1110" s="17">
        <v>65</v>
      </c>
      <c r="W1110" s="17" t="s">
        <v>25</v>
      </c>
      <c r="X1110" s="17">
        <v>6</v>
      </c>
      <c r="Y1110" s="17">
        <f>data[[#This Row],[DeliveryDate]]-data[[#This Row],[ShipDate]]</f>
        <v>3</v>
      </c>
      <c r="Z1110" s="17" t="str">
        <f>IF(data[[#This Row],[Actual Delivery Days]]&gt;AD1111,"Yes","No")</f>
        <v>Yes</v>
      </c>
    </row>
    <row r="1111" spans="1:26">
      <c r="A1111" s="17">
        <v>11556</v>
      </c>
      <c r="B1111" s="17">
        <v>3</v>
      </c>
      <c r="C1111" s="17">
        <v>1</v>
      </c>
      <c r="D1111" s="17" t="s">
        <v>239</v>
      </c>
      <c r="E1111" s="17" t="s">
        <v>606</v>
      </c>
      <c r="F1111" s="17" t="str">
        <f>TEXT(data[[#This Row],[ShipDate]],"yyyy - mmmm")</f>
        <v>2016 - May</v>
      </c>
      <c r="G1111" s="17" t="str">
        <f>data[[#This Row],[OriginCity]] &amp; " - "  &amp; data[[#This Row],[DestinationCity]]</f>
        <v>Green Bay - Joliet</v>
      </c>
      <c r="H1111" s="17" t="s">
        <v>75</v>
      </c>
      <c r="I1111" s="17" t="s">
        <v>29</v>
      </c>
      <c r="J1111" s="17">
        <v>3</v>
      </c>
      <c r="K1111" s="17" t="s">
        <v>61</v>
      </c>
      <c r="L1111" s="17" t="s">
        <v>31</v>
      </c>
      <c r="M1111" s="17" t="s">
        <v>197</v>
      </c>
      <c r="N1111" s="17">
        <v>1011</v>
      </c>
      <c r="O1111" s="17">
        <v>545</v>
      </c>
      <c r="P1111" s="26">
        <f>(data[[#This Row],[LoadedMiles]]/data[[#This Row],[TotalMiles]])*100</f>
        <v>53.90702274975272</v>
      </c>
      <c r="Q1111" s="25">
        <f>data[[#This Row],[ShippingCost]]/data[[#This Row],[TotalMiles]]</f>
        <v>3.3570722057368942</v>
      </c>
      <c r="R1111" s="17">
        <v>3394</v>
      </c>
      <c r="S1111" s="25">
        <f>data[[#This Row],[Revenue]]/data[[#This Row],[TotalMiles]]</f>
        <v>8.4144411473788328</v>
      </c>
      <c r="T1111" s="26">
        <f>data[[#This Row],[Revenue]]-data[[#This Row],[ShippingCost]]</f>
        <v>5113</v>
      </c>
      <c r="U1111" s="17">
        <v>8507</v>
      </c>
      <c r="V1111" s="17">
        <v>78</v>
      </c>
      <c r="W1111" s="17" t="s">
        <v>25</v>
      </c>
      <c r="X1111" s="17">
        <v>10</v>
      </c>
      <c r="Y1111" s="17">
        <f>data[[#This Row],[DeliveryDate]]-data[[#This Row],[ShipDate]]</f>
        <v>3</v>
      </c>
      <c r="Z1111" s="17" t="str">
        <f>IF(data[[#This Row],[Actual Delivery Days]]&gt;AD1112,"Yes","No")</f>
        <v>Yes</v>
      </c>
    </row>
    <row r="1112" spans="1:26">
      <c r="A1112" s="17">
        <v>11563</v>
      </c>
      <c r="B1112" s="17">
        <v>2</v>
      </c>
      <c r="C1112" s="17">
        <v>5</v>
      </c>
      <c r="D1112" s="17" t="s">
        <v>256</v>
      </c>
      <c r="E1112" s="17" t="s">
        <v>245</v>
      </c>
      <c r="F1112" s="17" t="str">
        <f>TEXT(data[[#This Row],[ShipDate]],"yyyy - mmmm")</f>
        <v>2016 - January</v>
      </c>
      <c r="G1112" s="17" t="str">
        <f>data[[#This Row],[OriginCity]] &amp; " - "  &amp; data[[#This Row],[DestinationCity]]</f>
        <v>Bangor - Davenport</v>
      </c>
      <c r="H1112" s="17" t="s">
        <v>104</v>
      </c>
      <c r="I1112" s="17" t="s">
        <v>21</v>
      </c>
      <c r="J1112" s="17">
        <v>3</v>
      </c>
      <c r="K1112" s="17" t="s">
        <v>105</v>
      </c>
      <c r="L1112" s="17" t="s">
        <v>106</v>
      </c>
      <c r="M1112" s="17" t="s">
        <v>193</v>
      </c>
      <c r="N1112" s="17">
        <v>398</v>
      </c>
      <c r="O1112" s="17">
        <v>398</v>
      </c>
      <c r="P1112" s="26">
        <f>(data[[#This Row],[LoadedMiles]]/data[[#This Row],[TotalMiles]])*100</f>
        <v>100</v>
      </c>
      <c r="Q1112" s="25">
        <f>data[[#This Row],[ShippingCost]]/data[[#This Row],[TotalMiles]]</f>
        <v>18.547738693467338</v>
      </c>
      <c r="R1112" s="17">
        <v>7382</v>
      </c>
      <c r="S1112" s="25">
        <f>data[[#This Row],[Revenue]]/data[[#This Row],[TotalMiles]]</f>
        <v>20.570351758793969</v>
      </c>
      <c r="T1112" s="26">
        <f>data[[#This Row],[Revenue]]-data[[#This Row],[ShippingCost]]</f>
        <v>805</v>
      </c>
      <c r="U1112" s="17">
        <v>8187</v>
      </c>
      <c r="V1112" s="17">
        <v>86</v>
      </c>
      <c r="W1112" s="17" t="s">
        <v>25</v>
      </c>
      <c r="X1112" s="17">
        <v>8</v>
      </c>
      <c r="Y1112" s="17">
        <f>data[[#This Row],[DeliveryDate]]-data[[#This Row],[ShipDate]]</f>
        <v>3</v>
      </c>
      <c r="Z1112" s="17" t="str">
        <f>IF(data[[#This Row],[Actual Delivery Days]]&gt;AD1113,"Yes","No")</f>
        <v>Yes</v>
      </c>
    </row>
    <row r="1113" spans="1:26">
      <c r="A1113" s="17">
        <v>11564</v>
      </c>
      <c r="B1113" s="17">
        <v>3</v>
      </c>
      <c r="C1113" s="17">
        <v>2</v>
      </c>
      <c r="D1113" s="17" t="s">
        <v>258</v>
      </c>
      <c r="E1113" s="17" t="s">
        <v>473</v>
      </c>
      <c r="F1113" s="17" t="str">
        <f>TEXT(data[[#This Row],[ShipDate]],"yyyy - mmmm")</f>
        <v>2016 - June</v>
      </c>
      <c r="G1113" s="17" t="str">
        <f>data[[#This Row],[OriginCity]] &amp; " - "  &amp; data[[#This Row],[DestinationCity]]</f>
        <v>Elgin - Cincinnati</v>
      </c>
      <c r="H1113" s="17" t="s">
        <v>94</v>
      </c>
      <c r="I1113" s="17" t="s">
        <v>31</v>
      </c>
      <c r="J1113" s="17">
        <v>3</v>
      </c>
      <c r="K1113" s="17" t="s">
        <v>89</v>
      </c>
      <c r="L1113" s="17" t="s">
        <v>23</v>
      </c>
      <c r="M1113" s="17" t="s">
        <v>279</v>
      </c>
      <c r="N1113" s="17">
        <v>559</v>
      </c>
      <c r="O1113" s="17">
        <v>559</v>
      </c>
      <c r="P1113" s="26">
        <f>(data[[#This Row],[LoadedMiles]]/data[[#This Row],[TotalMiles]])*100</f>
        <v>100</v>
      </c>
      <c r="Q1113" s="25">
        <f>data[[#This Row],[ShippingCost]]/data[[#This Row],[TotalMiles]]</f>
        <v>3.2164579606440071</v>
      </c>
      <c r="R1113" s="17">
        <v>1798</v>
      </c>
      <c r="S1113" s="25">
        <f>data[[#This Row],[Revenue]]/data[[#This Row],[TotalMiles]]</f>
        <v>3.8479427549194991</v>
      </c>
      <c r="T1113" s="26">
        <f>data[[#This Row],[Revenue]]-data[[#This Row],[ShippingCost]]</f>
        <v>353</v>
      </c>
      <c r="U1113" s="17">
        <v>2151</v>
      </c>
      <c r="V1113" s="17">
        <v>64</v>
      </c>
      <c r="W1113" s="17" t="s">
        <v>25</v>
      </c>
      <c r="X1113" s="17">
        <v>5</v>
      </c>
      <c r="Y1113" s="17">
        <f>data[[#This Row],[DeliveryDate]]-data[[#This Row],[ShipDate]]</f>
        <v>6</v>
      </c>
      <c r="Z1113" s="17" t="str">
        <f>IF(data[[#This Row],[Actual Delivery Days]]&gt;AD1114,"Yes","No")</f>
        <v>Yes</v>
      </c>
    </row>
    <row r="1114" spans="1:26">
      <c r="A1114" s="17">
        <v>11565</v>
      </c>
      <c r="B1114" s="17">
        <v>3</v>
      </c>
      <c r="C1114" s="17">
        <v>6</v>
      </c>
      <c r="D1114" s="17" t="s">
        <v>260</v>
      </c>
      <c r="E1114" s="17" t="s">
        <v>236</v>
      </c>
      <c r="F1114" s="17" t="str">
        <f>TEXT(data[[#This Row],[ShipDate]],"yyyy - mmmm")</f>
        <v>2016 - January</v>
      </c>
      <c r="G1114" s="17" t="str">
        <f>data[[#This Row],[OriginCity]] &amp; " - "  &amp; data[[#This Row],[DestinationCity]]</f>
        <v>Skokie - Chicago</v>
      </c>
      <c r="H1114" s="17" t="s">
        <v>35</v>
      </c>
      <c r="I1114" s="17" t="s">
        <v>31</v>
      </c>
      <c r="J1114" s="17">
        <v>3</v>
      </c>
      <c r="K1114" s="17" t="s">
        <v>39</v>
      </c>
      <c r="L1114" s="17" t="s">
        <v>31</v>
      </c>
      <c r="M1114" s="17" t="s">
        <v>152</v>
      </c>
      <c r="N1114" s="17">
        <v>539</v>
      </c>
      <c r="O1114" s="17">
        <v>453</v>
      </c>
      <c r="P1114" s="26">
        <f>(data[[#This Row],[LoadedMiles]]/data[[#This Row],[TotalMiles]])*100</f>
        <v>84.044526901669755</v>
      </c>
      <c r="Q1114" s="25">
        <f>data[[#This Row],[ShippingCost]]/data[[#This Row],[TotalMiles]]</f>
        <v>11.896103896103897</v>
      </c>
      <c r="R1114" s="17">
        <v>6412</v>
      </c>
      <c r="S1114" s="25">
        <f>data[[#This Row],[Revenue]]/data[[#This Row],[TotalMiles]]</f>
        <v>13.569573283858999</v>
      </c>
      <c r="T1114" s="26">
        <f>data[[#This Row],[Revenue]]-data[[#This Row],[ShippingCost]]</f>
        <v>902</v>
      </c>
      <c r="U1114" s="17">
        <v>7314</v>
      </c>
      <c r="V1114" s="17">
        <v>90</v>
      </c>
      <c r="W1114" s="17" t="s">
        <v>25</v>
      </c>
      <c r="X1114" s="17">
        <v>9</v>
      </c>
      <c r="Y1114" s="17">
        <f>data[[#This Row],[DeliveryDate]]-data[[#This Row],[ShipDate]]</f>
        <v>3</v>
      </c>
      <c r="Z1114" s="17" t="str">
        <f>IF(data[[#This Row],[Actual Delivery Days]]&gt;AD1115,"Yes","No")</f>
        <v>Yes</v>
      </c>
    </row>
    <row r="1115" spans="1:26">
      <c r="A1115" s="17">
        <v>11566</v>
      </c>
      <c r="B1115" s="17">
        <v>3</v>
      </c>
      <c r="C1115" s="17">
        <v>2</v>
      </c>
      <c r="D1115" s="17" t="s">
        <v>262</v>
      </c>
      <c r="E1115" s="17" t="s">
        <v>460</v>
      </c>
      <c r="F1115" s="17" t="str">
        <f>TEXT(data[[#This Row],[ShipDate]],"yyyy - mmmm")</f>
        <v>2016 - February</v>
      </c>
      <c r="G1115" s="17" t="str">
        <f>data[[#This Row],[OriginCity]] &amp; " - "  &amp; data[[#This Row],[DestinationCity]]</f>
        <v>Kalamazoo - Bangor</v>
      </c>
      <c r="H1115" s="17" t="s">
        <v>71</v>
      </c>
      <c r="I1115" s="17" t="s">
        <v>21</v>
      </c>
      <c r="J1115" s="17">
        <v>3</v>
      </c>
      <c r="K1115" s="17" t="s">
        <v>104</v>
      </c>
      <c r="L1115" s="17" t="s">
        <v>21</v>
      </c>
      <c r="M1115" s="17" t="s">
        <v>132</v>
      </c>
      <c r="N1115" s="17">
        <v>1006</v>
      </c>
      <c r="O1115" s="17">
        <v>683</v>
      </c>
      <c r="P1115" s="26">
        <f>(data[[#This Row],[LoadedMiles]]/data[[#This Row],[TotalMiles]])*100</f>
        <v>67.89264413518886</v>
      </c>
      <c r="Q1115" s="25">
        <f>data[[#This Row],[ShippingCost]]/data[[#This Row],[TotalMiles]]</f>
        <v>7.6491053677932408</v>
      </c>
      <c r="R1115" s="17">
        <v>7695</v>
      </c>
      <c r="S1115" s="25">
        <f>data[[#This Row],[Revenue]]/data[[#This Row],[TotalMiles]]</f>
        <v>8.5477137176938367</v>
      </c>
      <c r="T1115" s="26">
        <f>data[[#This Row],[Revenue]]-data[[#This Row],[ShippingCost]]</f>
        <v>904</v>
      </c>
      <c r="U1115" s="17">
        <v>8599</v>
      </c>
      <c r="V1115" s="17">
        <v>60</v>
      </c>
      <c r="W1115" s="17" t="s">
        <v>25</v>
      </c>
      <c r="X1115" s="17">
        <v>2</v>
      </c>
      <c r="Y1115" s="17">
        <f>data[[#This Row],[DeliveryDate]]-data[[#This Row],[ShipDate]]</f>
        <v>3</v>
      </c>
      <c r="Z1115" s="17" t="str">
        <f>IF(data[[#This Row],[Actual Delivery Days]]&gt;AD1116,"Yes","No")</f>
        <v>Yes</v>
      </c>
    </row>
    <row r="1116" spans="1:26">
      <c r="A1116" s="17">
        <v>11567</v>
      </c>
      <c r="B1116" s="17">
        <v>2</v>
      </c>
      <c r="C1116" s="17">
        <v>3</v>
      </c>
      <c r="D1116" s="17" t="s">
        <v>265</v>
      </c>
      <c r="E1116" s="17" t="s">
        <v>229</v>
      </c>
      <c r="F1116" s="17" t="str">
        <f>TEXT(data[[#This Row],[ShipDate]],"yyyy - mmmm")</f>
        <v>2016 - January</v>
      </c>
      <c r="G1116" s="17" t="str">
        <f>data[[#This Row],[OriginCity]] &amp; " - "  &amp; data[[#This Row],[DestinationCity]]</f>
        <v>Davenport - Appleton</v>
      </c>
      <c r="H1116" s="17" t="s">
        <v>105</v>
      </c>
      <c r="I1116" s="17" t="s">
        <v>106</v>
      </c>
      <c r="J1116" s="17">
        <v>3</v>
      </c>
      <c r="K1116" s="17" t="s">
        <v>85</v>
      </c>
      <c r="L1116" s="17" t="s">
        <v>29</v>
      </c>
      <c r="M1116" s="17" t="s">
        <v>236</v>
      </c>
      <c r="N1116" s="17">
        <v>518</v>
      </c>
      <c r="O1116" s="17">
        <v>452</v>
      </c>
      <c r="P1116" s="26">
        <f>(data[[#This Row],[LoadedMiles]]/data[[#This Row],[TotalMiles]])*100</f>
        <v>87.25868725868726</v>
      </c>
      <c r="Q1116" s="25">
        <f>data[[#This Row],[ShippingCost]]/data[[#This Row],[TotalMiles]]</f>
        <v>7.281853281853282</v>
      </c>
      <c r="R1116" s="17">
        <v>3772</v>
      </c>
      <c r="S1116" s="25">
        <f>data[[#This Row],[Revenue]]/data[[#This Row],[TotalMiles]]</f>
        <v>8.7027027027027035</v>
      </c>
      <c r="T1116" s="26">
        <f>data[[#This Row],[Revenue]]-data[[#This Row],[ShippingCost]]</f>
        <v>736</v>
      </c>
      <c r="U1116" s="17">
        <v>4508</v>
      </c>
      <c r="V1116" s="17">
        <v>82</v>
      </c>
      <c r="W1116" s="17" t="s">
        <v>25</v>
      </c>
      <c r="X1116" s="17">
        <v>8</v>
      </c>
      <c r="Y1116" s="17">
        <f>data[[#This Row],[DeliveryDate]]-data[[#This Row],[ShipDate]]</f>
        <v>3</v>
      </c>
      <c r="Z1116" s="17" t="str">
        <f>IF(data[[#This Row],[Actual Delivery Days]]&gt;AD1117,"Yes","No")</f>
        <v>Yes</v>
      </c>
    </row>
    <row r="1117" spans="1:26">
      <c r="A1117" s="17">
        <v>11581</v>
      </c>
      <c r="B1117" s="17">
        <v>2</v>
      </c>
      <c r="C1117" s="17">
        <v>5</v>
      </c>
      <c r="D1117" s="17" t="s">
        <v>297</v>
      </c>
      <c r="E1117" s="17" t="s">
        <v>391</v>
      </c>
      <c r="F1117" s="17" t="str">
        <f>TEXT(data[[#This Row],[ShipDate]],"yyyy - mmmm")</f>
        <v>2016 - March</v>
      </c>
      <c r="G1117" s="17" t="str">
        <f>data[[#This Row],[OriginCity]] &amp; " - "  &amp; data[[#This Row],[DestinationCity]]</f>
        <v>Toledo - Detriot</v>
      </c>
      <c r="H1117" s="17" t="s">
        <v>22</v>
      </c>
      <c r="I1117" s="17" t="s">
        <v>23</v>
      </c>
      <c r="J1117" s="17">
        <v>3</v>
      </c>
      <c r="K1117" s="17" t="s">
        <v>52</v>
      </c>
      <c r="L1117" s="17" t="s">
        <v>21</v>
      </c>
      <c r="M1117" s="17" t="s">
        <v>353</v>
      </c>
      <c r="N1117" s="17">
        <v>287</v>
      </c>
      <c r="O1117" s="17">
        <v>287</v>
      </c>
      <c r="P1117" s="26">
        <f>(data[[#This Row],[LoadedMiles]]/data[[#This Row],[TotalMiles]])*100</f>
        <v>100</v>
      </c>
      <c r="Q1117" s="25">
        <f>data[[#This Row],[ShippingCost]]/data[[#This Row],[TotalMiles]]</f>
        <v>10.017421602787456</v>
      </c>
      <c r="R1117" s="17">
        <v>2875</v>
      </c>
      <c r="S1117" s="25">
        <f>data[[#This Row],[Revenue]]/data[[#This Row],[TotalMiles]]</f>
        <v>11.961672473867596</v>
      </c>
      <c r="T1117" s="26">
        <f>data[[#This Row],[Revenue]]-data[[#This Row],[ShippingCost]]</f>
        <v>558</v>
      </c>
      <c r="U1117" s="17">
        <v>3433</v>
      </c>
      <c r="V1117" s="17">
        <v>97</v>
      </c>
      <c r="W1117" s="17" t="s">
        <v>25</v>
      </c>
      <c r="X1117" s="17">
        <v>3</v>
      </c>
      <c r="Y1117" s="17">
        <f>data[[#This Row],[DeliveryDate]]-data[[#This Row],[ShipDate]]</f>
        <v>3</v>
      </c>
      <c r="Z1117" s="17" t="str">
        <f>IF(data[[#This Row],[Actual Delivery Days]]&gt;AD1118,"Yes","No")</f>
        <v>Yes</v>
      </c>
    </row>
    <row r="1118" spans="1:26">
      <c r="A1118" s="17">
        <v>11591</v>
      </c>
      <c r="B1118" s="17">
        <v>2</v>
      </c>
      <c r="C1118" s="17">
        <v>1</v>
      </c>
      <c r="D1118" s="17" t="s">
        <v>320</v>
      </c>
      <c r="E1118" s="17" t="s">
        <v>34</v>
      </c>
      <c r="F1118" s="17" t="str">
        <f>TEXT(data[[#This Row],[ShipDate]],"yyyy - mmmm")</f>
        <v>2016 - August</v>
      </c>
      <c r="G1118" s="17" t="str">
        <f>data[[#This Row],[OriginCity]] &amp; " - "  &amp; data[[#This Row],[DestinationCity]]</f>
        <v>Indianapolis - Northbrook</v>
      </c>
      <c r="H1118" s="17" t="s">
        <v>43</v>
      </c>
      <c r="I1118" s="17" t="s">
        <v>44</v>
      </c>
      <c r="J1118" s="17">
        <v>3</v>
      </c>
      <c r="K1118" s="17" t="s">
        <v>45</v>
      </c>
      <c r="L1118" s="17" t="s">
        <v>31</v>
      </c>
      <c r="M1118" s="17" t="s">
        <v>243</v>
      </c>
      <c r="N1118" s="17">
        <v>689</v>
      </c>
      <c r="O1118" s="17">
        <v>528</v>
      </c>
      <c r="P1118" s="26">
        <f>(data[[#This Row],[LoadedMiles]]/data[[#This Row],[TotalMiles]])*100</f>
        <v>76.632801161103046</v>
      </c>
      <c r="Q1118" s="25">
        <f>data[[#This Row],[ShippingCost]]/data[[#This Row],[TotalMiles]]</f>
        <v>11.477503628447025</v>
      </c>
      <c r="R1118" s="17">
        <v>7908</v>
      </c>
      <c r="S1118" s="25">
        <f>data[[#This Row],[Revenue]]/data[[#This Row],[TotalMiles]]</f>
        <v>16.770682148040638</v>
      </c>
      <c r="T1118" s="26">
        <f>data[[#This Row],[Revenue]]-data[[#This Row],[ShippingCost]]</f>
        <v>3647</v>
      </c>
      <c r="U1118" s="17">
        <v>11555</v>
      </c>
      <c r="V1118" s="17">
        <v>56</v>
      </c>
      <c r="W1118" s="17" t="s">
        <v>25</v>
      </c>
      <c r="X1118" s="17">
        <v>8</v>
      </c>
      <c r="Y1118" s="17">
        <f>data[[#This Row],[DeliveryDate]]-data[[#This Row],[ShipDate]]</f>
        <v>3</v>
      </c>
      <c r="Z1118" s="17" t="str">
        <f>IF(data[[#This Row],[Actual Delivery Days]]&gt;AD1119,"Yes","No")</f>
        <v>Yes</v>
      </c>
    </row>
    <row r="1119" spans="1:26">
      <c r="A1119" s="17">
        <v>11596</v>
      </c>
      <c r="B1119" s="17">
        <v>2</v>
      </c>
      <c r="C1119" s="17">
        <v>2</v>
      </c>
      <c r="D1119" s="17" t="s">
        <v>329</v>
      </c>
      <c r="E1119" s="17" t="s">
        <v>138</v>
      </c>
      <c r="F1119" s="17" t="str">
        <f>TEXT(data[[#This Row],[ShipDate]],"yyyy - mmmm")</f>
        <v>2016 - August</v>
      </c>
      <c r="G1119" s="17" t="str">
        <f>data[[#This Row],[OriginCity]] &amp; " - "  &amp; data[[#This Row],[DestinationCity]]</f>
        <v>Green Bay - Joliet</v>
      </c>
      <c r="H1119" s="17" t="s">
        <v>75</v>
      </c>
      <c r="I1119" s="17" t="s">
        <v>29</v>
      </c>
      <c r="J1119" s="17">
        <v>3</v>
      </c>
      <c r="K1119" s="17" t="s">
        <v>61</v>
      </c>
      <c r="L1119" s="17" t="s">
        <v>31</v>
      </c>
      <c r="M1119" s="17" t="s">
        <v>119</v>
      </c>
      <c r="N1119" s="17">
        <v>1192</v>
      </c>
      <c r="O1119" s="17">
        <v>439</v>
      </c>
      <c r="P1119" s="26">
        <f>(data[[#This Row],[LoadedMiles]]/data[[#This Row],[TotalMiles]])*100</f>
        <v>36.828859060402685</v>
      </c>
      <c r="Q1119" s="25">
        <f>data[[#This Row],[ShippingCost]]/data[[#This Row],[TotalMiles]]</f>
        <v>1.5310402684563758</v>
      </c>
      <c r="R1119" s="17">
        <v>1825</v>
      </c>
      <c r="S1119" s="25">
        <f>data[[#This Row],[Revenue]]/data[[#This Row],[TotalMiles]]</f>
        <v>1.8917785234899329</v>
      </c>
      <c r="T1119" s="26">
        <f>data[[#This Row],[Revenue]]-data[[#This Row],[ShippingCost]]</f>
        <v>430</v>
      </c>
      <c r="U1119" s="17">
        <v>2255</v>
      </c>
      <c r="V1119" s="17">
        <v>67</v>
      </c>
      <c r="W1119" s="17" t="s">
        <v>25</v>
      </c>
      <c r="X1119" s="17">
        <v>10</v>
      </c>
      <c r="Y1119" s="17">
        <f>data[[#This Row],[DeliveryDate]]-data[[#This Row],[ShipDate]]</f>
        <v>3</v>
      </c>
      <c r="Z1119" s="17" t="str">
        <f>IF(data[[#This Row],[Actual Delivery Days]]&gt;AD1120,"Yes","No")</f>
        <v>Yes</v>
      </c>
    </row>
    <row r="1120" spans="1:26">
      <c r="A1120" s="17">
        <v>11599</v>
      </c>
      <c r="B1120" s="17">
        <v>3</v>
      </c>
      <c r="C1120" s="17">
        <v>1</v>
      </c>
      <c r="D1120" s="17" t="s">
        <v>334</v>
      </c>
      <c r="E1120" s="17" t="s">
        <v>424</v>
      </c>
      <c r="F1120" s="17" t="str">
        <f>TEXT(data[[#This Row],[ShipDate]],"yyyy - mmmm")</f>
        <v>2016 - January</v>
      </c>
      <c r="G1120" s="17" t="str">
        <f>data[[#This Row],[OriginCity]] &amp; " - "  &amp; data[[#This Row],[DestinationCity]]</f>
        <v>Appleton - Grand Rapids</v>
      </c>
      <c r="H1120" s="17" t="s">
        <v>85</v>
      </c>
      <c r="I1120" s="17" t="s">
        <v>29</v>
      </c>
      <c r="J1120" s="17">
        <v>3</v>
      </c>
      <c r="K1120" s="17" t="s">
        <v>20</v>
      </c>
      <c r="L1120" s="17" t="s">
        <v>21</v>
      </c>
      <c r="M1120" s="17" t="s">
        <v>264</v>
      </c>
      <c r="N1120" s="17">
        <v>202</v>
      </c>
      <c r="O1120" s="17">
        <v>202</v>
      </c>
      <c r="P1120" s="26">
        <f>(data[[#This Row],[LoadedMiles]]/data[[#This Row],[TotalMiles]])*100</f>
        <v>100</v>
      </c>
      <c r="Q1120" s="25">
        <f>data[[#This Row],[ShippingCost]]/data[[#This Row],[TotalMiles]]</f>
        <v>14.009900990099009</v>
      </c>
      <c r="R1120" s="17">
        <v>2830</v>
      </c>
      <c r="S1120" s="25">
        <f>data[[#This Row],[Revenue]]/data[[#This Row],[TotalMiles]]</f>
        <v>33.960396039603964</v>
      </c>
      <c r="T1120" s="26">
        <f>data[[#This Row],[Revenue]]-data[[#This Row],[ShippingCost]]</f>
        <v>4030</v>
      </c>
      <c r="U1120" s="17">
        <v>6860</v>
      </c>
      <c r="V1120" s="17">
        <v>96</v>
      </c>
      <c r="W1120" s="17" t="s">
        <v>25</v>
      </c>
      <c r="X1120" s="17">
        <v>2</v>
      </c>
      <c r="Y1120" s="17">
        <f>data[[#This Row],[DeliveryDate]]-data[[#This Row],[ShipDate]]</f>
        <v>3</v>
      </c>
      <c r="Z1120" s="17" t="str">
        <f>IF(data[[#This Row],[Actual Delivery Days]]&gt;AD1121,"Yes","No")</f>
        <v>Yes</v>
      </c>
    </row>
    <row r="1121" spans="1:26">
      <c r="A1121" s="17">
        <v>11600</v>
      </c>
      <c r="B1121" s="17">
        <v>2</v>
      </c>
      <c r="C1121" s="17">
        <v>5</v>
      </c>
      <c r="D1121" s="17" t="s">
        <v>335</v>
      </c>
      <c r="E1121" s="17" t="s">
        <v>65</v>
      </c>
      <c r="F1121" s="17" t="str">
        <f>TEXT(data[[#This Row],[ShipDate]],"yyyy - mmmm")</f>
        <v>2016 - April</v>
      </c>
      <c r="G1121" s="17" t="str">
        <f>data[[#This Row],[OriginCity]] &amp; " - "  &amp; data[[#This Row],[DestinationCity]]</f>
        <v>Cincinnati - Gary</v>
      </c>
      <c r="H1121" s="17" t="s">
        <v>89</v>
      </c>
      <c r="I1121" s="17" t="s">
        <v>23</v>
      </c>
      <c r="J1121" s="17">
        <v>3</v>
      </c>
      <c r="K1121" s="17" t="s">
        <v>57</v>
      </c>
      <c r="L1121" s="17" t="s">
        <v>44</v>
      </c>
      <c r="M1121" s="17" t="s">
        <v>221</v>
      </c>
      <c r="N1121" s="17">
        <v>504</v>
      </c>
      <c r="O1121" s="17">
        <v>286</v>
      </c>
      <c r="P1121" s="26">
        <f>(data[[#This Row],[LoadedMiles]]/data[[#This Row],[TotalMiles]])*100</f>
        <v>56.746031746031747</v>
      </c>
      <c r="Q1121" s="25">
        <f>data[[#This Row],[ShippingCost]]/data[[#This Row],[TotalMiles]]</f>
        <v>4.7698412698412698</v>
      </c>
      <c r="R1121" s="17">
        <v>2404</v>
      </c>
      <c r="S1121" s="25">
        <f>data[[#This Row],[Revenue]]/data[[#This Row],[TotalMiles]]</f>
        <v>5.3769841269841274</v>
      </c>
      <c r="T1121" s="26">
        <f>data[[#This Row],[Revenue]]-data[[#This Row],[ShippingCost]]</f>
        <v>306</v>
      </c>
      <c r="U1121" s="17">
        <v>2710</v>
      </c>
      <c r="V1121" s="17">
        <v>52</v>
      </c>
      <c r="W1121" s="17" t="s">
        <v>25</v>
      </c>
      <c r="X1121" s="17">
        <v>7</v>
      </c>
      <c r="Y1121" s="17">
        <f>data[[#This Row],[DeliveryDate]]-data[[#This Row],[ShipDate]]</f>
        <v>3</v>
      </c>
      <c r="Z1121" s="17" t="str">
        <f>IF(data[[#This Row],[Actual Delivery Days]]&gt;AD1122,"Yes","No")</f>
        <v>Yes</v>
      </c>
    </row>
    <row r="1122" spans="1:26">
      <c r="A1122" s="17">
        <v>11601</v>
      </c>
      <c r="B1122" s="17">
        <v>2</v>
      </c>
      <c r="C1122" s="17">
        <v>2</v>
      </c>
      <c r="D1122" s="17" t="s">
        <v>336</v>
      </c>
      <c r="E1122" s="17" t="s">
        <v>391</v>
      </c>
      <c r="F1122" s="17" t="str">
        <f>TEXT(data[[#This Row],[ShipDate]],"yyyy - mmmm")</f>
        <v>2016 - March</v>
      </c>
      <c r="G1122" s="17" t="str">
        <f>data[[#This Row],[OriginCity]] &amp; " - "  &amp; data[[#This Row],[DestinationCity]]</f>
        <v>Dayton - Elgin</v>
      </c>
      <c r="H1122" s="17" t="s">
        <v>93</v>
      </c>
      <c r="I1122" s="17" t="s">
        <v>23</v>
      </c>
      <c r="J1122" s="17">
        <v>3</v>
      </c>
      <c r="K1122" s="17" t="s">
        <v>94</v>
      </c>
      <c r="L1122" s="17" t="s">
        <v>31</v>
      </c>
      <c r="M1122" s="17" t="s">
        <v>391</v>
      </c>
      <c r="N1122" s="17">
        <v>1014</v>
      </c>
      <c r="O1122" s="17">
        <v>235</v>
      </c>
      <c r="P1122" s="26">
        <f>(data[[#This Row],[LoadedMiles]]/data[[#This Row],[TotalMiles]])*100</f>
        <v>23.175542406311635</v>
      </c>
      <c r="Q1122" s="25">
        <f>data[[#This Row],[ShippingCost]]/data[[#This Row],[TotalMiles]]</f>
        <v>2.9960552268244576</v>
      </c>
      <c r="R1122" s="17">
        <v>3038</v>
      </c>
      <c r="S1122" s="25">
        <f>data[[#This Row],[Revenue]]/data[[#This Row],[TotalMiles]]</f>
        <v>3.4950690335305721</v>
      </c>
      <c r="T1122" s="26">
        <f>data[[#This Row],[Revenue]]-data[[#This Row],[ShippingCost]]</f>
        <v>506</v>
      </c>
      <c r="U1122" s="17">
        <v>3544</v>
      </c>
      <c r="V1122" s="17">
        <v>100</v>
      </c>
      <c r="W1122" s="17" t="s">
        <v>25</v>
      </c>
      <c r="X1122" s="17">
        <v>5</v>
      </c>
      <c r="Y1122" s="17">
        <f>data[[#This Row],[DeliveryDate]]-data[[#This Row],[ShipDate]]</f>
        <v>0</v>
      </c>
      <c r="Z1122" s="17" t="str">
        <f>IF(data[[#This Row],[Actual Delivery Days]]&gt;AD1123,"Yes","No")</f>
        <v>No</v>
      </c>
    </row>
    <row r="1123" spans="1:26">
      <c r="A1123" s="17">
        <v>11608</v>
      </c>
      <c r="B1123" s="17">
        <v>2</v>
      </c>
      <c r="C1123" s="17">
        <v>6</v>
      </c>
      <c r="D1123" s="17" t="s">
        <v>349</v>
      </c>
      <c r="E1123" s="17" t="s">
        <v>408</v>
      </c>
      <c r="F1123" s="17" t="str">
        <f>TEXT(data[[#This Row],[ShipDate]],"yyyy - mmmm")</f>
        <v>2016 - August</v>
      </c>
      <c r="G1123" s="17" t="str">
        <f>data[[#This Row],[OriginCity]] &amp; " - "  &amp; data[[#This Row],[DestinationCity]]</f>
        <v>Grand Rapids - Toledo</v>
      </c>
      <c r="H1123" s="17" t="s">
        <v>20</v>
      </c>
      <c r="I1123" s="17" t="s">
        <v>21</v>
      </c>
      <c r="J1123" s="17">
        <v>3</v>
      </c>
      <c r="K1123" s="17" t="s">
        <v>22</v>
      </c>
      <c r="L1123" s="17" t="s">
        <v>23</v>
      </c>
      <c r="M1123" s="17" t="s">
        <v>214</v>
      </c>
      <c r="N1123" s="17">
        <v>356</v>
      </c>
      <c r="O1123" s="17">
        <v>356</v>
      </c>
      <c r="P1123" s="26">
        <f>(data[[#This Row],[LoadedMiles]]/data[[#This Row],[TotalMiles]])*100</f>
        <v>100</v>
      </c>
      <c r="Q1123" s="25">
        <f>data[[#This Row],[ShippingCost]]/data[[#This Row],[TotalMiles]]</f>
        <v>1.053370786516854</v>
      </c>
      <c r="R1123" s="17">
        <v>375</v>
      </c>
      <c r="S1123" s="25">
        <f>data[[#This Row],[Revenue]]/data[[#This Row],[TotalMiles]]</f>
        <v>3.4831460674157304</v>
      </c>
      <c r="T1123" s="26">
        <f>data[[#This Row],[Revenue]]-data[[#This Row],[ShippingCost]]</f>
        <v>865</v>
      </c>
      <c r="U1123" s="17">
        <v>1240</v>
      </c>
      <c r="V1123" s="17">
        <v>62</v>
      </c>
      <c r="W1123" s="17" t="s">
        <v>25</v>
      </c>
      <c r="X1123" s="17">
        <v>8</v>
      </c>
      <c r="Y1123" s="17">
        <f>data[[#This Row],[DeliveryDate]]-data[[#This Row],[ShipDate]]</f>
        <v>3</v>
      </c>
      <c r="Z1123" s="17" t="str">
        <f>IF(data[[#This Row],[Actual Delivery Days]]&gt;AD1124,"Yes","No")</f>
        <v>Yes</v>
      </c>
    </row>
    <row r="1124" spans="1:26">
      <c r="A1124" s="17">
        <v>11609</v>
      </c>
      <c r="B1124" s="17">
        <v>2</v>
      </c>
      <c r="C1124" s="17">
        <v>1</v>
      </c>
      <c r="D1124" s="17" t="s">
        <v>351</v>
      </c>
      <c r="E1124" s="17" t="s">
        <v>415</v>
      </c>
      <c r="F1124" s="17" t="str">
        <f>TEXT(data[[#This Row],[ShipDate]],"yyyy - mmmm")</f>
        <v>2016 - August</v>
      </c>
      <c r="G1124" s="17" t="str">
        <f>data[[#This Row],[OriginCity]] &amp; " - "  &amp; data[[#This Row],[DestinationCity]]</f>
        <v>Milwaukee - Springfield</v>
      </c>
      <c r="H1124" s="17" t="s">
        <v>28</v>
      </c>
      <c r="I1124" s="17" t="s">
        <v>29</v>
      </c>
      <c r="J1124" s="17">
        <v>3</v>
      </c>
      <c r="K1124" s="17" t="s">
        <v>30</v>
      </c>
      <c r="L1124" s="17" t="s">
        <v>31</v>
      </c>
      <c r="M1124" s="17" t="s">
        <v>422</v>
      </c>
      <c r="N1124" s="17">
        <v>689</v>
      </c>
      <c r="O1124" s="17">
        <v>399</v>
      </c>
      <c r="P1124" s="26">
        <f>(data[[#This Row],[LoadedMiles]]/data[[#This Row],[TotalMiles]])*100</f>
        <v>57.910014513788099</v>
      </c>
      <c r="Q1124" s="25">
        <f>data[[#This Row],[ShippingCost]]/data[[#This Row],[TotalMiles]]</f>
        <v>4.1654571843251089</v>
      </c>
      <c r="R1124" s="17">
        <v>2870</v>
      </c>
      <c r="S1124" s="25">
        <f>data[[#This Row],[Revenue]]/data[[#This Row],[TotalMiles]]</f>
        <v>11.486211901306241</v>
      </c>
      <c r="T1124" s="26">
        <f>data[[#This Row],[Revenue]]-data[[#This Row],[ShippingCost]]</f>
        <v>5044</v>
      </c>
      <c r="U1124" s="17">
        <v>7914</v>
      </c>
      <c r="V1124" s="17">
        <v>65</v>
      </c>
      <c r="W1124" s="17" t="s">
        <v>25</v>
      </c>
      <c r="X1124" s="17">
        <v>2</v>
      </c>
      <c r="Y1124" s="17">
        <f>data[[#This Row],[DeliveryDate]]-data[[#This Row],[ShipDate]]</f>
        <v>3</v>
      </c>
      <c r="Z1124" s="17" t="str">
        <f>IF(data[[#This Row],[Actual Delivery Days]]&gt;AD1125,"Yes","No")</f>
        <v>Yes</v>
      </c>
    </row>
    <row r="1125" spans="1:26">
      <c r="A1125" s="17">
        <v>11617</v>
      </c>
      <c r="B1125" s="17">
        <v>2</v>
      </c>
      <c r="C1125" s="17">
        <v>2</v>
      </c>
      <c r="D1125" s="17" t="s">
        <v>369</v>
      </c>
      <c r="E1125" s="17" t="s">
        <v>362</v>
      </c>
      <c r="F1125" s="17" t="str">
        <f>TEXT(data[[#This Row],[ShipDate]],"yyyy - mmmm")</f>
        <v>2016 - February</v>
      </c>
      <c r="G1125" s="17" t="str">
        <f>data[[#This Row],[OriginCity]] &amp; " - "  &amp; data[[#This Row],[DestinationCity]]</f>
        <v>Green Bay - Joliet</v>
      </c>
      <c r="H1125" s="17" t="s">
        <v>75</v>
      </c>
      <c r="I1125" s="17" t="s">
        <v>29</v>
      </c>
      <c r="J1125" s="17">
        <v>3</v>
      </c>
      <c r="K1125" s="17" t="s">
        <v>61</v>
      </c>
      <c r="L1125" s="17" t="s">
        <v>31</v>
      </c>
      <c r="M1125" s="17" t="s">
        <v>611</v>
      </c>
      <c r="N1125" s="17">
        <v>444</v>
      </c>
      <c r="O1125" s="17">
        <v>255</v>
      </c>
      <c r="P1125" s="26">
        <f>(data[[#This Row],[LoadedMiles]]/data[[#This Row],[TotalMiles]])*100</f>
        <v>57.432432432432435</v>
      </c>
      <c r="Q1125" s="25">
        <f>data[[#This Row],[ShippingCost]]/data[[#This Row],[TotalMiles]]</f>
        <v>13.594594594594595</v>
      </c>
      <c r="R1125" s="17">
        <v>6036</v>
      </c>
      <c r="S1125" s="25">
        <f>data[[#This Row],[Revenue]]/data[[#This Row],[TotalMiles]]</f>
        <v>14.650900900900901</v>
      </c>
      <c r="T1125" s="26">
        <f>data[[#This Row],[Revenue]]-data[[#This Row],[ShippingCost]]</f>
        <v>469</v>
      </c>
      <c r="U1125" s="17">
        <v>6505</v>
      </c>
      <c r="V1125" s="17">
        <v>53</v>
      </c>
      <c r="W1125" s="17" t="s">
        <v>25</v>
      </c>
      <c r="X1125" s="17">
        <v>5</v>
      </c>
      <c r="Y1125" s="17">
        <f>data[[#This Row],[DeliveryDate]]-data[[#This Row],[ShipDate]]</f>
        <v>3</v>
      </c>
      <c r="Z1125" s="17" t="str">
        <f>IF(data[[#This Row],[Actual Delivery Days]]&gt;AD1126,"Yes","No")</f>
        <v>Yes</v>
      </c>
    </row>
    <row r="1126" spans="1:26">
      <c r="A1126" s="17">
        <v>11631</v>
      </c>
      <c r="B1126" s="17">
        <v>2</v>
      </c>
      <c r="C1126" s="17">
        <v>1</v>
      </c>
      <c r="D1126" s="17" t="s">
        <v>390</v>
      </c>
      <c r="E1126" s="17" t="s">
        <v>462</v>
      </c>
      <c r="F1126" s="17" t="str">
        <f>TEXT(data[[#This Row],[ShipDate]],"yyyy - mmmm")</f>
        <v>2016 - March</v>
      </c>
      <c r="G1126" s="17" t="str">
        <f>data[[#This Row],[OriginCity]] &amp; " - "  &amp; data[[#This Row],[DestinationCity]]</f>
        <v>Springfield - Skokie</v>
      </c>
      <c r="H1126" s="17" t="s">
        <v>30</v>
      </c>
      <c r="I1126" s="17" t="s">
        <v>31</v>
      </c>
      <c r="J1126" s="17">
        <v>3</v>
      </c>
      <c r="K1126" s="17" t="s">
        <v>35</v>
      </c>
      <c r="L1126" s="17" t="s">
        <v>31</v>
      </c>
      <c r="M1126" s="17" t="s">
        <v>391</v>
      </c>
      <c r="N1126" s="17">
        <v>576</v>
      </c>
      <c r="O1126" s="17">
        <v>359</v>
      </c>
      <c r="P1126" s="26">
        <f>(data[[#This Row],[LoadedMiles]]/data[[#This Row],[TotalMiles]])*100</f>
        <v>62.326388888888886</v>
      </c>
      <c r="Q1126" s="25">
        <f>data[[#This Row],[ShippingCost]]/data[[#This Row],[TotalMiles]]</f>
        <v>1.3888888888888888E-2</v>
      </c>
      <c r="R1126" s="17">
        <v>8</v>
      </c>
      <c r="S1126" s="25">
        <f>data[[#This Row],[Revenue]]/data[[#This Row],[TotalMiles]]</f>
        <v>6.4409722222222223</v>
      </c>
      <c r="T1126" s="26">
        <f>data[[#This Row],[Revenue]]-data[[#This Row],[ShippingCost]]</f>
        <v>3702</v>
      </c>
      <c r="U1126" s="17">
        <v>3710</v>
      </c>
      <c r="V1126" s="17">
        <v>52</v>
      </c>
      <c r="W1126" s="17" t="s">
        <v>25</v>
      </c>
      <c r="X1126" s="17">
        <v>5</v>
      </c>
      <c r="Y1126" s="17">
        <f>data[[#This Row],[DeliveryDate]]-data[[#This Row],[ShipDate]]</f>
        <v>3</v>
      </c>
      <c r="Z1126" s="17" t="str">
        <f>IF(data[[#This Row],[Actual Delivery Days]]&gt;AD1127,"Yes","No")</f>
        <v>Yes</v>
      </c>
    </row>
    <row r="1127" spans="1:26">
      <c r="A1127" s="17">
        <v>11651</v>
      </c>
      <c r="B1127" s="17">
        <v>3</v>
      </c>
      <c r="C1127" s="17">
        <v>3</v>
      </c>
      <c r="D1127" s="17" t="s">
        <v>427</v>
      </c>
      <c r="E1127" s="17" t="s">
        <v>309</v>
      </c>
      <c r="F1127" s="17" t="str">
        <f>TEXT(data[[#This Row],[ShipDate]],"yyyy - mmmm")</f>
        <v>2016 - February</v>
      </c>
      <c r="G1127" s="17" t="str">
        <f>data[[#This Row],[OriginCity]] &amp; " - "  &amp; data[[#This Row],[DestinationCity]]</f>
        <v>Grand Rapids - Toledo</v>
      </c>
      <c r="H1127" s="17" t="s">
        <v>20</v>
      </c>
      <c r="I1127" s="17" t="s">
        <v>21</v>
      </c>
      <c r="J1127" s="17">
        <v>3</v>
      </c>
      <c r="K1127" s="17" t="s">
        <v>22</v>
      </c>
      <c r="L1127" s="17" t="s">
        <v>23</v>
      </c>
      <c r="M1127" s="17" t="s">
        <v>164</v>
      </c>
      <c r="N1127" s="17">
        <v>888</v>
      </c>
      <c r="O1127" s="17">
        <v>204</v>
      </c>
      <c r="P1127" s="26">
        <f>(data[[#This Row],[LoadedMiles]]/data[[#This Row],[TotalMiles]])*100</f>
        <v>22.972972972972975</v>
      </c>
      <c r="Q1127" s="25">
        <f>data[[#This Row],[ShippingCost]]/data[[#This Row],[TotalMiles]]</f>
        <v>6.7398648648648649</v>
      </c>
      <c r="R1127" s="17">
        <v>5985</v>
      </c>
      <c r="S1127" s="25">
        <f>data[[#This Row],[Revenue]]/data[[#This Row],[TotalMiles]]</f>
        <v>6.9819819819819822</v>
      </c>
      <c r="T1127" s="26">
        <f>data[[#This Row],[Revenue]]-data[[#This Row],[ShippingCost]]</f>
        <v>215</v>
      </c>
      <c r="U1127" s="17">
        <v>6200</v>
      </c>
      <c r="V1127" s="17">
        <v>60</v>
      </c>
      <c r="W1127" s="17" t="s">
        <v>25</v>
      </c>
      <c r="X1127" s="17">
        <v>2</v>
      </c>
      <c r="Y1127" s="17">
        <f>data[[#This Row],[DeliveryDate]]-data[[#This Row],[ShipDate]]</f>
        <v>3</v>
      </c>
      <c r="Z1127" s="17" t="str">
        <f>IF(data[[#This Row],[Actual Delivery Days]]&gt;AD1128,"Yes","No")</f>
        <v>Yes</v>
      </c>
    </row>
    <row r="1128" spans="1:26">
      <c r="A1128" s="17">
        <v>11667</v>
      </c>
      <c r="B1128" s="17">
        <v>3</v>
      </c>
      <c r="C1128" s="17">
        <v>3</v>
      </c>
      <c r="D1128" s="17" t="s">
        <v>456</v>
      </c>
      <c r="E1128" s="17" t="s">
        <v>282</v>
      </c>
      <c r="F1128" s="17" t="str">
        <f>TEXT(data[[#This Row],[ShipDate]],"yyyy - mmmm")</f>
        <v>2016 - June</v>
      </c>
      <c r="G1128" s="17" t="str">
        <f>data[[#This Row],[OriginCity]] &amp; " - "  &amp; data[[#This Row],[DestinationCity]]</f>
        <v>Elgin - Cincinnati</v>
      </c>
      <c r="H1128" s="17" t="s">
        <v>94</v>
      </c>
      <c r="I1128" s="17" t="s">
        <v>31</v>
      </c>
      <c r="J1128" s="17">
        <v>3</v>
      </c>
      <c r="K1128" s="17" t="s">
        <v>89</v>
      </c>
      <c r="L1128" s="17" t="s">
        <v>23</v>
      </c>
      <c r="M1128" s="17" t="s">
        <v>444</v>
      </c>
      <c r="N1128" s="17">
        <v>378</v>
      </c>
      <c r="O1128" s="17">
        <v>284</v>
      </c>
      <c r="P1128" s="26">
        <f>(data[[#This Row],[LoadedMiles]]/data[[#This Row],[TotalMiles]])*100</f>
        <v>75.132275132275126</v>
      </c>
      <c r="Q1128" s="25">
        <f>data[[#This Row],[ShippingCost]]/data[[#This Row],[TotalMiles]]</f>
        <v>4.1137566137566139</v>
      </c>
      <c r="R1128" s="17">
        <v>1555</v>
      </c>
      <c r="S1128" s="25">
        <f>data[[#This Row],[Revenue]]/data[[#This Row],[TotalMiles]]</f>
        <v>4.4973544973544977</v>
      </c>
      <c r="T1128" s="26">
        <f>data[[#This Row],[Revenue]]-data[[#This Row],[ShippingCost]]</f>
        <v>145</v>
      </c>
      <c r="U1128" s="17">
        <v>1700</v>
      </c>
      <c r="V1128" s="17">
        <v>54</v>
      </c>
      <c r="W1128" s="17" t="s">
        <v>25</v>
      </c>
      <c r="X1128" s="17">
        <v>8</v>
      </c>
      <c r="Y1128" s="17">
        <f>data[[#This Row],[DeliveryDate]]-data[[#This Row],[ShipDate]]</f>
        <v>3</v>
      </c>
      <c r="Z1128" s="17" t="str">
        <f>IF(data[[#This Row],[Actual Delivery Days]]&gt;AD1129,"Yes","No")</f>
        <v>Yes</v>
      </c>
    </row>
    <row r="1129" spans="1:26">
      <c r="A1129" s="17">
        <v>11669</v>
      </c>
      <c r="B1129" s="17">
        <v>3</v>
      </c>
      <c r="C1129" s="17">
        <v>1</v>
      </c>
      <c r="D1129" s="17" t="s">
        <v>458</v>
      </c>
      <c r="E1129" s="17" t="s">
        <v>299</v>
      </c>
      <c r="F1129" s="17" t="str">
        <f>TEXT(data[[#This Row],[ShipDate]],"yyyy - mmmm")</f>
        <v>2016 - July</v>
      </c>
      <c r="G1129" s="17" t="str">
        <f>data[[#This Row],[OriginCity]] &amp; " - "  &amp; data[[#This Row],[DestinationCity]]</f>
        <v>Kalamazoo - Bangor</v>
      </c>
      <c r="H1129" s="17" t="s">
        <v>71</v>
      </c>
      <c r="I1129" s="17" t="s">
        <v>21</v>
      </c>
      <c r="J1129" s="17">
        <v>3</v>
      </c>
      <c r="K1129" s="17" t="s">
        <v>104</v>
      </c>
      <c r="L1129" s="17" t="s">
        <v>21</v>
      </c>
      <c r="M1129" s="17" t="s">
        <v>19</v>
      </c>
      <c r="N1129" s="17">
        <v>572</v>
      </c>
      <c r="O1129" s="17">
        <v>324</v>
      </c>
      <c r="P1129" s="26">
        <f>(data[[#This Row],[LoadedMiles]]/data[[#This Row],[TotalMiles]])*100</f>
        <v>56.643356643356647</v>
      </c>
      <c r="Q1129" s="25">
        <f>data[[#This Row],[ShippingCost]]/data[[#This Row],[TotalMiles]]</f>
        <v>14.386363636363637</v>
      </c>
      <c r="R1129" s="17">
        <v>8229</v>
      </c>
      <c r="S1129" s="25">
        <f>data[[#This Row],[Revenue]]/data[[#This Row],[TotalMiles]]</f>
        <v>23.164335664335663</v>
      </c>
      <c r="T1129" s="26">
        <f>data[[#This Row],[Revenue]]-data[[#This Row],[ShippingCost]]</f>
        <v>5021</v>
      </c>
      <c r="U1129" s="17">
        <v>13250</v>
      </c>
      <c r="V1129" s="17">
        <v>62</v>
      </c>
      <c r="W1129" s="17" t="s">
        <v>25</v>
      </c>
      <c r="X1129" s="17">
        <v>5</v>
      </c>
      <c r="Y1129" s="17">
        <f>data[[#This Row],[DeliveryDate]]-data[[#This Row],[ShipDate]]</f>
        <v>3</v>
      </c>
      <c r="Z1129" s="17" t="str">
        <f>IF(data[[#This Row],[Actual Delivery Days]]&gt;AD1130,"Yes","No")</f>
        <v>Yes</v>
      </c>
    </row>
    <row r="1130" spans="1:26">
      <c r="A1130" s="17">
        <v>11686</v>
      </c>
      <c r="B1130" s="17">
        <v>2</v>
      </c>
      <c r="C1130" s="17">
        <v>6</v>
      </c>
      <c r="D1130" s="17" t="s">
        <v>487</v>
      </c>
      <c r="E1130" s="17" t="s">
        <v>114</v>
      </c>
      <c r="F1130" s="17" t="str">
        <f>TEXT(data[[#This Row],[ShipDate]],"yyyy - mmmm")</f>
        <v>2016 - April</v>
      </c>
      <c r="G1130" s="17" t="str">
        <f>data[[#This Row],[OriginCity]] &amp; " - "  &amp; data[[#This Row],[DestinationCity]]</f>
        <v>Elgin - Cincinnati</v>
      </c>
      <c r="H1130" s="17" t="s">
        <v>94</v>
      </c>
      <c r="I1130" s="17" t="s">
        <v>31</v>
      </c>
      <c r="J1130" s="17">
        <v>3</v>
      </c>
      <c r="K1130" s="17" t="s">
        <v>89</v>
      </c>
      <c r="L1130" s="17" t="s">
        <v>23</v>
      </c>
      <c r="M1130" s="17" t="s">
        <v>480</v>
      </c>
      <c r="N1130" s="17">
        <v>320</v>
      </c>
      <c r="O1130" s="17">
        <v>320</v>
      </c>
      <c r="P1130" s="26">
        <f>(data[[#This Row],[LoadedMiles]]/data[[#This Row],[TotalMiles]])*100</f>
        <v>100</v>
      </c>
      <c r="Q1130" s="25">
        <f>data[[#This Row],[ShippingCost]]/data[[#This Row],[TotalMiles]]</f>
        <v>16.728124999999999</v>
      </c>
      <c r="R1130" s="17">
        <v>5353</v>
      </c>
      <c r="S1130" s="25">
        <f>data[[#This Row],[Revenue]]/data[[#This Row],[TotalMiles]]</f>
        <v>19.565625000000001</v>
      </c>
      <c r="T1130" s="26">
        <f>data[[#This Row],[Revenue]]-data[[#This Row],[ShippingCost]]</f>
        <v>908</v>
      </c>
      <c r="U1130" s="17">
        <v>6261</v>
      </c>
      <c r="V1130" s="17">
        <v>72</v>
      </c>
      <c r="W1130" s="17" t="s">
        <v>25</v>
      </c>
      <c r="X1130" s="17">
        <v>6</v>
      </c>
      <c r="Y1130" s="17">
        <f>data[[#This Row],[DeliveryDate]]-data[[#This Row],[ShipDate]]</f>
        <v>2</v>
      </c>
      <c r="Z1130" s="17" t="str">
        <f>IF(data[[#This Row],[Actual Delivery Days]]&gt;AD1131,"Yes","No")</f>
        <v>Yes</v>
      </c>
    </row>
    <row r="1131" spans="1:26">
      <c r="A1131" s="17">
        <v>11700</v>
      </c>
      <c r="B1131" s="17">
        <v>3</v>
      </c>
      <c r="C1131" s="17">
        <v>6</v>
      </c>
      <c r="D1131" s="17" t="s">
        <v>505</v>
      </c>
      <c r="E1131" s="17" t="s">
        <v>607</v>
      </c>
      <c r="F1131" s="17" t="str">
        <f>TEXT(data[[#This Row],[ShipDate]],"yyyy - mmmm")</f>
        <v>2016 - June</v>
      </c>
      <c r="G1131" s="17" t="str">
        <f>data[[#This Row],[OriginCity]] &amp; " - "  &amp; data[[#This Row],[DestinationCity]]</f>
        <v>Green Bay - Joliet</v>
      </c>
      <c r="H1131" s="17" t="s">
        <v>75</v>
      </c>
      <c r="I1131" s="17" t="s">
        <v>29</v>
      </c>
      <c r="J1131" s="17">
        <v>3</v>
      </c>
      <c r="K1131" s="17" t="s">
        <v>61</v>
      </c>
      <c r="L1131" s="17" t="s">
        <v>31</v>
      </c>
      <c r="M1131" s="17" t="s">
        <v>279</v>
      </c>
      <c r="N1131" s="17">
        <v>449</v>
      </c>
      <c r="O1131" s="17">
        <v>412</v>
      </c>
      <c r="P1131" s="26">
        <f>(data[[#This Row],[LoadedMiles]]/data[[#This Row],[TotalMiles]])*100</f>
        <v>91.759465478841875</v>
      </c>
      <c r="Q1131" s="25">
        <f>data[[#This Row],[ShippingCost]]/data[[#This Row],[TotalMiles]]</f>
        <v>4.7572383073496658</v>
      </c>
      <c r="R1131" s="17">
        <v>2136</v>
      </c>
      <c r="S1131" s="25">
        <f>data[[#This Row],[Revenue]]/data[[#This Row],[TotalMiles]]</f>
        <v>6.8218262806236076</v>
      </c>
      <c r="T1131" s="26">
        <f>data[[#This Row],[Revenue]]-data[[#This Row],[ShippingCost]]</f>
        <v>927</v>
      </c>
      <c r="U1131" s="17">
        <v>3063</v>
      </c>
      <c r="V1131" s="17">
        <v>56</v>
      </c>
      <c r="W1131" s="17" t="s">
        <v>25</v>
      </c>
      <c r="X1131" s="17">
        <v>10</v>
      </c>
      <c r="Y1131" s="17">
        <f>data[[#This Row],[DeliveryDate]]-data[[#This Row],[ShipDate]]</f>
        <v>3</v>
      </c>
      <c r="Z1131" s="17" t="str">
        <f>IF(data[[#This Row],[Actual Delivery Days]]&gt;AD1132,"Yes","No")</f>
        <v>Yes</v>
      </c>
    </row>
    <row r="1132" spans="1:26">
      <c r="A1132" s="17">
        <v>11713</v>
      </c>
      <c r="B1132" s="17">
        <v>3</v>
      </c>
      <c r="C1132" s="17">
        <v>4</v>
      </c>
      <c r="D1132" s="17" t="s">
        <v>520</v>
      </c>
      <c r="E1132" s="17" t="s">
        <v>200</v>
      </c>
      <c r="F1132" s="17" t="str">
        <f>TEXT(data[[#This Row],[ShipDate]],"yyyy - mmmm")</f>
        <v>2016 - March</v>
      </c>
      <c r="G1132" s="17" t="str">
        <f>data[[#This Row],[OriginCity]] &amp; " - "  &amp; data[[#This Row],[DestinationCity]]</f>
        <v>Grand Rapids - Toledo</v>
      </c>
      <c r="H1132" s="17" t="s">
        <v>20</v>
      </c>
      <c r="I1132" s="17" t="s">
        <v>21</v>
      </c>
      <c r="J1132" s="17">
        <v>3</v>
      </c>
      <c r="K1132" s="17" t="s">
        <v>22</v>
      </c>
      <c r="L1132" s="17" t="s">
        <v>23</v>
      </c>
      <c r="M1132" s="17" t="s">
        <v>234</v>
      </c>
      <c r="N1132" s="17">
        <v>1174</v>
      </c>
      <c r="O1132" s="17">
        <v>708</v>
      </c>
      <c r="P1132" s="26">
        <f>(data[[#This Row],[LoadedMiles]]/data[[#This Row],[TotalMiles]])*100</f>
        <v>60.306643952299829</v>
      </c>
      <c r="Q1132" s="25">
        <f>data[[#This Row],[ShippingCost]]/data[[#This Row],[TotalMiles]]</f>
        <v>2.3500851788756387</v>
      </c>
      <c r="R1132" s="17">
        <v>2759</v>
      </c>
      <c r="S1132" s="25">
        <f>data[[#This Row],[Revenue]]/data[[#This Row],[TotalMiles]]</f>
        <v>1.25809199318569</v>
      </c>
      <c r="T1132" s="26">
        <f>data[[#This Row],[Revenue]]-data[[#This Row],[ShippingCost]]</f>
        <v>-1282</v>
      </c>
      <c r="U1132" s="17">
        <v>1477</v>
      </c>
      <c r="V1132" s="17">
        <v>55</v>
      </c>
      <c r="W1132" s="17" t="s">
        <v>25</v>
      </c>
      <c r="X1132" s="17">
        <v>8</v>
      </c>
      <c r="Y1132" s="17">
        <f>data[[#This Row],[DeliveryDate]]-data[[#This Row],[ShipDate]]</f>
        <v>3</v>
      </c>
      <c r="Z1132" s="17" t="str">
        <f>IF(data[[#This Row],[Actual Delivery Days]]&gt;AD1133,"Yes","No")</f>
        <v>Yes</v>
      </c>
    </row>
    <row r="1133" spans="1:26">
      <c r="A1133" s="17">
        <v>11719</v>
      </c>
      <c r="B1133" s="17">
        <v>2</v>
      </c>
      <c r="C1133" s="17">
        <v>3</v>
      </c>
      <c r="D1133" s="17" t="s">
        <v>528</v>
      </c>
      <c r="E1133" s="17" t="s">
        <v>42</v>
      </c>
      <c r="F1133" s="17" t="str">
        <f>TEXT(data[[#This Row],[ShipDate]],"yyyy - mmmm")</f>
        <v>2016 - May</v>
      </c>
      <c r="G1133" s="17" t="str">
        <f>data[[#This Row],[OriginCity]] &amp; " - "  &amp; data[[#This Row],[DestinationCity]]</f>
        <v>Detriot - Monon</v>
      </c>
      <c r="H1133" s="17" t="s">
        <v>52</v>
      </c>
      <c r="I1133" s="17" t="s">
        <v>21</v>
      </c>
      <c r="J1133" s="17">
        <v>3</v>
      </c>
      <c r="K1133" s="17" t="s">
        <v>53</v>
      </c>
      <c r="L1133" s="17" t="s">
        <v>44</v>
      </c>
      <c r="M1133" s="17" t="s">
        <v>32</v>
      </c>
      <c r="N1133" s="17">
        <v>240</v>
      </c>
      <c r="O1133" s="17">
        <v>240</v>
      </c>
      <c r="P1133" s="26">
        <f>(data[[#This Row],[LoadedMiles]]/data[[#This Row],[TotalMiles]])*100</f>
        <v>100</v>
      </c>
      <c r="Q1133" s="25">
        <f>data[[#This Row],[ShippingCost]]/data[[#This Row],[TotalMiles]]</f>
        <v>9.3458333333333332</v>
      </c>
      <c r="R1133" s="17">
        <v>2243</v>
      </c>
      <c r="S1133" s="25">
        <f>data[[#This Row],[Revenue]]/data[[#This Row],[TotalMiles]]</f>
        <v>11.4375</v>
      </c>
      <c r="T1133" s="26">
        <f>data[[#This Row],[Revenue]]-data[[#This Row],[ShippingCost]]</f>
        <v>502</v>
      </c>
      <c r="U1133" s="17">
        <v>2745</v>
      </c>
      <c r="V1133" s="17">
        <v>84</v>
      </c>
      <c r="W1133" s="17" t="s">
        <v>25</v>
      </c>
      <c r="X1133" s="17">
        <v>9</v>
      </c>
      <c r="Y1133" s="17">
        <f>data[[#This Row],[DeliveryDate]]-data[[#This Row],[ShipDate]]</f>
        <v>3</v>
      </c>
      <c r="Z1133" s="17" t="str">
        <f>IF(data[[#This Row],[Actual Delivery Days]]&gt;AD1134,"Yes","No")</f>
        <v>Yes</v>
      </c>
    </row>
    <row r="1134" spans="1:26">
      <c r="A1134" s="17">
        <v>11722</v>
      </c>
      <c r="B1134" s="17">
        <v>3</v>
      </c>
      <c r="C1134" s="17">
        <v>6</v>
      </c>
      <c r="D1134" s="17" t="s">
        <v>536</v>
      </c>
      <c r="E1134" s="17" t="s">
        <v>574</v>
      </c>
      <c r="F1134" s="17" t="str">
        <f>TEXT(data[[#This Row],[ShipDate]],"yyyy - mmmm")</f>
        <v>2016 - January</v>
      </c>
      <c r="G1134" s="17" t="str">
        <f>data[[#This Row],[OriginCity]] &amp; " - "  &amp; data[[#This Row],[DestinationCity]]</f>
        <v>Green Bay - Joliet</v>
      </c>
      <c r="H1134" s="17" t="s">
        <v>75</v>
      </c>
      <c r="I1134" s="17" t="s">
        <v>29</v>
      </c>
      <c r="J1134" s="17">
        <v>3</v>
      </c>
      <c r="K1134" s="17" t="s">
        <v>61</v>
      </c>
      <c r="L1134" s="17" t="s">
        <v>31</v>
      </c>
      <c r="M1134" s="17" t="s">
        <v>246</v>
      </c>
      <c r="N1134" s="17">
        <v>560</v>
      </c>
      <c r="O1134" s="17">
        <v>560</v>
      </c>
      <c r="P1134" s="26">
        <f>(data[[#This Row],[LoadedMiles]]/data[[#This Row],[TotalMiles]])*100</f>
        <v>100</v>
      </c>
      <c r="Q1134" s="25">
        <f>data[[#This Row],[ShippingCost]]/data[[#This Row],[TotalMiles]]</f>
        <v>13.092857142857143</v>
      </c>
      <c r="R1134" s="17">
        <v>7332</v>
      </c>
      <c r="S1134" s="25">
        <f>data[[#This Row],[Revenue]]/data[[#This Row],[TotalMiles]]</f>
        <v>14.771428571428572</v>
      </c>
      <c r="T1134" s="26">
        <f>data[[#This Row],[Revenue]]-data[[#This Row],[ShippingCost]]</f>
        <v>940</v>
      </c>
      <c r="U1134" s="17">
        <v>8272</v>
      </c>
      <c r="V1134" s="17">
        <v>81</v>
      </c>
      <c r="W1134" s="17" t="s">
        <v>25</v>
      </c>
      <c r="X1134" s="17">
        <v>10</v>
      </c>
      <c r="Y1134" s="17">
        <f>data[[#This Row],[DeliveryDate]]-data[[#This Row],[ShipDate]]</f>
        <v>3</v>
      </c>
      <c r="Z1134" s="17" t="str">
        <f>IF(data[[#This Row],[Actual Delivery Days]]&gt;AD1135,"Yes","No")</f>
        <v>Yes</v>
      </c>
    </row>
    <row r="1135" spans="1:26">
      <c r="A1135" s="17">
        <v>11737</v>
      </c>
      <c r="B1135" s="17">
        <v>2</v>
      </c>
      <c r="C1135" s="17">
        <v>2</v>
      </c>
      <c r="D1135" s="17" t="s">
        <v>556</v>
      </c>
      <c r="E1135" s="17" t="s">
        <v>337</v>
      </c>
      <c r="F1135" s="17" t="str">
        <f>TEXT(data[[#This Row],[ShipDate]],"yyyy - mmmm")</f>
        <v>2016 - March</v>
      </c>
      <c r="G1135" s="17" t="str">
        <f>data[[#This Row],[OriginCity]] &amp; " - "  &amp; data[[#This Row],[DestinationCity]]</f>
        <v>Chicago - Rockford</v>
      </c>
      <c r="H1135" s="17" t="s">
        <v>39</v>
      </c>
      <c r="I1135" s="17" t="s">
        <v>31</v>
      </c>
      <c r="J1135" s="17">
        <v>3</v>
      </c>
      <c r="K1135" s="17" t="s">
        <v>40</v>
      </c>
      <c r="L1135" s="17" t="s">
        <v>31</v>
      </c>
      <c r="M1135" s="17" t="s">
        <v>82</v>
      </c>
      <c r="N1135" s="17">
        <v>1162</v>
      </c>
      <c r="O1135" s="17">
        <v>320</v>
      </c>
      <c r="P1135" s="26">
        <f>(data[[#This Row],[LoadedMiles]]/data[[#This Row],[TotalMiles]])*100</f>
        <v>27.538726333907054</v>
      </c>
      <c r="Q1135" s="25">
        <f>data[[#This Row],[ShippingCost]]/data[[#This Row],[TotalMiles]]</f>
        <v>2.1239242685025816</v>
      </c>
      <c r="R1135" s="17">
        <v>2468</v>
      </c>
      <c r="S1135" s="25">
        <f>data[[#This Row],[Revenue]]/data[[#This Row],[TotalMiles]]</f>
        <v>2.4397590361445785</v>
      </c>
      <c r="T1135" s="26">
        <f>data[[#This Row],[Revenue]]-data[[#This Row],[ShippingCost]]</f>
        <v>367</v>
      </c>
      <c r="U1135" s="17">
        <v>2835</v>
      </c>
      <c r="V1135" s="17">
        <v>92</v>
      </c>
      <c r="W1135" s="17" t="s">
        <v>25</v>
      </c>
      <c r="X1135" s="17">
        <v>6</v>
      </c>
      <c r="Y1135" s="17">
        <f>data[[#This Row],[DeliveryDate]]-data[[#This Row],[ShipDate]]</f>
        <v>3</v>
      </c>
      <c r="Z1135" s="17" t="str">
        <f>IF(data[[#This Row],[Actual Delivery Days]]&gt;AD1136,"Yes","No")</f>
        <v>Yes</v>
      </c>
    </row>
    <row r="1136" spans="1:26">
      <c r="A1136" s="17">
        <v>11738</v>
      </c>
      <c r="B1136" s="17">
        <v>3</v>
      </c>
      <c r="C1136" s="17">
        <v>2</v>
      </c>
      <c r="D1136" s="17" t="s">
        <v>557</v>
      </c>
      <c r="E1136" s="17" t="s">
        <v>84</v>
      </c>
      <c r="F1136" s="17" t="str">
        <f>TEXT(data[[#This Row],[ShipDate]],"yyyy - mmmm")</f>
        <v>2016 - May</v>
      </c>
      <c r="G1136" s="17" t="str">
        <f>data[[#This Row],[OriginCity]] &amp; " - "  &amp; data[[#This Row],[DestinationCity]]</f>
        <v>Indianapolis - Northbrook</v>
      </c>
      <c r="H1136" s="17" t="s">
        <v>43</v>
      </c>
      <c r="I1136" s="17" t="s">
        <v>44</v>
      </c>
      <c r="J1136" s="17">
        <v>3</v>
      </c>
      <c r="K1136" s="17" t="s">
        <v>45</v>
      </c>
      <c r="L1136" s="17" t="s">
        <v>31</v>
      </c>
      <c r="M1136" s="17" t="s">
        <v>367</v>
      </c>
      <c r="N1136" s="17">
        <v>960</v>
      </c>
      <c r="O1136" s="17">
        <v>415</v>
      </c>
      <c r="P1136" s="26">
        <f>(data[[#This Row],[LoadedMiles]]/data[[#This Row],[TotalMiles]])*100</f>
        <v>43.229166666666671</v>
      </c>
      <c r="Q1136" s="25">
        <f>data[[#This Row],[ShippingCost]]/data[[#This Row],[TotalMiles]]</f>
        <v>5.4468750000000004</v>
      </c>
      <c r="R1136" s="17">
        <v>5229</v>
      </c>
      <c r="S1136" s="25">
        <f>data[[#This Row],[Revenue]]/data[[#This Row],[TotalMiles]]</f>
        <v>5.6020833333333337</v>
      </c>
      <c r="T1136" s="26">
        <f>data[[#This Row],[Revenue]]-data[[#This Row],[ShippingCost]]</f>
        <v>149</v>
      </c>
      <c r="U1136" s="17">
        <v>5378</v>
      </c>
      <c r="V1136" s="17">
        <v>89</v>
      </c>
      <c r="W1136" s="17" t="s">
        <v>25</v>
      </c>
      <c r="X1136" s="17">
        <v>8</v>
      </c>
      <c r="Y1136" s="17">
        <f>data[[#This Row],[DeliveryDate]]-data[[#This Row],[ShipDate]]</f>
        <v>3</v>
      </c>
      <c r="Z1136" s="17" t="str">
        <f>IF(data[[#This Row],[Actual Delivery Days]]&gt;AD1137,"Yes","No")</f>
        <v>Yes</v>
      </c>
    </row>
    <row r="1137" spans="1:26">
      <c r="A1137" s="17">
        <v>11741</v>
      </c>
      <c r="B1137" s="17">
        <v>3</v>
      </c>
      <c r="C1137" s="17">
        <v>2</v>
      </c>
      <c r="D1137" s="17" t="s">
        <v>560</v>
      </c>
      <c r="E1137" s="17" t="s">
        <v>316</v>
      </c>
      <c r="F1137" s="17" t="str">
        <f>TEXT(data[[#This Row],[ShipDate]],"yyyy - mmmm")</f>
        <v>2016 - June</v>
      </c>
      <c r="G1137" s="17" t="str">
        <f>data[[#This Row],[OriginCity]] &amp; " - "  &amp; data[[#This Row],[DestinationCity]]</f>
        <v>Gary - Milwaukee</v>
      </c>
      <c r="H1137" s="17" t="s">
        <v>57</v>
      </c>
      <c r="I1137" s="17" t="s">
        <v>44</v>
      </c>
      <c r="J1137" s="17">
        <v>3</v>
      </c>
      <c r="K1137" s="17" t="s">
        <v>28</v>
      </c>
      <c r="L1137" s="17" t="s">
        <v>29</v>
      </c>
      <c r="M1137" s="17" t="s">
        <v>136</v>
      </c>
      <c r="N1137" s="17">
        <v>988</v>
      </c>
      <c r="O1137" s="17">
        <v>584</v>
      </c>
      <c r="P1137" s="26">
        <f>(data[[#This Row],[LoadedMiles]]/data[[#This Row],[TotalMiles]])*100</f>
        <v>59.109311740890689</v>
      </c>
      <c r="Q1137" s="25">
        <f>data[[#This Row],[ShippingCost]]/data[[#This Row],[TotalMiles]]</f>
        <v>3.3947368421052633</v>
      </c>
      <c r="R1137" s="17">
        <v>3354</v>
      </c>
      <c r="S1137" s="25">
        <f>data[[#This Row],[Revenue]]/data[[#This Row],[TotalMiles]]</f>
        <v>4.3309716599190287</v>
      </c>
      <c r="T1137" s="26">
        <f>data[[#This Row],[Revenue]]-data[[#This Row],[ShippingCost]]</f>
        <v>925</v>
      </c>
      <c r="U1137" s="17">
        <v>4279</v>
      </c>
      <c r="V1137" s="17">
        <v>61</v>
      </c>
      <c r="W1137" s="17" t="s">
        <v>25</v>
      </c>
      <c r="X1137" s="17">
        <v>8</v>
      </c>
      <c r="Y1137" s="17">
        <f>data[[#This Row],[DeliveryDate]]-data[[#This Row],[ShipDate]]</f>
        <v>3</v>
      </c>
      <c r="Z1137" s="17" t="str">
        <f>IF(data[[#This Row],[Actual Delivery Days]]&gt;AD1138,"Yes","No")</f>
        <v>Yes</v>
      </c>
    </row>
    <row r="1138" spans="1:26">
      <c r="A1138" s="17">
        <v>11755</v>
      </c>
      <c r="B1138" s="17">
        <v>3</v>
      </c>
      <c r="C1138" s="17">
        <v>5</v>
      </c>
      <c r="D1138" s="17" t="s">
        <v>576</v>
      </c>
      <c r="E1138" s="17" t="s">
        <v>179</v>
      </c>
      <c r="F1138" s="17" t="str">
        <f>TEXT(data[[#This Row],[ShipDate]],"yyyy - mmmm")</f>
        <v>2016 - July</v>
      </c>
      <c r="G1138" s="17" t="str">
        <f>data[[#This Row],[OriginCity]] &amp; " - "  &amp; data[[#This Row],[DestinationCity]]</f>
        <v>Skokie - Chicago</v>
      </c>
      <c r="H1138" s="17" t="s">
        <v>35</v>
      </c>
      <c r="I1138" s="17" t="s">
        <v>31</v>
      </c>
      <c r="J1138" s="17">
        <v>3</v>
      </c>
      <c r="K1138" s="17" t="s">
        <v>39</v>
      </c>
      <c r="L1138" s="17" t="s">
        <v>31</v>
      </c>
      <c r="M1138" s="17" t="s">
        <v>180</v>
      </c>
      <c r="N1138" s="17">
        <v>409</v>
      </c>
      <c r="O1138" s="17">
        <v>409</v>
      </c>
      <c r="P1138" s="26">
        <f>(data[[#This Row],[LoadedMiles]]/data[[#This Row],[TotalMiles]])*100</f>
        <v>100</v>
      </c>
      <c r="Q1138" s="25">
        <f>data[[#This Row],[ShippingCost]]/data[[#This Row],[TotalMiles]]</f>
        <v>12.398533007334963</v>
      </c>
      <c r="R1138" s="17">
        <v>5071</v>
      </c>
      <c r="S1138" s="25">
        <f>data[[#This Row],[Revenue]]/data[[#This Row],[TotalMiles]]</f>
        <v>13.843520782396087</v>
      </c>
      <c r="T1138" s="26">
        <f>data[[#This Row],[Revenue]]-data[[#This Row],[ShippingCost]]</f>
        <v>591</v>
      </c>
      <c r="U1138" s="17">
        <v>5662</v>
      </c>
      <c r="V1138" s="17">
        <v>83</v>
      </c>
      <c r="W1138" s="17" t="s">
        <v>25</v>
      </c>
      <c r="X1138" s="17">
        <v>9</v>
      </c>
      <c r="Y1138" s="17">
        <f>data[[#This Row],[DeliveryDate]]-data[[#This Row],[ShipDate]]</f>
        <v>3</v>
      </c>
      <c r="Z1138" s="17" t="str">
        <f>IF(data[[#This Row],[Actual Delivery Days]]&gt;AD1139,"Yes","No")</f>
        <v>Yes</v>
      </c>
    </row>
    <row r="1139" spans="1:26">
      <c r="A1139" s="17">
        <v>11773</v>
      </c>
      <c r="B1139" s="17">
        <v>3</v>
      </c>
      <c r="C1139" s="17">
        <v>5</v>
      </c>
      <c r="D1139" s="17" t="s">
        <v>598</v>
      </c>
      <c r="E1139" s="17" t="s">
        <v>147</v>
      </c>
      <c r="F1139" s="17" t="str">
        <f>TEXT(data[[#This Row],[ShipDate]],"yyyy - mmmm")</f>
        <v>2016 - June</v>
      </c>
      <c r="G1139" s="17" t="str">
        <f>data[[#This Row],[OriginCity]] &amp; " - "  &amp; data[[#This Row],[DestinationCity]]</f>
        <v>Dayton - Elgin</v>
      </c>
      <c r="H1139" s="17" t="s">
        <v>93</v>
      </c>
      <c r="I1139" s="17" t="s">
        <v>23</v>
      </c>
      <c r="J1139" s="17">
        <v>3</v>
      </c>
      <c r="K1139" s="17" t="s">
        <v>94</v>
      </c>
      <c r="L1139" s="17" t="s">
        <v>31</v>
      </c>
      <c r="M1139" s="17" t="s">
        <v>315</v>
      </c>
      <c r="N1139" s="17">
        <v>650</v>
      </c>
      <c r="O1139" s="17">
        <v>557</v>
      </c>
      <c r="P1139" s="26">
        <f>(data[[#This Row],[LoadedMiles]]/data[[#This Row],[TotalMiles]])*100</f>
        <v>85.692307692307693</v>
      </c>
      <c r="Q1139" s="25">
        <f>data[[#This Row],[ShippingCost]]/data[[#This Row],[TotalMiles]]</f>
        <v>5.86</v>
      </c>
      <c r="R1139" s="17">
        <v>3809</v>
      </c>
      <c r="S1139" s="25">
        <f>data[[#This Row],[Revenue]]/data[[#This Row],[TotalMiles]]</f>
        <v>6.9184615384615382</v>
      </c>
      <c r="T1139" s="26">
        <f>data[[#This Row],[Revenue]]-data[[#This Row],[ShippingCost]]</f>
        <v>688</v>
      </c>
      <c r="U1139" s="17">
        <v>4497</v>
      </c>
      <c r="V1139" s="17">
        <v>73</v>
      </c>
      <c r="W1139" s="17" t="s">
        <v>25</v>
      </c>
      <c r="X1139" s="17">
        <v>3</v>
      </c>
      <c r="Y1139" s="17">
        <f>data[[#This Row],[DeliveryDate]]-data[[#This Row],[ShipDate]]</f>
        <v>1</v>
      </c>
      <c r="Z1139" s="17" t="str">
        <f>IF(data[[#This Row],[Actual Delivery Days]]&gt;AD1140,"Yes","No")</f>
        <v>Yes</v>
      </c>
    </row>
    <row r="1140" spans="1:26">
      <c r="A1140" s="17">
        <v>11792</v>
      </c>
      <c r="B1140" s="17">
        <v>2</v>
      </c>
      <c r="C1140" s="17">
        <v>5</v>
      </c>
      <c r="D1140" s="17" t="s">
        <v>77</v>
      </c>
      <c r="E1140" s="17" t="s">
        <v>49</v>
      </c>
      <c r="F1140" s="17" t="str">
        <f>TEXT(data[[#This Row],[ShipDate]],"yyyy - mmmm")</f>
        <v>2016 - April</v>
      </c>
      <c r="G1140" s="17" t="str">
        <f>data[[#This Row],[OriginCity]] &amp; " - "  &amp; data[[#This Row],[DestinationCity]]</f>
        <v>Naperville - Indianapolis</v>
      </c>
      <c r="H1140" s="17" t="s">
        <v>48</v>
      </c>
      <c r="I1140" s="17" t="s">
        <v>31</v>
      </c>
      <c r="J1140" s="17">
        <v>3</v>
      </c>
      <c r="K1140" s="17" t="s">
        <v>43</v>
      </c>
      <c r="L1140" s="17" t="s">
        <v>44</v>
      </c>
      <c r="M1140" s="17" t="s">
        <v>49</v>
      </c>
      <c r="N1140" s="17">
        <v>751</v>
      </c>
      <c r="O1140" s="17">
        <v>552</v>
      </c>
      <c r="P1140" s="26">
        <f>(data[[#This Row],[LoadedMiles]]/data[[#This Row],[TotalMiles]])*100</f>
        <v>73.501997336884145</v>
      </c>
      <c r="Q1140" s="25">
        <f>data[[#This Row],[ShippingCost]]/data[[#This Row],[TotalMiles]]</f>
        <v>10.041278295605858</v>
      </c>
      <c r="R1140" s="17">
        <v>7541</v>
      </c>
      <c r="S1140" s="25">
        <f>data[[#This Row],[Revenue]]/data[[#This Row],[TotalMiles]]</f>
        <v>11.079893475366179</v>
      </c>
      <c r="T1140" s="26">
        <f>data[[#This Row],[Revenue]]-data[[#This Row],[ShippingCost]]</f>
        <v>780</v>
      </c>
      <c r="U1140" s="17">
        <v>8321</v>
      </c>
      <c r="V1140" s="17">
        <v>65</v>
      </c>
      <c r="W1140" s="17" t="s">
        <v>25</v>
      </c>
      <c r="X1140" s="17">
        <v>4</v>
      </c>
      <c r="Y1140" s="17">
        <f>data[[#This Row],[DeliveryDate]]-data[[#This Row],[ShipDate]]</f>
        <v>0</v>
      </c>
      <c r="Z1140" s="17" t="str">
        <f>IF(data[[#This Row],[Actual Delivery Days]]&gt;AD1141,"Yes","No")</f>
        <v>No</v>
      </c>
    </row>
    <row r="1141" spans="1:26">
      <c r="A1141" s="17">
        <v>11793</v>
      </c>
      <c r="B1141" s="17">
        <v>2</v>
      </c>
      <c r="C1141" s="17">
        <v>2</v>
      </c>
      <c r="D1141" s="17" t="s">
        <v>80</v>
      </c>
      <c r="E1141" s="17" t="s">
        <v>222</v>
      </c>
      <c r="F1141" s="17" t="str">
        <f>TEXT(data[[#This Row],[ShipDate]],"yyyy - mmmm")</f>
        <v>2016 - April</v>
      </c>
      <c r="G1141" s="17" t="str">
        <f>data[[#This Row],[OriginCity]] &amp; " - "  &amp; data[[#This Row],[DestinationCity]]</f>
        <v>Rockford - Green Bay</v>
      </c>
      <c r="H1141" s="17" t="s">
        <v>40</v>
      </c>
      <c r="I1141" s="17" t="s">
        <v>31</v>
      </c>
      <c r="J1141" s="17">
        <v>3</v>
      </c>
      <c r="K1141" s="17" t="s">
        <v>75</v>
      </c>
      <c r="L1141" s="17" t="s">
        <v>29</v>
      </c>
      <c r="M1141" s="17" t="s">
        <v>67</v>
      </c>
      <c r="N1141" s="17">
        <v>632</v>
      </c>
      <c r="O1141" s="17">
        <v>239</v>
      </c>
      <c r="P1141" s="26">
        <f>(data[[#This Row],[LoadedMiles]]/data[[#This Row],[TotalMiles]])*100</f>
        <v>37.816455696202532</v>
      </c>
      <c r="Q1141" s="25">
        <f>data[[#This Row],[ShippingCost]]/data[[#This Row],[TotalMiles]]</f>
        <v>0.36234177215189872</v>
      </c>
      <c r="R1141" s="17">
        <v>229</v>
      </c>
      <c r="S1141" s="25">
        <f>data[[#This Row],[Revenue]]/data[[#This Row],[TotalMiles]]</f>
        <v>1.5664556962025316</v>
      </c>
      <c r="T1141" s="26">
        <f>data[[#This Row],[Revenue]]-data[[#This Row],[ShippingCost]]</f>
        <v>761</v>
      </c>
      <c r="U1141" s="17">
        <v>990</v>
      </c>
      <c r="V1141" s="17">
        <v>65</v>
      </c>
      <c r="W1141" s="17" t="s">
        <v>25</v>
      </c>
      <c r="X1141" s="17">
        <v>3</v>
      </c>
      <c r="Y1141" s="17">
        <f>data[[#This Row],[DeliveryDate]]-data[[#This Row],[ShipDate]]</f>
        <v>3</v>
      </c>
      <c r="Z1141" s="17" t="str">
        <f>IF(data[[#This Row],[Actual Delivery Days]]&gt;AD1142,"Yes","No")</f>
        <v>Yes</v>
      </c>
    </row>
    <row r="1142" spans="1:26">
      <c r="A1142" s="17">
        <v>11796</v>
      </c>
      <c r="B1142" s="17">
        <v>3</v>
      </c>
      <c r="C1142" s="17">
        <v>4</v>
      </c>
      <c r="D1142" s="17" t="s">
        <v>91</v>
      </c>
      <c r="E1142" s="17" t="s">
        <v>184</v>
      </c>
      <c r="F1142" s="17" t="str">
        <f>TEXT(data[[#This Row],[ShipDate]],"yyyy - mmmm")</f>
        <v>2016 - August</v>
      </c>
      <c r="G1142" s="17" t="str">
        <f>data[[#This Row],[OriginCity]] &amp; " - "  &amp; data[[#This Row],[DestinationCity]]</f>
        <v>Dayton - Elgin</v>
      </c>
      <c r="H1142" s="17" t="s">
        <v>93</v>
      </c>
      <c r="I1142" s="17" t="s">
        <v>23</v>
      </c>
      <c r="J1142" s="17">
        <v>3</v>
      </c>
      <c r="K1142" s="17" t="s">
        <v>94</v>
      </c>
      <c r="L1142" s="17" t="s">
        <v>31</v>
      </c>
      <c r="M1142" s="17" t="s">
        <v>387</v>
      </c>
      <c r="N1142" s="17">
        <v>880</v>
      </c>
      <c r="O1142" s="17">
        <v>362</v>
      </c>
      <c r="P1142" s="26">
        <f>(data[[#This Row],[LoadedMiles]]/data[[#This Row],[TotalMiles]])*100</f>
        <v>41.13636363636364</v>
      </c>
      <c r="Q1142" s="25">
        <f>data[[#This Row],[ShippingCost]]/data[[#This Row],[TotalMiles]]</f>
        <v>7.144318181818182</v>
      </c>
      <c r="R1142" s="17">
        <v>6287</v>
      </c>
      <c r="S1142" s="25">
        <f>data[[#This Row],[Revenue]]/data[[#This Row],[TotalMiles]]</f>
        <v>4.8863636363636367</v>
      </c>
      <c r="T1142" s="26">
        <f>data[[#This Row],[Revenue]]-data[[#This Row],[ShippingCost]]</f>
        <v>-1987</v>
      </c>
      <c r="U1142" s="17">
        <v>4300</v>
      </c>
      <c r="V1142" s="17">
        <v>50</v>
      </c>
      <c r="W1142" s="17" t="s">
        <v>25</v>
      </c>
      <c r="X1142" s="17">
        <v>1</v>
      </c>
      <c r="Y1142" s="17">
        <f>data[[#This Row],[DeliveryDate]]-data[[#This Row],[ShipDate]]</f>
        <v>3</v>
      </c>
      <c r="Z1142" s="17" t="str">
        <f>IF(data[[#This Row],[Actual Delivery Days]]&gt;AD1143,"Yes","No")</f>
        <v>Yes</v>
      </c>
    </row>
    <row r="1143" spans="1:26">
      <c r="A1143" s="17">
        <v>11800</v>
      </c>
      <c r="B1143" s="17">
        <v>2</v>
      </c>
      <c r="C1143" s="17">
        <v>6</v>
      </c>
      <c r="D1143" s="17" t="s">
        <v>107</v>
      </c>
      <c r="E1143" s="17" t="s">
        <v>531</v>
      </c>
      <c r="F1143" s="17" t="str">
        <f>TEXT(data[[#This Row],[ShipDate]],"yyyy - mmmm")</f>
        <v>2016 - January</v>
      </c>
      <c r="G1143" s="17" t="str">
        <f>data[[#This Row],[OriginCity]] &amp; " - "  &amp; data[[#This Row],[DestinationCity]]</f>
        <v>Elgin - Cincinnati</v>
      </c>
      <c r="H1143" s="17" t="s">
        <v>94</v>
      </c>
      <c r="I1143" s="17" t="s">
        <v>31</v>
      </c>
      <c r="J1143" s="17">
        <v>3</v>
      </c>
      <c r="K1143" s="17" t="s">
        <v>89</v>
      </c>
      <c r="L1143" s="17" t="s">
        <v>23</v>
      </c>
      <c r="M1143" s="17" t="s">
        <v>625</v>
      </c>
      <c r="N1143" s="17">
        <v>1135</v>
      </c>
      <c r="O1143" s="17">
        <v>518</v>
      </c>
      <c r="P1143" s="26">
        <f>(data[[#This Row],[LoadedMiles]]/data[[#This Row],[TotalMiles]])*100</f>
        <v>45.63876651982379</v>
      </c>
      <c r="Q1143" s="25">
        <f>data[[#This Row],[ShippingCost]]/data[[#This Row],[TotalMiles]]</f>
        <v>0.37973568281938325</v>
      </c>
      <c r="R1143" s="17">
        <v>431</v>
      </c>
      <c r="S1143" s="25">
        <f>data[[#This Row],[Revenue]]/data[[#This Row],[TotalMiles]]</f>
        <v>0.76828193832599123</v>
      </c>
      <c r="T1143" s="26">
        <f>data[[#This Row],[Revenue]]-data[[#This Row],[ShippingCost]]</f>
        <v>441</v>
      </c>
      <c r="U1143" s="17">
        <v>872</v>
      </c>
      <c r="V1143" s="17">
        <v>66</v>
      </c>
      <c r="W1143" s="17" t="s">
        <v>25</v>
      </c>
      <c r="X1143" s="17">
        <v>8</v>
      </c>
      <c r="Y1143" s="17">
        <f>data[[#This Row],[DeliveryDate]]-data[[#This Row],[ShipDate]]</f>
        <v>1</v>
      </c>
      <c r="Z1143" s="17" t="str">
        <f>IF(data[[#This Row],[Actual Delivery Days]]&gt;AD1144,"Yes","No")</f>
        <v>Yes</v>
      </c>
    </row>
    <row r="1144" spans="1:26">
      <c r="A1144" s="17">
        <v>11806</v>
      </c>
      <c r="B1144" s="17">
        <v>3</v>
      </c>
      <c r="C1144" s="17">
        <v>4</v>
      </c>
      <c r="D1144" s="17" t="s">
        <v>128</v>
      </c>
      <c r="E1144" s="17" t="s">
        <v>324</v>
      </c>
      <c r="F1144" s="17" t="str">
        <f>TEXT(data[[#This Row],[ShipDate]],"yyyy - mmmm")</f>
        <v>2016 - March</v>
      </c>
      <c r="G1144" s="17" t="str">
        <f>data[[#This Row],[OriginCity]] &amp; " - "  &amp; data[[#This Row],[DestinationCity]]</f>
        <v>Indianapolis - Northbrook</v>
      </c>
      <c r="H1144" s="17" t="s">
        <v>43</v>
      </c>
      <c r="I1144" s="17" t="s">
        <v>44</v>
      </c>
      <c r="J1144" s="17">
        <v>3</v>
      </c>
      <c r="K1144" s="17" t="s">
        <v>45</v>
      </c>
      <c r="L1144" s="17" t="s">
        <v>31</v>
      </c>
      <c r="M1144" s="17" t="s">
        <v>296</v>
      </c>
      <c r="N1144" s="17">
        <v>988</v>
      </c>
      <c r="O1144" s="17">
        <v>352</v>
      </c>
      <c r="P1144" s="26">
        <f>(data[[#This Row],[LoadedMiles]]/data[[#This Row],[TotalMiles]])*100</f>
        <v>35.627530364372468</v>
      </c>
      <c r="Q1144" s="25">
        <f>data[[#This Row],[ShippingCost]]/data[[#This Row],[TotalMiles]]</f>
        <v>7.6761133603238862</v>
      </c>
      <c r="R1144" s="17">
        <v>7584</v>
      </c>
      <c r="S1144" s="25">
        <f>data[[#This Row],[Revenue]]/data[[#This Row],[TotalMiles]]</f>
        <v>5.1163967611336032</v>
      </c>
      <c r="T1144" s="26">
        <f>data[[#This Row],[Revenue]]-data[[#This Row],[ShippingCost]]</f>
        <v>-2529</v>
      </c>
      <c r="U1144" s="17">
        <v>5055</v>
      </c>
      <c r="V1144" s="17">
        <v>64</v>
      </c>
      <c r="W1144" s="17" t="s">
        <v>25</v>
      </c>
      <c r="X1144" s="17">
        <v>10</v>
      </c>
      <c r="Y1144" s="17">
        <f>data[[#This Row],[DeliveryDate]]-data[[#This Row],[ShipDate]]</f>
        <v>3</v>
      </c>
      <c r="Z1144" s="17" t="str">
        <f>IF(data[[#This Row],[Actual Delivery Days]]&gt;AD1145,"Yes","No")</f>
        <v>Yes</v>
      </c>
    </row>
    <row r="1145" spans="1:26">
      <c r="A1145" s="17">
        <v>10002</v>
      </c>
      <c r="B1145" s="17">
        <v>2</v>
      </c>
      <c r="C1145" s="17">
        <v>7</v>
      </c>
      <c r="D1145" s="17" t="s">
        <v>26</v>
      </c>
      <c r="E1145" s="17" t="s">
        <v>27</v>
      </c>
      <c r="F1145" s="17" t="str">
        <f>TEXT(data[[#This Row],[ShipDate]],"yyyy - mmmm")</f>
        <v>2016 - May</v>
      </c>
      <c r="G1145" s="17" t="str">
        <f>data[[#This Row],[OriginCity]] &amp; " - "  &amp; data[[#This Row],[DestinationCity]]</f>
        <v>Milwaukee - Springfield</v>
      </c>
      <c r="H1145" s="17" t="s">
        <v>28</v>
      </c>
      <c r="I1145" s="17" t="s">
        <v>29</v>
      </c>
      <c r="J1145" s="17">
        <v>2</v>
      </c>
      <c r="K1145" s="17" t="s">
        <v>30</v>
      </c>
      <c r="L1145" s="17" t="s">
        <v>31</v>
      </c>
      <c r="M1145" s="17" t="s">
        <v>32</v>
      </c>
      <c r="N1145" s="17">
        <v>317</v>
      </c>
      <c r="O1145" s="17">
        <v>317</v>
      </c>
      <c r="P1145" s="26">
        <f>(data[[#This Row],[LoadedMiles]]/data[[#This Row],[TotalMiles]])*100</f>
        <v>100</v>
      </c>
      <c r="Q1145" s="25">
        <f>data[[#This Row],[ShippingCost]]/data[[#This Row],[TotalMiles]]</f>
        <v>2.0378548895899056</v>
      </c>
      <c r="R1145" s="17">
        <v>646</v>
      </c>
      <c r="S1145" s="25">
        <f>data[[#This Row],[Revenue]]/data[[#This Row],[TotalMiles]]</f>
        <v>3.7823343848580442</v>
      </c>
      <c r="T1145" s="26">
        <f>data[[#This Row],[Revenue]]-data[[#This Row],[ShippingCost]]</f>
        <v>553</v>
      </c>
      <c r="U1145" s="17">
        <v>1199</v>
      </c>
      <c r="V1145" s="17">
        <v>62</v>
      </c>
      <c r="W1145" s="17" t="s">
        <v>25</v>
      </c>
      <c r="X1145" s="17">
        <v>8</v>
      </c>
      <c r="Y1145" s="17">
        <f>data[[#This Row],[DeliveryDate]]-data[[#This Row],[ShipDate]]</f>
        <v>2</v>
      </c>
      <c r="Z1145" s="17" t="str">
        <f>IF(data[[#This Row],[Actual Delivery Days]]&gt;AD1146,"Yes","No")</f>
        <v>Yes</v>
      </c>
    </row>
    <row r="1146" spans="1:26">
      <c r="A1146" s="17">
        <v>10018</v>
      </c>
      <c r="B1146" s="17">
        <v>1</v>
      </c>
      <c r="C1146" s="17">
        <v>6</v>
      </c>
      <c r="D1146" s="17" t="s">
        <v>107</v>
      </c>
      <c r="E1146" s="17" t="s">
        <v>108</v>
      </c>
      <c r="F1146" s="17" t="str">
        <f>TEXT(data[[#This Row],[ShipDate]],"yyyy - mmmm")</f>
        <v>2016 - May</v>
      </c>
      <c r="G1146" s="17" t="str">
        <f>data[[#This Row],[OriginCity]] &amp; " - "  &amp; data[[#This Row],[DestinationCity]]</f>
        <v>Elgin - Cincinnati</v>
      </c>
      <c r="H1146" s="17" t="s">
        <v>94</v>
      </c>
      <c r="I1146" s="17" t="s">
        <v>31</v>
      </c>
      <c r="J1146" s="17">
        <v>2</v>
      </c>
      <c r="K1146" s="17" t="s">
        <v>89</v>
      </c>
      <c r="L1146" s="17" t="s">
        <v>23</v>
      </c>
      <c r="M1146" s="17" t="s">
        <v>109</v>
      </c>
      <c r="N1146" s="17">
        <v>220</v>
      </c>
      <c r="O1146" s="17">
        <v>220</v>
      </c>
      <c r="P1146" s="26">
        <f>(data[[#This Row],[LoadedMiles]]/data[[#This Row],[TotalMiles]])*100</f>
        <v>100</v>
      </c>
      <c r="Q1146" s="25">
        <f>data[[#This Row],[ShippingCost]]/data[[#This Row],[TotalMiles]]</f>
        <v>26.236363636363638</v>
      </c>
      <c r="R1146" s="17">
        <v>5772</v>
      </c>
      <c r="S1146" s="25">
        <f>data[[#This Row],[Revenue]]/data[[#This Row],[TotalMiles]]</f>
        <v>29.504545454545454</v>
      </c>
      <c r="T1146" s="26">
        <f>data[[#This Row],[Revenue]]-data[[#This Row],[ShippingCost]]</f>
        <v>719</v>
      </c>
      <c r="U1146" s="17">
        <v>6491</v>
      </c>
      <c r="V1146" s="17">
        <v>83</v>
      </c>
      <c r="W1146" s="17" t="s">
        <v>25</v>
      </c>
      <c r="X1146" s="17">
        <v>9</v>
      </c>
      <c r="Y1146" s="17">
        <f>data[[#This Row],[DeliveryDate]]-data[[#This Row],[ShipDate]]</f>
        <v>1</v>
      </c>
      <c r="Z1146" s="17" t="str">
        <f>IF(data[[#This Row],[Actual Delivery Days]]&gt;AD1147,"Yes","No")</f>
        <v>Yes</v>
      </c>
    </row>
    <row r="1147" spans="1:26">
      <c r="A1147" s="17">
        <v>10019</v>
      </c>
      <c r="B1147" s="17">
        <v>2</v>
      </c>
      <c r="C1147" s="17">
        <v>7</v>
      </c>
      <c r="D1147" s="17" t="s">
        <v>110</v>
      </c>
      <c r="E1147" s="17" t="s">
        <v>111</v>
      </c>
      <c r="F1147" s="17" t="str">
        <f>TEXT(data[[#This Row],[ShipDate]],"yyyy - mmmm")</f>
        <v>2016 - January</v>
      </c>
      <c r="G1147" s="17" t="str">
        <f>data[[#This Row],[OriginCity]] &amp; " - "  &amp; data[[#This Row],[DestinationCity]]</f>
        <v>Skokie - Chicago</v>
      </c>
      <c r="H1147" s="17" t="s">
        <v>35</v>
      </c>
      <c r="I1147" s="17" t="s">
        <v>31</v>
      </c>
      <c r="J1147" s="17">
        <v>2</v>
      </c>
      <c r="K1147" s="17" t="s">
        <v>39</v>
      </c>
      <c r="L1147" s="17" t="s">
        <v>31</v>
      </c>
      <c r="M1147" s="17" t="s">
        <v>112</v>
      </c>
      <c r="N1147" s="17">
        <v>786</v>
      </c>
      <c r="O1147" s="17">
        <v>347</v>
      </c>
      <c r="P1147" s="26">
        <f>(data[[#This Row],[LoadedMiles]]/data[[#This Row],[TotalMiles]])*100</f>
        <v>44.147582697201017</v>
      </c>
      <c r="Q1147" s="25">
        <f>data[[#This Row],[ShippingCost]]/data[[#This Row],[TotalMiles]]</f>
        <v>4.83587786259542</v>
      </c>
      <c r="R1147" s="17">
        <v>3801</v>
      </c>
      <c r="S1147" s="25">
        <f>data[[#This Row],[Revenue]]/data[[#This Row],[TotalMiles]]</f>
        <v>5.1908396946564883</v>
      </c>
      <c r="T1147" s="26">
        <f>data[[#This Row],[Revenue]]-data[[#This Row],[ShippingCost]]</f>
        <v>279</v>
      </c>
      <c r="U1147" s="17">
        <v>4080</v>
      </c>
      <c r="V1147" s="17">
        <v>54</v>
      </c>
      <c r="W1147" s="17" t="s">
        <v>25</v>
      </c>
      <c r="X1147" s="17">
        <v>7</v>
      </c>
      <c r="Y1147" s="17">
        <f>data[[#This Row],[DeliveryDate]]-data[[#This Row],[ShipDate]]</f>
        <v>2</v>
      </c>
      <c r="Z1147" s="17" t="str">
        <f>IF(data[[#This Row],[Actual Delivery Days]]&gt;AD1148,"Yes","No")</f>
        <v>Yes</v>
      </c>
    </row>
    <row r="1148" spans="1:26">
      <c r="A1148" s="17">
        <v>10021</v>
      </c>
      <c r="B1148" s="17">
        <v>2</v>
      </c>
      <c r="C1148" s="17">
        <v>6</v>
      </c>
      <c r="D1148" s="17" t="s">
        <v>115</v>
      </c>
      <c r="E1148" s="17" t="s">
        <v>116</v>
      </c>
      <c r="F1148" s="17" t="str">
        <f>TEXT(data[[#This Row],[ShipDate]],"yyyy - mmmm")</f>
        <v>2016 - July</v>
      </c>
      <c r="G1148" s="17" t="str">
        <f>data[[#This Row],[OriginCity]] &amp; " - "  &amp; data[[#This Row],[DestinationCity]]</f>
        <v>Davenport - Appleton</v>
      </c>
      <c r="H1148" s="17" t="s">
        <v>105</v>
      </c>
      <c r="I1148" s="17" t="s">
        <v>106</v>
      </c>
      <c r="J1148" s="17">
        <v>2</v>
      </c>
      <c r="K1148" s="17" t="s">
        <v>85</v>
      </c>
      <c r="L1148" s="17" t="s">
        <v>29</v>
      </c>
      <c r="M1148" s="17" t="s">
        <v>24</v>
      </c>
      <c r="N1148" s="17">
        <v>874</v>
      </c>
      <c r="O1148" s="17">
        <v>325</v>
      </c>
      <c r="P1148" s="26">
        <f>(data[[#This Row],[LoadedMiles]]/data[[#This Row],[TotalMiles]])*100</f>
        <v>37.185354691075517</v>
      </c>
      <c r="Q1148" s="25">
        <f>data[[#This Row],[ShippingCost]]/data[[#This Row],[TotalMiles]]</f>
        <v>0.6167048054919908</v>
      </c>
      <c r="R1148" s="17">
        <v>539</v>
      </c>
      <c r="S1148" s="25">
        <f>data[[#This Row],[Revenue]]/data[[#This Row],[TotalMiles]]</f>
        <v>1.402745995423341</v>
      </c>
      <c r="T1148" s="26">
        <f>data[[#This Row],[Revenue]]-data[[#This Row],[ShippingCost]]</f>
        <v>687</v>
      </c>
      <c r="U1148" s="17">
        <v>1226</v>
      </c>
      <c r="V1148" s="17">
        <v>82</v>
      </c>
      <c r="W1148" s="17" t="s">
        <v>25</v>
      </c>
      <c r="X1148" s="17">
        <v>9</v>
      </c>
      <c r="Y1148" s="17">
        <f>data[[#This Row],[DeliveryDate]]-data[[#This Row],[ShipDate]]</f>
        <v>2</v>
      </c>
      <c r="Z1148" s="17" t="str">
        <f>IF(data[[#This Row],[Actual Delivery Days]]&gt;AD1149,"Yes","No")</f>
        <v>Yes</v>
      </c>
    </row>
    <row r="1149" spans="1:26">
      <c r="A1149" s="17">
        <v>10022</v>
      </c>
      <c r="B1149" s="17">
        <v>2</v>
      </c>
      <c r="C1149" s="17">
        <v>6</v>
      </c>
      <c r="D1149" s="17" t="s">
        <v>120</v>
      </c>
      <c r="E1149" s="17" t="s">
        <v>121</v>
      </c>
      <c r="F1149" s="17" t="str">
        <f>TEXT(data[[#This Row],[ShipDate]],"yyyy - mmmm")</f>
        <v>2016 - April</v>
      </c>
      <c r="G1149" s="17" t="str">
        <f>data[[#This Row],[OriginCity]] &amp; " - "  &amp; data[[#This Row],[DestinationCity]]</f>
        <v>Milwaukee - Springfield</v>
      </c>
      <c r="H1149" s="17" t="s">
        <v>28</v>
      </c>
      <c r="I1149" s="17" t="s">
        <v>29</v>
      </c>
      <c r="J1149" s="17">
        <v>2</v>
      </c>
      <c r="K1149" s="17" t="s">
        <v>30</v>
      </c>
      <c r="L1149" s="17" t="s">
        <v>31</v>
      </c>
      <c r="M1149" s="17" t="s">
        <v>122</v>
      </c>
      <c r="N1149" s="17">
        <v>1068</v>
      </c>
      <c r="O1149" s="17">
        <v>267</v>
      </c>
      <c r="P1149" s="26">
        <f>(data[[#This Row],[LoadedMiles]]/data[[#This Row],[TotalMiles]])*100</f>
        <v>25</v>
      </c>
      <c r="Q1149" s="25">
        <f>data[[#This Row],[ShippingCost]]/data[[#This Row],[TotalMiles]]</f>
        <v>8.2397003745318345E-2</v>
      </c>
      <c r="R1149" s="17">
        <v>88</v>
      </c>
      <c r="S1149" s="25">
        <f>data[[#This Row],[Revenue]]/data[[#This Row],[TotalMiles]]</f>
        <v>0.85299625468164797</v>
      </c>
      <c r="T1149" s="26">
        <f>data[[#This Row],[Revenue]]-data[[#This Row],[ShippingCost]]</f>
        <v>823</v>
      </c>
      <c r="U1149" s="17">
        <v>911</v>
      </c>
      <c r="V1149" s="17">
        <v>73</v>
      </c>
      <c r="W1149" s="17" t="s">
        <v>25</v>
      </c>
      <c r="X1149" s="17">
        <v>7</v>
      </c>
      <c r="Y1149" s="17">
        <f>data[[#This Row],[DeliveryDate]]-data[[#This Row],[ShipDate]]</f>
        <v>2</v>
      </c>
      <c r="Z1149" s="17" t="str">
        <f>IF(data[[#This Row],[Actual Delivery Days]]&gt;AD1150,"Yes","No")</f>
        <v>Yes</v>
      </c>
    </row>
    <row r="1150" spans="1:26">
      <c r="A1150" s="17">
        <v>10023</v>
      </c>
      <c r="B1150" s="17">
        <v>2</v>
      </c>
      <c r="C1150" s="17">
        <v>8</v>
      </c>
      <c r="D1150" s="17" t="s">
        <v>123</v>
      </c>
      <c r="E1150" s="17" t="s">
        <v>124</v>
      </c>
      <c r="F1150" s="17" t="str">
        <f>TEXT(data[[#This Row],[ShipDate]],"yyyy - mmmm")</f>
        <v>2016 - March</v>
      </c>
      <c r="G1150" s="17" t="str">
        <f>data[[#This Row],[OriginCity]] &amp; " - "  &amp; data[[#This Row],[DestinationCity]]</f>
        <v>Springfield - Skokie</v>
      </c>
      <c r="H1150" s="17" t="s">
        <v>30</v>
      </c>
      <c r="I1150" s="17" t="s">
        <v>31</v>
      </c>
      <c r="J1150" s="17">
        <v>2</v>
      </c>
      <c r="K1150" s="17" t="s">
        <v>35</v>
      </c>
      <c r="L1150" s="17" t="s">
        <v>31</v>
      </c>
      <c r="M1150" s="17" t="s">
        <v>125</v>
      </c>
      <c r="N1150" s="17">
        <v>680</v>
      </c>
      <c r="O1150" s="17">
        <v>303</v>
      </c>
      <c r="P1150" s="26">
        <f>(data[[#This Row],[LoadedMiles]]/data[[#This Row],[TotalMiles]])*100</f>
        <v>44.558823529411768</v>
      </c>
      <c r="Q1150" s="25">
        <f>data[[#This Row],[ShippingCost]]/data[[#This Row],[TotalMiles]]</f>
        <v>2.0838235294117649</v>
      </c>
      <c r="R1150" s="17">
        <v>1417</v>
      </c>
      <c r="S1150" s="25">
        <f>data[[#This Row],[Revenue]]/data[[#This Row],[TotalMiles]]</f>
        <v>2.4455882352941178</v>
      </c>
      <c r="T1150" s="26">
        <f>data[[#This Row],[Revenue]]-data[[#This Row],[ShippingCost]]</f>
        <v>246</v>
      </c>
      <c r="U1150" s="17">
        <v>1663</v>
      </c>
      <c r="V1150" s="17">
        <v>85</v>
      </c>
      <c r="W1150" s="17" t="s">
        <v>25</v>
      </c>
      <c r="X1150" s="17">
        <v>7</v>
      </c>
      <c r="Y1150" s="17">
        <f>data[[#This Row],[DeliveryDate]]-data[[#This Row],[ShipDate]]</f>
        <v>2</v>
      </c>
      <c r="Z1150" s="17" t="str">
        <f>IF(data[[#This Row],[Actual Delivery Days]]&gt;AD1151,"Yes","No")</f>
        <v>Yes</v>
      </c>
    </row>
    <row r="1151" spans="1:26">
      <c r="A1151" s="17">
        <v>10024</v>
      </c>
      <c r="B1151" s="17">
        <v>1</v>
      </c>
      <c r="C1151" s="17">
        <v>4</v>
      </c>
      <c r="D1151" s="17" t="s">
        <v>126</v>
      </c>
      <c r="E1151" s="17" t="s">
        <v>112</v>
      </c>
      <c r="F1151" s="17" t="str">
        <f>TEXT(data[[#This Row],[ShipDate]],"yyyy - mmmm")</f>
        <v>2016 - January</v>
      </c>
      <c r="G1151" s="17" t="str">
        <f>data[[#This Row],[OriginCity]] &amp; " - "  &amp; data[[#This Row],[DestinationCity]]</f>
        <v>Chicago - Rockford</v>
      </c>
      <c r="H1151" s="17" t="s">
        <v>39</v>
      </c>
      <c r="I1151" s="17" t="s">
        <v>31</v>
      </c>
      <c r="J1151" s="17">
        <v>2</v>
      </c>
      <c r="K1151" s="17" t="s">
        <v>40</v>
      </c>
      <c r="L1151" s="17" t="s">
        <v>31</v>
      </c>
      <c r="M1151" s="17" t="s">
        <v>127</v>
      </c>
      <c r="N1151" s="17">
        <v>1004</v>
      </c>
      <c r="O1151" s="17">
        <v>289</v>
      </c>
      <c r="P1151" s="26">
        <f>(data[[#This Row],[LoadedMiles]]/data[[#This Row],[TotalMiles]])*100</f>
        <v>28.784860557768926</v>
      </c>
      <c r="Q1151" s="25">
        <f>data[[#This Row],[ShippingCost]]/data[[#This Row],[TotalMiles]]</f>
        <v>4.0089641434262946</v>
      </c>
      <c r="R1151" s="17">
        <v>4025</v>
      </c>
      <c r="S1151" s="25">
        <f>data[[#This Row],[Revenue]]/data[[#This Row],[TotalMiles]]</f>
        <v>2.5876494023904382</v>
      </c>
      <c r="T1151" s="26">
        <f>data[[#This Row],[Revenue]]-data[[#This Row],[ShippingCost]]</f>
        <v>-1427</v>
      </c>
      <c r="U1151" s="17">
        <v>2598</v>
      </c>
      <c r="V1151" s="17">
        <v>52</v>
      </c>
      <c r="W1151" s="17" t="s">
        <v>25</v>
      </c>
      <c r="X1151" s="17">
        <v>6</v>
      </c>
      <c r="Y1151" s="17">
        <f>data[[#This Row],[DeliveryDate]]-data[[#This Row],[ShipDate]]</f>
        <v>2</v>
      </c>
      <c r="Z1151" s="17" t="str">
        <f>IF(data[[#This Row],[Actual Delivery Days]]&gt;AD1152,"Yes","No")</f>
        <v>Yes</v>
      </c>
    </row>
    <row r="1152" spans="1:26">
      <c r="A1152" s="17">
        <v>10031</v>
      </c>
      <c r="B1152" s="17">
        <v>2</v>
      </c>
      <c r="C1152" s="17">
        <v>7</v>
      </c>
      <c r="D1152" s="17" t="s">
        <v>151</v>
      </c>
      <c r="E1152" s="17" t="s">
        <v>152</v>
      </c>
      <c r="F1152" s="17" t="str">
        <f>TEXT(data[[#This Row],[ShipDate]],"yyyy - mmmm")</f>
        <v>2016 - January</v>
      </c>
      <c r="G1152" s="17" t="str">
        <f>data[[#This Row],[OriginCity]] &amp; " - "  &amp; data[[#This Row],[DestinationCity]]</f>
        <v>Naperville - Indianapolis</v>
      </c>
      <c r="H1152" s="17" t="s">
        <v>48</v>
      </c>
      <c r="I1152" s="17" t="s">
        <v>31</v>
      </c>
      <c r="J1152" s="17">
        <v>2</v>
      </c>
      <c r="K1152" s="17" t="s">
        <v>43</v>
      </c>
      <c r="L1152" s="17" t="s">
        <v>44</v>
      </c>
      <c r="M1152" s="17" t="s">
        <v>153</v>
      </c>
      <c r="N1152" s="17">
        <v>508</v>
      </c>
      <c r="O1152" s="17">
        <v>321</v>
      </c>
      <c r="P1152" s="26">
        <f>(data[[#This Row],[LoadedMiles]]/data[[#This Row],[TotalMiles]])*100</f>
        <v>63.188976377952756</v>
      </c>
      <c r="Q1152" s="25">
        <f>data[[#This Row],[ShippingCost]]/data[[#This Row],[TotalMiles]]</f>
        <v>6.106299212598425</v>
      </c>
      <c r="R1152" s="17">
        <v>3102</v>
      </c>
      <c r="S1152" s="25">
        <f>data[[#This Row],[Revenue]]/data[[#This Row],[TotalMiles]]</f>
        <v>7.1948818897637796</v>
      </c>
      <c r="T1152" s="26">
        <f>data[[#This Row],[Revenue]]-data[[#This Row],[ShippingCost]]</f>
        <v>553</v>
      </c>
      <c r="U1152" s="17">
        <v>3655</v>
      </c>
      <c r="V1152" s="17">
        <v>54</v>
      </c>
      <c r="W1152" s="17" t="s">
        <v>25</v>
      </c>
      <c r="X1152" s="17">
        <v>2</v>
      </c>
      <c r="Y1152" s="17">
        <f>data[[#This Row],[DeliveryDate]]-data[[#This Row],[ShipDate]]</f>
        <v>2</v>
      </c>
      <c r="Z1152" s="17" t="str">
        <f>IF(data[[#This Row],[Actual Delivery Days]]&gt;AD1153,"Yes","No")</f>
        <v>Yes</v>
      </c>
    </row>
    <row r="1153" spans="1:26">
      <c r="A1153" s="17">
        <v>10032</v>
      </c>
      <c r="B1153" s="17">
        <v>2</v>
      </c>
      <c r="C1153" s="17">
        <v>6</v>
      </c>
      <c r="D1153" s="17" t="s">
        <v>154</v>
      </c>
      <c r="E1153" s="17" t="s">
        <v>155</v>
      </c>
      <c r="F1153" s="17" t="str">
        <f>TEXT(data[[#This Row],[ShipDate]],"yyyy - mmmm")</f>
        <v>2016 - July</v>
      </c>
      <c r="G1153" s="17" t="str">
        <f>data[[#This Row],[OriginCity]] &amp; " - "  &amp; data[[#This Row],[DestinationCity]]</f>
        <v>Rockford - Green Bay</v>
      </c>
      <c r="H1153" s="17" t="s">
        <v>40</v>
      </c>
      <c r="I1153" s="17" t="s">
        <v>31</v>
      </c>
      <c r="J1153" s="17">
        <v>2</v>
      </c>
      <c r="K1153" s="17" t="s">
        <v>75</v>
      </c>
      <c r="L1153" s="17" t="s">
        <v>29</v>
      </c>
      <c r="M1153" s="17" t="s">
        <v>156</v>
      </c>
      <c r="N1153" s="17">
        <v>1102</v>
      </c>
      <c r="O1153" s="17">
        <v>446</v>
      </c>
      <c r="P1153" s="26">
        <f>(data[[#This Row],[LoadedMiles]]/data[[#This Row],[TotalMiles]])*100</f>
        <v>40.471869328493646</v>
      </c>
      <c r="Q1153" s="25">
        <f>data[[#This Row],[ShippingCost]]/data[[#This Row],[TotalMiles]]</f>
        <v>3.9519056261343013</v>
      </c>
      <c r="R1153" s="17">
        <v>4355</v>
      </c>
      <c r="S1153" s="25">
        <f>data[[#This Row],[Revenue]]/data[[#This Row],[TotalMiles]]</f>
        <v>4.4564428312159707</v>
      </c>
      <c r="T1153" s="26">
        <f>data[[#This Row],[Revenue]]-data[[#This Row],[ShippingCost]]</f>
        <v>556</v>
      </c>
      <c r="U1153" s="17">
        <v>4911</v>
      </c>
      <c r="V1153" s="17">
        <v>79</v>
      </c>
      <c r="W1153" s="17" t="s">
        <v>25</v>
      </c>
      <c r="X1153" s="17">
        <v>8</v>
      </c>
      <c r="Y1153" s="17">
        <f>data[[#This Row],[DeliveryDate]]-data[[#This Row],[ShipDate]]</f>
        <v>2</v>
      </c>
      <c r="Z1153" s="17" t="str">
        <f>IF(data[[#This Row],[Actual Delivery Days]]&gt;AD1154,"Yes","No")</f>
        <v>Yes</v>
      </c>
    </row>
    <row r="1154" spans="1:26">
      <c r="A1154" s="17">
        <v>10040</v>
      </c>
      <c r="B1154" s="17">
        <v>1</v>
      </c>
      <c r="C1154" s="17">
        <v>8</v>
      </c>
      <c r="D1154" s="17" t="s">
        <v>175</v>
      </c>
      <c r="E1154" s="17" t="s">
        <v>176</v>
      </c>
      <c r="F1154" s="17" t="str">
        <f>TEXT(data[[#This Row],[ShipDate]],"yyyy - mmmm")</f>
        <v>2016 - June</v>
      </c>
      <c r="G1154" s="17" t="str">
        <f>data[[#This Row],[OriginCity]] &amp; " - "  &amp; data[[#This Row],[DestinationCity]]</f>
        <v>Kalamazoo - Bangor</v>
      </c>
      <c r="H1154" s="17" t="s">
        <v>71</v>
      </c>
      <c r="I1154" s="17" t="s">
        <v>21</v>
      </c>
      <c r="J1154" s="17">
        <v>2</v>
      </c>
      <c r="K1154" s="17" t="s">
        <v>104</v>
      </c>
      <c r="L1154" s="17" t="s">
        <v>21</v>
      </c>
      <c r="M1154" s="17" t="s">
        <v>177</v>
      </c>
      <c r="N1154" s="17">
        <v>363</v>
      </c>
      <c r="O1154" s="17">
        <v>363</v>
      </c>
      <c r="P1154" s="26">
        <f>(data[[#This Row],[LoadedMiles]]/data[[#This Row],[TotalMiles]])*100</f>
        <v>100</v>
      </c>
      <c r="Q1154" s="25">
        <f>data[[#This Row],[ShippingCost]]/data[[#This Row],[TotalMiles]]</f>
        <v>21.876033057851238</v>
      </c>
      <c r="R1154" s="17">
        <v>7941</v>
      </c>
      <c r="S1154" s="25">
        <f>data[[#This Row],[Revenue]]/data[[#This Row],[TotalMiles]]</f>
        <v>24.446280991735538</v>
      </c>
      <c r="T1154" s="26">
        <f>data[[#This Row],[Revenue]]-data[[#This Row],[ShippingCost]]</f>
        <v>933</v>
      </c>
      <c r="U1154" s="17">
        <v>8874</v>
      </c>
      <c r="V1154" s="17">
        <v>78</v>
      </c>
      <c r="W1154" s="17" t="s">
        <v>25</v>
      </c>
      <c r="X1154" s="17">
        <v>1</v>
      </c>
      <c r="Y1154" s="17">
        <f>data[[#This Row],[DeliveryDate]]-data[[#This Row],[ShipDate]]</f>
        <v>2</v>
      </c>
      <c r="Z1154" s="17" t="str">
        <f>IF(data[[#This Row],[Actual Delivery Days]]&gt;AD1155,"Yes","No")</f>
        <v>Yes</v>
      </c>
    </row>
    <row r="1155" spans="1:26">
      <c r="A1155" s="17">
        <v>10041</v>
      </c>
      <c r="B1155" s="17">
        <v>2</v>
      </c>
      <c r="C1155" s="17">
        <v>5</v>
      </c>
      <c r="D1155" s="17" t="s">
        <v>181</v>
      </c>
      <c r="E1155" s="17" t="s">
        <v>92</v>
      </c>
      <c r="F1155" s="17" t="str">
        <f>TEXT(data[[#This Row],[ShipDate]],"yyyy - mmmm")</f>
        <v>2016 - February</v>
      </c>
      <c r="G1155" s="17" t="str">
        <f>data[[#This Row],[OriginCity]] &amp; " - "  &amp; data[[#This Row],[DestinationCity]]</f>
        <v>Grand Rapids - Toledo</v>
      </c>
      <c r="H1155" s="17" t="s">
        <v>20</v>
      </c>
      <c r="I1155" s="17" t="s">
        <v>21</v>
      </c>
      <c r="J1155" s="17">
        <v>2</v>
      </c>
      <c r="K1155" s="17" t="s">
        <v>22</v>
      </c>
      <c r="L1155" s="17" t="s">
        <v>23</v>
      </c>
      <c r="M1155" s="17" t="s">
        <v>153</v>
      </c>
      <c r="N1155" s="17">
        <v>331</v>
      </c>
      <c r="O1155" s="17">
        <v>331</v>
      </c>
      <c r="P1155" s="26">
        <f>(data[[#This Row],[LoadedMiles]]/data[[#This Row],[TotalMiles]])*100</f>
        <v>100</v>
      </c>
      <c r="Q1155" s="25">
        <f>data[[#This Row],[ShippingCost]]/data[[#This Row],[TotalMiles]]</f>
        <v>20.546827794561935</v>
      </c>
      <c r="R1155" s="17">
        <v>6801</v>
      </c>
      <c r="S1155" s="25">
        <f>data[[#This Row],[Revenue]]/data[[#This Row],[TotalMiles]]</f>
        <v>21.80664652567976</v>
      </c>
      <c r="T1155" s="26">
        <f>data[[#This Row],[Revenue]]-data[[#This Row],[ShippingCost]]</f>
        <v>417</v>
      </c>
      <c r="U1155" s="17">
        <v>7218</v>
      </c>
      <c r="V1155" s="17">
        <v>83</v>
      </c>
      <c r="W1155" s="17" t="s">
        <v>25</v>
      </c>
      <c r="X1155" s="17">
        <v>1</v>
      </c>
      <c r="Y1155" s="17">
        <f>data[[#This Row],[DeliveryDate]]-data[[#This Row],[ShipDate]]</f>
        <v>1</v>
      </c>
      <c r="Z1155" s="17" t="str">
        <f>IF(data[[#This Row],[Actual Delivery Days]]&gt;AD1156,"Yes","No")</f>
        <v>Yes</v>
      </c>
    </row>
    <row r="1156" spans="1:26">
      <c r="A1156" s="17">
        <v>10052</v>
      </c>
      <c r="B1156" s="17">
        <v>2</v>
      </c>
      <c r="C1156" s="17">
        <v>5</v>
      </c>
      <c r="D1156" s="17" t="s">
        <v>208</v>
      </c>
      <c r="E1156" s="17" t="s">
        <v>74</v>
      </c>
      <c r="F1156" s="17" t="str">
        <f>TEXT(data[[#This Row],[ShipDate]],"yyyy - mmmm")</f>
        <v>2016 - March</v>
      </c>
      <c r="G1156" s="17" t="str">
        <f>data[[#This Row],[OriginCity]] &amp; " - "  &amp; data[[#This Row],[DestinationCity]]</f>
        <v>Naperville - Indianapolis</v>
      </c>
      <c r="H1156" s="17" t="s">
        <v>48</v>
      </c>
      <c r="I1156" s="17" t="s">
        <v>31</v>
      </c>
      <c r="J1156" s="17">
        <v>2</v>
      </c>
      <c r="K1156" s="17" t="s">
        <v>43</v>
      </c>
      <c r="L1156" s="17" t="s">
        <v>44</v>
      </c>
      <c r="M1156" s="17" t="s">
        <v>209</v>
      </c>
      <c r="N1156" s="17">
        <v>832</v>
      </c>
      <c r="O1156" s="17">
        <v>458</v>
      </c>
      <c r="P1156" s="26">
        <f>(data[[#This Row],[LoadedMiles]]/data[[#This Row],[TotalMiles]])*100</f>
        <v>55.048076923076927</v>
      </c>
      <c r="Q1156" s="25">
        <f>data[[#This Row],[ShippingCost]]/data[[#This Row],[TotalMiles]]</f>
        <v>7.4362980769230766</v>
      </c>
      <c r="R1156" s="17">
        <v>6187</v>
      </c>
      <c r="S1156" s="25">
        <f>data[[#This Row],[Revenue]]/data[[#This Row],[TotalMiles]]</f>
        <v>7.828125</v>
      </c>
      <c r="T1156" s="26">
        <f>data[[#This Row],[Revenue]]-data[[#This Row],[ShippingCost]]</f>
        <v>326</v>
      </c>
      <c r="U1156" s="17">
        <v>6513</v>
      </c>
      <c r="V1156" s="17">
        <v>58</v>
      </c>
      <c r="W1156" s="17" t="s">
        <v>25</v>
      </c>
      <c r="X1156" s="17">
        <v>1</v>
      </c>
      <c r="Y1156" s="17">
        <f>data[[#This Row],[DeliveryDate]]-data[[#This Row],[ShipDate]]</f>
        <v>1</v>
      </c>
      <c r="Z1156" s="17" t="str">
        <f>IF(data[[#This Row],[Actual Delivery Days]]&gt;AD1157,"Yes","No")</f>
        <v>Yes</v>
      </c>
    </row>
    <row r="1157" spans="1:26">
      <c r="A1157" s="17">
        <v>10059</v>
      </c>
      <c r="B1157" s="17">
        <v>2</v>
      </c>
      <c r="C1157" s="17">
        <v>7</v>
      </c>
      <c r="D1157" s="17" t="s">
        <v>225</v>
      </c>
      <c r="E1157" s="17" t="s">
        <v>226</v>
      </c>
      <c r="F1157" s="17" t="str">
        <f>TEXT(data[[#This Row],[ShipDate]],"yyyy - mmmm")</f>
        <v>2016 - May</v>
      </c>
      <c r="G1157" s="17" t="str">
        <f>data[[#This Row],[OriginCity]] &amp; " - "  &amp; data[[#This Row],[DestinationCity]]</f>
        <v>Elgin - Cincinnati</v>
      </c>
      <c r="H1157" s="17" t="s">
        <v>94</v>
      </c>
      <c r="I1157" s="17" t="s">
        <v>31</v>
      </c>
      <c r="J1157" s="17">
        <v>2</v>
      </c>
      <c r="K1157" s="17" t="s">
        <v>89</v>
      </c>
      <c r="L1157" s="17" t="s">
        <v>23</v>
      </c>
      <c r="M1157" s="17" t="s">
        <v>227</v>
      </c>
      <c r="N1157" s="17">
        <v>552</v>
      </c>
      <c r="O1157" s="17">
        <v>552</v>
      </c>
      <c r="P1157" s="26">
        <f>(data[[#This Row],[LoadedMiles]]/data[[#This Row],[TotalMiles]])*100</f>
        <v>100</v>
      </c>
      <c r="Q1157" s="25">
        <f>data[[#This Row],[ShippingCost]]/data[[#This Row],[TotalMiles]]</f>
        <v>6.8659420289855069</v>
      </c>
      <c r="R1157" s="17">
        <v>3790</v>
      </c>
      <c r="S1157" s="25">
        <f>data[[#This Row],[Revenue]]/data[[#This Row],[TotalMiles]]</f>
        <v>8.0688405797101446</v>
      </c>
      <c r="T1157" s="26">
        <f>data[[#This Row],[Revenue]]-data[[#This Row],[ShippingCost]]</f>
        <v>664</v>
      </c>
      <c r="U1157" s="17">
        <v>4454</v>
      </c>
      <c r="V1157" s="17">
        <v>96</v>
      </c>
      <c r="W1157" s="17" t="s">
        <v>25</v>
      </c>
      <c r="X1157" s="17">
        <v>6</v>
      </c>
      <c r="Y1157" s="17">
        <f>data[[#This Row],[DeliveryDate]]-data[[#This Row],[ShipDate]]</f>
        <v>1</v>
      </c>
      <c r="Z1157" s="17" t="str">
        <f>IF(data[[#This Row],[Actual Delivery Days]]&gt;AD1158,"Yes","No")</f>
        <v>Yes</v>
      </c>
    </row>
    <row r="1158" spans="1:26">
      <c r="A1158" s="17">
        <v>10069</v>
      </c>
      <c r="B1158" s="17">
        <v>1</v>
      </c>
      <c r="C1158" s="17">
        <v>6</v>
      </c>
      <c r="D1158" s="17" t="s">
        <v>251</v>
      </c>
      <c r="E1158" s="17" t="s">
        <v>252</v>
      </c>
      <c r="F1158" s="17" t="str">
        <f>TEXT(data[[#This Row],[ShipDate]],"yyyy - mmmm")</f>
        <v>2016 - March</v>
      </c>
      <c r="G1158" s="17" t="str">
        <f>data[[#This Row],[OriginCity]] &amp; " - "  &amp; data[[#This Row],[DestinationCity]]</f>
        <v>Monon - Lansing</v>
      </c>
      <c r="H1158" s="17" t="s">
        <v>53</v>
      </c>
      <c r="I1158" s="17" t="s">
        <v>44</v>
      </c>
      <c r="J1158" s="17">
        <v>2</v>
      </c>
      <c r="K1158" s="17" t="s">
        <v>66</v>
      </c>
      <c r="L1158" s="17" t="s">
        <v>21</v>
      </c>
      <c r="M1158" s="17" t="s">
        <v>253</v>
      </c>
      <c r="N1158" s="17">
        <v>815</v>
      </c>
      <c r="O1158" s="17">
        <v>627</v>
      </c>
      <c r="P1158" s="26">
        <f>(data[[#This Row],[LoadedMiles]]/data[[#This Row],[TotalMiles]])*100</f>
        <v>76.932515337423311</v>
      </c>
      <c r="Q1158" s="25">
        <f>data[[#This Row],[ShippingCost]]/data[[#This Row],[TotalMiles]]</f>
        <v>1.2049079754601226</v>
      </c>
      <c r="R1158" s="17">
        <v>982</v>
      </c>
      <c r="S1158" s="25">
        <f>data[[#This Row],[Revenue]]/data[[#This Row],[TotalMiles]]</f>
        <v>2.2061349693251535</v>
      </c>
      <c r="T1158" s="26">
        <f>data[[#This Row],[Revenue]]-data[[#This Row],[ShippingCost]]</f>
        <v>816</v>
      </c>
      <c r="U1158" s="17">
        <v>1798</v>
      </c>
      <c r="V1158" s="17">
        <v>99</v>
      </c>
      <c r="W1158" s="17" t="s">
        <v>25</v>
      </c>
      <c r="X1158" s="17">
        <v>1</v>
      </c>
      <c r="Y1158" s="17">
        <f>data[[#This Row],[DeliveryDate]]-data[[#This Row],[ShipDate]]</f>
        <v>2</v>
      </c>
      <c r="Z1158" s="17" t="str">
        <f>IF(data[[#This Row],[Actual Delivery Days]]&gt;AD1159,"Yes","No")</f>
        <v>Yes</v>
      </c>
    </row>
    <row r="1159" spans="1:26">
      <c r="A1159" s="17">
        <v>10072</v>
      </c>
      <c r="B1159" s="17">
        <v>1</v>
      </c>
      <c r="C1159" s="17">
        <v>8</v>
      </c>
      <c r="D1159" s="17" t="s">
        <v>265</v>
      </c>
      <c r="E1159" s="17" t="s">
        <v>95</v>
      </c>
      <c r="F1159" s="17" t="str">
        <f>TEXT(data[[#This Row],[ShipDate]],"yyyy - mmmm")</f>
        <v>2016 - February</v>
      </c>
      <c r="G1159" s="17" t="str">
        <f>data[[#This Row],[OriginCity]] &amp; " - "  &amp; data[[#This Row],[DestinationCity]]</f>
        <v>Cincinnati - Gary</v>
      </c>
      <c r="H1159" s="17" t="s">
        <v>89</v>
      </c>
      <c r="I1159" s="17" t="s">
        <v>23</v>
      </c>
      <c r="J1159" s="17">
        <v>2</v>
      </c>
      <c r="K1159" s="17" t="s">
        <v>57</v>
      </c>
      <c r="L1159" s="17" t="s">
        <v>44</v>
      </c>
      <c r="M1159" s="17" t="s">
        <v>164</v>
      </c>
      <c r="N1159" s="17">
        <v>477</v>
      </c>
      <c r="O1159" s="17">
        <v>477</v>
      </c>
      <c r="P1159" s="26">
        <f>(data[[#This Row],[LoadedMiles]]/data[[#This Row],[TotalMiles]])*100</f>
        <v>100</v>
      </c>
      <c r="Q1159" s="25">
        <f>data[[#This Row],[ShippingCost]]/data[[#This Row],[TotalMiles]]</f>
        <v>13.926624737945493</v>
      </c>
      <c r="R1159" s="17">
        <v>6643</v>
      </c>
      <c r="S1159" s="25">
        <f>data[[#This Row],[Revenue]]/data[[#This Row],[TotalMiles]]</f>
        <v>15</v>
      </c>
      <c r="T1159" s="26">
        <f>data[[#This Row],[Revenue]]-data[[#This Row],[ShippingCost]]</f>
        <v>512</v>
      </c>
      <c r="U1159" s="17">
        <v>7155</v>
      </c>
      <c r="V1159" s="17">
        <v>79</v>
      </c>
      <c r="W1159" s="17" t="s">
        <v>25</v>
      </c>
      <c r="X1159" s="17">
        <v>1</v>
      </c>
      <c r="Y1159" s="17">
        <f>data[[#This Row],[DeliveryDate]]-data[[#This Row],[ShipDate]]</f>
        <v>2</v>
      </c>
      <c r="Z1159" s="17" t="str">
        <f>IF(data[[#This Row],[Actual Delivery Days]]&gt;AD1160,"Yes","No")</f>
        <v>Yes</v>
      </c>
    </row>
    <row r="1160" spans="1:26">
      <c r="A1160" s="17">
        <v>10087</v>
      </c>
      <c r="B1160" s="17">
        <v>1</v>
      </c>
      <c r="C1160" s="17">
        <v>7</v>
      </c>
      <c r="D1160" s="17" t="s">
        <v>295</v>
      </c>
      <c r="E1160" s="17" t="s">
        <v>238</v>
      </c>
      <c r="F1160" s="17" t="str">
        <f>TEXT(data[[#This Row],[ShipDate]],"yyyy - mmmm")</f>
        <v>2016 - March</v>
      </c>
      <c r="G1160" s="17" t="str">
        <f>data[[#This Row],[OriginCity]] &amp; " - "  &amp; data[[#This Row],[DestinationCity]]</f>
        <v>Joliet - Madison</v>
      </c>
      <c r="H1160" s="17" t="s">
        <v>61</v>
      </c>
      <c r="I1160" s="17" t="s">
        <v>31</v>
      </c>
      <c r="J1160" s="17">
        <v>2</v>
      </c>
      <c r="K1160" s="17" t="s">
        <v>62</v>
      </c>
      <c r="L1160" s="17" t="s">
        <v>29</v>
      </c>
      <c r="M1160" s="17" t="s">
        <v>296</v>
      </c>
      <c r="N1160" s="17">
        <v>965</v>
      </c>
      <c r="O1160" s="17">
        <v>659</v>
      </c>
      <c r="P1160" s="26">
        <f>(data[[#This Row],[LoadedMiles]]/data[[#This Row],[TotalMiles]])*100</f>
        <v>68.290155440414509</v>
      </c>
      <c r="Q1160" s="25">
        <f>data[[#This Row],[ShippingCost]]/data[[#This Row],[TotalMiles]]</f>
        <v>8.5336787564766841</v>
      </c>
      <c r="R1160" s="17">
        <v>8235</v>
      </c>
      <c r="S1160" s="25">
        <f>data[[#This Row],[Revenue]]/data[[#This Row],[TotalMiles]]</f>
        <v>8.9989637305699475</v>
      </c>
      <c r="T1160" s="26">
        <f>data[[#This Row],[Revenue]]-data[[#This Row],[ShippingCost]]</f>
        <v>449</v>
      </c>
      <c r="U1160" s="17">
        <v>8684</v>
      </c>
      <c r="V1160" s="17">
        <v>54</v>
      </c>
      <c r="W1160" s="17" t="s">
        <v>25</v>
      </c>
      <c r="X1160" s="17">
        <v>7</v>
      </c>
      <c r="Y1160" s="17">
        <f>data[[#This Row],[DeliveryDate]]-data[[#This Row],[ShipDate]]</f>
        <v>2</v>
      </c>
      <c r="Z1160" s="17" t="str">
        <f>IF(data[[#This Row],[Actual Delivery Days]]&gt;AD1161,"Yes","No")</f>
        <v>Yes</v>
      </c>
    </row>
    <row r="1161" spans="1:26">
      <c r="A1161" s="17">
        <v>10089</v>
      </c>
      <c r="B1161" s="17">
        <v>1</v>
      </c>
      <c r="C1161" s="17">
        <v>8</v>
      </c>
      <c r="D1161" s="17" t="s">
        <v>300</v>
      </c>
      <c r="E1161" s="17" t="s">
        <v>301</v>
      </c>
      <c r="F1161" s="17" t="str">
        <f>TEXT(data[[#This Row],[ShipDate]],"yyyy - mmmm")</f>
        <v>2016 - August</v>
      </c>
      <c r="G1161" s="17" t="str">
        <f>data[[#This Row],[OriginCity]] &amp; " - "  &amp; data[[#This Row],[DestinationCity]]</f>
        <v>Madison - Kalamazoo</v>
      </c>
      <c r="H1161" s="17" t="s">
        <v>62</v>
      </c>
      <c r="I1161" s="17" t="s">
        <v>29</v>
      </c>
      <c r="J1161" s="17">
        <v>2</v>
      </c>
      <c r="K1161" s="17" t="s">
        <v>71</v>
      </c>
      <c r="L1161" s="17" t="s">
        <v>21</v>
      </c>
      <c r="M1161" s="17" t="s">
        <v>302</v>
      </c>
      <c r="N1161" s="17">
        <v>448</v>
      </c>
      <c r="O1161" s="17">
        <v>231</v>
      </c>
      <c r="P1161" s="26">
        <f>(data[[#This Row],[LoadedMiles]]/data[[#This Row],[TotalMiles]])*100</f>
        <v>51.5625</v>
      </c>
      <c r="Q1161" s="25">
        <f>data[[#This Row],[ShippingCost]]/data[[#This Row],[TotalMiles]]</f>
        <v>13.546875</v>
      </c>
      <c r="R1161" s="17">
        <v>6069</v>
      </c>
      <c r="S1161" s="25">
        <f>data[[#This Row],[Revenue]]/data[[#This Row],[TotalMiles]]</f>
        <v>14.042410714285714</v>
      </c>
      <c r="T1161" s="26">
        <f>data[[#This Row],[Revenue]]-data[[#This Row],[ShippingCost]]</f>
        <v>222</v>
      </c>
      <c r="U1161" s="17">
        <v>6291</v>
      </c>
      <c r="V1161" s="17">
        <v>73</v>
      </c>
      <c r="W1161" s="17" t="s">
        <v>25</v>
      </c>
      <c r="X1161" s="17">
        <v>9</v>
      </c>
      <c r="Y1161" s="17">
        <f>data[[#This Row],[DeliveryDate]]-data[[#This Row],[ShipDate]]</f>
        <v>2</v>
      </c>
      <c r="Z1161" s="17" t="str">
        <f>IF(data[[#This Row],[Actual Delivery Days]]&gt;AD1162,"Yes","No")</f>
        <v>Yes</v>
      </c>
    </row>
    <row r="1162" spans="1:26">
      <c r="A1162" s="17">
        <v>10098</v>
      </c>
      <c r="B1162" s="17">
        <v>2</v>
      </c>
      <c r="C1162" s="17">
        <v>5</v>
      </c>
      <c r="D1162" s="17" t="s">
        <v>317</v>
      </c>
      <c r="E1162" s="17" t="s">
        <v>318</v>
      </c>
      <c r="F1162" s="17" t="str">
        <f>TEXT(data[[#This Row],[ShipDate]],"yyyy - mmmm")</f>
        <v>2016 - June</v>
      </c>
      <c r="G1162" s="17" t="str">
        <f>data[[#This Row],[OriginCity]] &amp; " - "  &amp; data[[#This Row],[DestinationCity]]</f>
        <v>Bangor - Davenport</v>
      </c>
      <c r="H1162" s="17" t="s">
        <v>104</v>
      </c>
      <c r="I1162" s="17" t="s">
        <v>21</v>
      </c>
      <c r="J1162" s="17">
        <v>2</v>
      </c>
      <c r="K1162" s="17" t="s">
        <v>105</v>
      </c>
      <c r="L1162" s="17" t="s">
        <v>106</v>
      </c>
      <c r="M1162" s="17" t="s">
        <v>319</v>
      </c>
      <c r="N1162" s="17">
        <v>335</v>
      </c>
      <c r="O1162" s="17">
        <v>204</v>
      </c>
      <c r="P1162" s="26">
        <f>(data[[#This Row],[LoadedMiles]]/data[[#This Row],[TotalMiles]])*100</f>
        <v>60.895522388059696</v>
      </c>
      <c r="Q1162" s="25">
        <f>data[[#This Row],[ShippingCost]]/data[[#This Row],[TotalMiles]]</f>
        <v>20.379104477611939</v>
      </c>
      <c r="R1162" s="17">
        <v>6827</v>
      </c>
      <c r="S1162" s="25">
        <f>data[[#This Row],[Revenue]]/data[[#This Row],[TotalMiles]]</f>
        <v>22.913432835820895</v>
      </c>
      <c r="T1162" s="26">
        <f>data[[#This Row],[Revenue]]-data[[#This Row],[ShippingCost]]</f>
        <v>849</v>
      </c>
      <c r="U1162" s="17">
        <v>7676</v>
      </c>
      <c r="V1162" s="17">
        <v>79</v>
      </c>
      <c r="W1162" s="17" t="s">
        <v>25</v>
      </c>
      <c r="X1162" s="17">
        <v>4</v>
      </c>
      <c r="Y1162" s="17">
        <f>data[[#This Row],[DeliveryDate]]-data[[#This Row],[ShipDate]]</f>
        <v>2</v>
      </c>
      <c r="Z1162" s="17" t="str">
        <f>IF(data[[#This Row],[Actual Delivery Days]]&gt;AD1163,"Yes","No")</f>
        <v>Yes</v>
      </c>
    </row>
    <row r="1163" spans="1:26">
      <c r="A1163" s="17">
        <v>10114</v>
      </c>
      <c r="B1163" s="17">
        <v>1</v>
      </c>
      <c r="C1163" s="17">
        <v>8</v>
      </c>
      <c r="D1163" s="17" t="s">
        <v>346</v>
      </c>
      <c r="E1163" s="17" t="s">
        <v>36</v>
      </c>
      <c r="F1163" s="17" t="str">
        <f>TEXT(data[[#This Row],[ShipDate]],"yyyy - mmmm")</f>
        <v>2016 - August</v>
      </c>
      <c r="G1163" s="17" t="str">
        <f>data[[#This Row],[OriginCity]] &amp; " - "  &amp; data[[#This Row],[DestinationCity]]</f>
        <v>Appleton - Grand Rapids</v>
      </c>
      <c r="H1163" s="17" t="s">
        <v>85</v>
      </c>
      <c r="I1163" s="17" t="s">
        <v>29</v>
      </c>
      <c r="J1163" s="17">
        <v>2</v>
      </c>
      <c r="K1163" s="17" t="s">
        <v>20</v>
      </c>
      <c r="L1163" s="17" t="s">
        <v>21</v>
      </c>
      <c r="M1163" s="17" t="s">
        <v>243</v>
      </c>
      <c r="N1163" s="17">
        <v>378</v>
      </c>
      <c r="O1163" s="17">
        <v>378</v>
      </c>
      <c r="P1163" s="26">
        <f>(data[[#This Row],[LoadedMiles]]/data[[#This Row],[TotalMiles]])*100</f>
        <v>100</v>
      </c>
      <c r="Q1163" s="25">
        <f>data[[#This Row],[ShippingCost]]/data[[#This Row],[TotalMiles]]</f>
        <v>19.396825396825395</v>
      </c>
      <c r="R1163" s="17">
        <v>7332</v>
      </c>
      <c r="S1163" s="25">
        <f>data[[#This Row],[Revenue]]/data[[#This Row],[TotalMiles]]</f>
        <v>19.801587301587301</v>
      </c>
      <c r="T1163" s="26">
        <f>data[[#This Row],[Revenue]]-data[[#This Row],[ShippingCost]]</f>
        <v>153</v>
      </c>
      <c r="U1163" s="17">
        <v>7485</v>
      </c>
      <c r="V1163" s="17">
        <v>78</v>
      </c>
      <c r="W1163" s="17" t="s">
        <v>86</v>
      </c>
      <c r="X1163" s="17">
        <v>5</v>
      </c>
      <c r="Y1163" s="17">
        <f>data[[#This Row],[DeliveryDate]]-data[[#This Row],[ShipDate]]</f>
        <v>2</v>
      </c>
      <c r="Z1163" s="17" t="str">
        <f>IF(data[[#This Row],[Actual Delivery Days]]&gt;AD1164,"Yes","No")</f>
        <v>Yes</v>
      </c>
    </row>
    <row r="1164" spans="1:26">
      <c r="A1164" s="17">
        <v>10116</v>
      </c>
      <c r="B1164" s="17">
        <v>2</v>
      </c>
      <c r="C1164" s="17">
        <v>4</v>
      </c>
      <c r="D1164" s="17" t="s">
        <v>349</v>
      </c>
      <c r="E1164" s="17" t="s">
        <v>350</v>
      </c>
      <c r="F1164" s="17" t="str">
        <f>TEXT(data[[#This Row],[ShipDate]],"yyyy - mmmm")</f>
        <v>2016 - May</v>
      </c>
      <c r="G1164" s="17" t="str">
        <f>data[[#This Row],[OriginCity]] &amp; " - "  &amp; data[[#This Row],[DestinationCity]]</f>
        <v>Dayton - Elgin</v>
      </c>
      <c r="H1164" s="17" t="s">
        <v>93</v>
      </c>
      <c r="I1164" s="17" t="s">
        <v>23</v>
      </c>
      <c r="J1164" s="17">
        <v>2</v>
      </c>
      <c r="K1164" s="17" t="s">
        <v>94</v>
      </c>
      <c r="L1164" s="17" t="s">
        <v>31</v>
      </c>
      <c r="M1164" s="17" t="s">
        <v>84</v>
      </c>
      <c r="N1164" s="17">
        <v>1085</v>
      </c>
      <c r="O1164" s="17">
        <v>635</v>
      </c>
      <c r="P1164" s="26">
        <f>(data[[#This Row],[LoadedMiles]]/data[[#This Row],[TotalMiles]])*100</f>
        <v>58.525345622119815</v>
      </c>
      <c r="Q1164" s="25">
        <f>data[[#This Row],[ShippingCost]]/data[[#This Row],[TotalMiles]]</f>
        <v>7.5050691244239633</v>
      </c>
      <c r="R1164" s="17">
        <v>8143</v>
      </c>
      <c r="S1164" s="25">
        <f>data[[#This Row],[Revenue]]/data[[#This Row],[TotalMiles]]</f>
        <v>5.4423963133640552</v>
      </c>
      <c r="T1164" s="26">
        <f>data[[#This Row],[Revenue]]-data[[#This Row],[ShippingCost]]</f>
        <v>-2238</v>
      </c>
      <c r="U1164" s="17">
        <v>5905</v>
      </c>
      <c r="V1164" s="17">
        <v>77</v>
      </c>
      <c r="W1164" s="17" t="s">
        <v>25</v>
      </c>
      <c r="X1164" s="17">
        <v>8</v>
      </c>
      <c r="Y1164" s="17">
        <f>data[[#This Row],[DeliveryDate]]-data[[#This Row],[ShipDate]]</f>
        <v>2</v>
      </c>
      <c r="Z1164" s="17" t="str">
        <f>IF(data[[#This Row],[Actual Delivery Days]]&gt;AD1165,"Yes","No")</f>
        <v>Yes</v>
      </c>
    </row>
    <row r="1165" spans="1:26">
      <c r="A1165" s="17">
        <v>10117</v>
      </c>
      <c r="B1165" s="17">
        <v>1</v>
      </c>
      <c r="C1165" s="17">
        <v>6</v>
      </c>
      <c r="D1165" s="17" t="s">
        <v>351</v>
      </c>
      <c r="E1165" s="17" t="s">
        <v>352</v>
      </c>
      <c r="F1165" s="17" t="str">
        <f>TEXT(data[[#This Row],[ShipDate]],"yyyy - mmmm")</f>
        <v>2016 - March</v>
      </c>
      <c r="G1165" s="17" t="str">
        <f>data[[#This Row],[OriginCity]] &amp; " - "  &amp; data[[#This Row],[DestinationCity]]</f>
        <v>Toledo - Detriot</v>
      </c>
      <c r="H1165" s="17" t="s">
        <v>22</v>
      </c>
      <c r="I1165" s="17" t="s">
        <v>23</v>
      </c>
      <c r="J1165" s="17">
        <v>2</v>
      </c>
      <c r="K1165" s="17" t="s">
        <v>52</v>
      </c>
      <c r="L1165" s="17" t="s">
        <v>21</v>
      </c>
      <c r="M1165" s="17" t="s">
        <v>353</v>
      </c>
      <c r="N1165" s="17">
        <v>559</v>
      </c>
      <c r="O1165" s="17">
        <v>216</v>
      </c>
      <c r="P1165" s="26">
        <f>(data[[#This Row],[LoadedMiles]]/data[[#This Row],[TotalMiles]])*100</f>
        <v>38.640429338103758</v>
      </c>
      <c r="Q1165" s="25">
        <f>data[[#This Row],[ShippingCost]]/data[[#This Row],[TotalMiles]]</f>
        <v>12.590339892665474</v>
      </c>
      <c r="R1165" s="17">
        <v>7038</v>
      </c>
      <c r="S1165" s="25">
        <f>data[[#This Row],[Revenue]]/data[[#This Row],[TotalMiles]]</f>
        <v>14.032200357781754</v>
      </c>
      <c r="T1165" s="26">
        <f>data[[#This Row],[Revenue]]-data[[#This Row],[ShippingCost]]</f>
        <v>806</v>
      </c>
      <c r="U1165" s="17">
        <v>7844</v>
      </c>
      <c r="V1165" s="17">
        <v>97</v>
      </c>
      <c r="W1165" s="17" t="s">
        <v>25</v>
      </c>
      <c r="X1165" s="17">
        <v>1</v>
      </c>
      <c r="Y1165" s="17">
        <f>data[[#This Row],[DeliveryDate]]-data[[#This Row],[ShipDate]]</f>
        <v>2</v>
      </c>
      <c r="Z1165" s="17" t="str">
        <f>IF(data[[#This Row],[Actual Delivery Days]]&gt;AD1166,"Yes","No")</f>
        <v>Yes</v>
      </c>
    </row>
    <row r="1166" spans="1:26">
      <c r="A1166" s="17">
        <v>10120</v>
      </c>
      <c r="B1166" s="17">
        <v>1</v>
      </c>
      <c r="C1166" s="17">
        <v>6</v>
      </c>
      <c r="D1166" s="17" t="s">
        <v>357</v>
      </c>
      <c r="E1166" s="17" t="s">
        <v>70</v>
      </c>
      <c r="F1166" s="17" t="str">
        <f>TEXT(data[[#This Row],[ShipDate]],"yyyy - mmmm")</f>
        <v>2016 - January</v>
      </c>
      <c r="G1166" s="17" t="str">
        <f>data[[#This Row],[OriginCity]] &amp; " - "  &amp; data[[#This Row],[DestinationCity]]</f>
        <v>Elgin - Cincinnati</v>
      </c>
      <c r="H1166" s="17" t="s">
        <v>94</v>
      </c>
      <c r="I1166" s="17" t="s">
        <v>31</v>
      </c>
      <c r="J1166" s="17">
        <v>2</v>
      </c>
      <c r="K1166" s="17" t="s">
        <v>89</v>
      </c>
      <c r="L1166" s="17" t="s">
        <v>23</v>
      </c>
      <c r="M1166" s="17" t="s">
        <v>358</v>
      </c>
      <c r="N1166" s="17">
        <v>294</v>
      </c>
      <c r="O1166" s="17">
        <v>294</v>
      </c>
      <c r="P1166" s="26">
        <f>(data[[#This Row],[LoadedMiles]]/data[[#This Row],[TotalMiles]])*100</f>
        <v>100</v>
      </c>
      <c r="Q1166" s="25">
        <f>data[[#This Row],[ShippingCost]]/data[[#This Row],[TotalMiles]]</f>
        <v>18.472789115646258</v>
      </c>
      <c r="R1166" s="17">
        <v>5431</v>
      </c>
      <c r="S1166" s="25">
        <f>data[[#This Row],[Revenue]]/data[[#This Row],[TotalMiles]]</f>
        <v>19.139455782312925</v>
      </c>
      <c r="T1166" s="26">
        <f>data[[#This Row],[Revenue]]-data[[#This Row],[ShippingCost]]</f>
        <v>196</v>
      </c>
      <c r="U1166" s="17">
        <v>5627</v>
      </c>
      <c r="V1166" s="17">
        <v>80</v>
      </c>
      <c r="W1166" s="17" t="s">
        <v>25</v>
      </c>
      <c r="X1166" s="17">
        <v>4</v>
      </c>
      <c r="Y1166" s="17">
        <f>data[[#This Row],[DeliveryDate]]-data[[#This Row],[ShipDate]]</f>
        <v>1</v>
      </c>
      <c r="Z1166" s="17" t="str">
        <f>IF(data[[#This Row],[Actual Delivery Days]]&gt;AD1167,"Yes","No")</f>
        <v>Yes</v>
      </c>
    </row>
    <row r="1167" spans="1:26">
      <c r="A1167" s="17">
        <v>10123</v>
      </c>
      <c r="B1167" s="17">
        <v>2</v>
      </c>
      <c r="C1167" s="17">
        <v>8</v>
      </c>
      <c r="D1167" s="17" t="s">
        <v>330</v>
      </c>
      <c r="E1167" s="17" t="s">
        <v>257</v>
      </c>
      <c r="F1167" s="17" t="str">
        <f>TEXT(data[[#This Row],[ShipDate]],"yyyy - mmmm")</f>
        <v>2016 - January</v>
      </c>
      <c r="G1167" s="17" t="str">
        <f>data[[#This Row],[OriginCity]] &amp; " - "  &amp; data[[#This Row],[DestinationCity]]</f>
        <v>Davenport - Appleton</v>
      </c>
      <c r="H1167" s="17" t="s">
        <v>105</v>
      </c>
      <c r="I1167" s="17" t="s">
        <v>106</v>
      </c>
      <c r="J1167" s="17">
        <v>2</v>
      </c>
      <c r="K1167" s="17" t="s">
        <v>85</v>
      </c>
      <c r="L1167" s="17" t="s">
        <v>29</v>
      </c>
      <c r="M1167" s="17" t="s">
        <v>264</v>
      </c>
      <c r="N1167" s="17">
        <v>1192</v>
      </c>
      <c r="O1167" s="17">
        <v>730</v>
      </c>
      <c r="P1167" s="26">
        <f>(data[[#This Row],[LoadedMiles]]/data[[#This Row],[TotalMiles]])*100</f>
        <v>61.241610738255034</v>
      </c>
      <c r="Q1167" s="25">
        <f>data[[#This Row],[ShippingCost]]/data[[#This Row],[TotalMiles]]</f>
        <v>1.6174496644295302</v>
      </c>
      <c r="R1167" s="17">
        <v>1928</v>
      </c>
      <c r="S1167" s="25">
        <f>data[[#This Row],[Revenue]]/data[[#This Row],[TotalMiles]]</f>
        <v>1.7936241610738255</v>
      </c>
      <c r="T1167" s="26">
        <f>data[[#This Row],[Revenue]]-data[[#This Row],[ShippingCost]]</f>
        <v>210</v>
      </c>
      <c r="U1167" s="17">
        <v>2138</v>
      </c>
      <c r="V1167" s="17">
        <v>97</v>
      </c>
      <c r="W1167" s="17" t="s">
        <v>25</v>
      </c>
      <c r="X1167" s="17">
        <v>10</v>
      </c>
      <c r="Y1167" s="17">
        <f>data[[#This Row],[DeliveryDate]]-data[[#This Row],[ShipDate]]</f>
        <v>2</v>
      </c>
      <c r="Z1167" s="17" t="str">
        <f>IF(data[[#This Row],[Actual Delivery Days]]&gt;AD1168,"Yes","No")</f>
        <v>Yes</v>
      </c>
    </row>
    <row r="1168" spans="1:26">
      <c r="A1168" s="17">
        <v>10139</v>
      </c>
      <c r="B1168" s="17">
        <v>2</v>
      </c>
      <c r="C1168" s="17">
        <v>5</v>
      </c>
      <c r="D1168" s="17" t="s">
        <v>389</v>
      </c>
      <c r="E1168" s="17" t="s">
        <v>79</v>
      </c>
      <c r="F1168" s="17" t="str">
        <f>TEXT(data[[#This Row],[ShipDate]],"yyyy - mmmm")</f>
        <v>2016 - June</v>
      </c>
      <c r="G1168" s="17" t="str">
        <f>data[[#This Row],[OriginCity]] &amp; " - "  &amp; data[[#This Row],[DestinationCity]]</f>
        <v>Toledo - Detriot</v>
      </c>
      <c r="H1168" s="17" t="s">
        <v>22</v>
      </c>
      <c r="I1168" s="17" t="s">
        <v>23</v>
      </c>
      <c r="J1168" s="17">
        <v>2</v>
      </c>
      <c r="K1168" s="17" t="s">
        <v>52</v>
      </c>
      <c r="L1168" s="17" t="s">
        <v>21</v>
      </c>
      <c r="M1168" s="17" t="s">
        <v>293</v>
      </c>
      <c r="N1168" s="17">
        <v>589</v>
      </c>
      <c r="O1168" s="17">
        <v>589</v>
      </c>
      <c r="P1168" s="26">
        <f>(data[[#This Row],[LoadedMiles]]/data[[#This Row],[TotalMiles]])*100</f>
        <v>100</v>
      </c>
      <c r="Q1168" s="25">
        <f>data[[#This Row],[ShippingCost]]/data[[#This Row],[TotalMiles]]</f>
        <v>6.5976230899830224</v>
      </c>
      <c r="R1168" s="17">
        <v>3886</v>
      </c>
      <c r="S1168" s="25">
        <f>data[[#This Row],[Revenue]]/data[[#This Row],[TotalMiles]]</f>
        <v>7.2003395585738543</v>
      </c>
      <c r="T1168" s="26">
        <f>data[[#This Row],[Revenue]]-data[[#This Row],[ShippingCost]]</f>
        <v>355</v>
      </c>
      <c r="U1168" s="17">
        <v>4241</v>
      </c>
      <c r="V1168" s="17">
        <v>52</v>
      </c>
      <c r="W1168" s="17" t="s">
        <v>25</v>
      </c>
      <c r="X1168" s="17">
        <v>5</v>
      </c>
      <c r="Y1168" s="17">
        <f>data[[#This Row],[DeliveryDate]]-data[[#This Row],[ShipDate]]</f>
        <v>2</v>
      </c>
      <c r="Z1168" s="17" t="str">
        <f>IF(data[[#This Row],[Actual Delivery Days]]&gt;AD1169,"Yes","No")</f>
        <v>Yes</v>
      </c>
    </row>
    <row r="1169" spans="1:26">
      <c r="A1169" s="17">
        <v>10142</v>
      </c>
      <c r="B1169" s="17">
        <v>2</v>
      </c>
      <c r="C1169" s="17">
        <v>5</v>
      </c>
      <c r="D1169" s="17" t="s">
        <v>393</v>
      </c>
      <c r="E1169" s="17" t="s">
        <v>229</v>
      </c>
      <c r="F1169" s="17" t="str">
        <f>TEXT(data[[#This Row],[ShipDate]],"yyyy - mmmm")</f>
        <v>2016 - January</v>
      </c>
      <c r="G1169" s="17" t="str">
        <f>data[[#This Row],[OriginCity]] &amp; " - "  &amp; data[[#This Row],[DestinationCity]]</f>
        <v>Elgin - Cincinnati</v>
      </c>
      <c r="H1169" s="17" t="s">
        <v>94</v>
      </c>
      <c r="I1169" s="17" t="s">
        <v>31</v>
      </c>
      <c r="J1169" s="17">
        <v>2</v>
      </c>
      <c r="K1169" s="17" t="s">
        <v>89</v>
      </c>
      <c r="L1169" s="17" t="s">
        <v>23</v>
      </c>
      <c r="M1169" s="17" t="s">
        <v>394</v>
      </c>
      <c r="N1169" s="17">
        <v>753</v>
      </c>
      <c r="O1169" s="17">
        <v>628</v>
      </c>
      <c r="P1169" s="26">
        <f>(data[[#This Row],[LoadedMiles]]/data[[#This Row],[TotalMiles]])*100</f>
        <v>83.399734395750329</v>
      </c>
      <c r="Q1169" s="25">
        <f>data[[#This Row],[ShippingCost]]/data[[#This Row],[TotalMiles]]</f>
        <v>1.6374501992031874</v>
      </c>
      <c r="R1169" s="17">
        <v>1233</v>
      </c>
      <c r="S1169" s="25">
        <f>data[[#This Row],[Revenue]]/data[[#This Row],[TotalMiles]]</f>
        <v>2.3213811420982737</v>
      </c>
      <c r="T1169" s="26">
        <f>data[[#This Row],[Revenue]]-data[[#This Row],[ShippingCost]]</f>
        <v>515</v>
      </c>
      <c r="U1169" s="17">
        <v>1748</v>
      </c>
      <c r="V1169" s="17">
        <v>86</v>
      </c>
      <c r="W1169" s="17" t="s">
        <v>25</v>
      </c>
      <c r="X1169" s="17">
        <v>7</v>
      </c>
      <c r="Y1169" s="17">
        <f>data[[#This Row],[DeliveryDate]]-data[[#This Row],[ShipDate]]</f>
        <v>2</v>
      </c>
      <c r="Z1169" s="17" t="str">
        <f>IF(data[[#This Row],[Actual Delivery Days]]&gt;AD1170,"Yes","No")</f>
        <v>Yes</v>
      </c>
    </row>
    <row r="1170" spans="1:26">
      <c r="A1170" s="17">
        <v>10145</v>
      </c>
      <c r="B1170" s="17">
        <v>1</v>
      </c>
      <c r="C1170" s="17">
        <v>7</v>
      </c>
      <c r="D1170" s="17" t="s">
        <v>400</v>
      </c>
      <c r="E1170" s="17" t="s">
        <v>296</v>
      </c>
      <c r="F1170" s="17" t="str">
        <f>TEXT(data[[#This Row],[ShipDate]],"yyyy - mmmm")</f>
        <v>2016 - March</v>
      </c>
      <c r="G1170" s="17" t="str">
        <f>data[[#This Row],[OriginCity]] &amp; " - "  &amp; data[[#This Row],[DestinationCity]]</f>
        <v>Grand Rapids - Toledo</v>
      </c>
      <c r="H1170" s="17" t="s">
        <v>20</v>
      </c>
      <c r="I1170" s="17" t="s">
        <v>21</v>
      </c>
      <c r="J1170" s="17">
        <v>2</v>
      </c>
      <c r="K1170" s="17" t="s">
        <v>22</v>
      </c>
      <c r="L1170" s="17" t="s">
        <v>23</v>
      </c>
      <c r="M1170" s="17" t="s">
        <v>296</v>
      </c>
      <c r="N1170" s="17">
        <v>587</v>
      </c>
      <c r="O1170" s="17">
        <v>587</v>
      </c>
      <c r="P1170" s="26">
        <f>(data[[#This Row],[LoadedMiles]]/data[[#This Row],[TotalMiles]])*100</f>
        <v>100</v>
      </c>
      <c r="Q1170" s="25">
        <f>data[[#This Row],[ShippingCost]]/data[[#This Row],[TotalMiles]]</f>
        <v>5.4463373083475295</v>
      </c>
      <c r="R1170" s="17">
        <v>3197</v>
      </c>
      <c r="S1170" s="25">
        <f>data[[#This Row],[Revenue]]/data[[#This Row],[TotalMiles]]</f>
        <v>5.9131175468483814</v>
      </c>
      <c r="T1170" s="26">
        <f>data[[#This Row],[Revenue]]-data[[#This Row],[ShippingCost]]</f>
        <v>274</v>
      </c>
      <c r="U1170" s="17">
        <v>3471</v>
      </c>
      <c r="V1170" s="17">
        <v>90</v>
      </c>
      <c r="W1170" s="17" t="s">
        <v>25</v>
      </c>
      <c r="X1170" s="17">
        <v>6</v>
      </c>
      <c r="Y1170" s="17">
        <f>data[[#This Row],[DeliveryDate]]-data[[#This Row],[ShipDate]]</f>
        <v>0</v>
      </c>
      <c r="Z1170" s="17" t="str">
        <f>IF(data[[#This Row],[Actual Delivery Days]]&gt;AD1171,"Yes","No")</f>
        <v>No</v>
      </c>
    </row>
    <row r="1171" spans="1:26">
      <c r="A1171" s="17">
        <v>10151</v>
      </c>
      <c r="B1171" s="17">
        <v>1</v>
      </c>
      <c r="C1171" s="17">
        <v>6</v>
      </c>
      <c r="D1171" s="17" t="s">
        <v>409</v>
      </c>
      <c r="E1171" s="17" t="s">
        <v>410</v>
      </c>
      <c r="F1171" s="17" t="str">
        <f>TEXT(data[[#This Row],[ShipDate]],"yyyy - mmmm")</f>
        <v>2016 - June</v>
      </c>
      <c r="G1171" s="17" t="str">
        <f>data[[#This Row],[OriginCity]] &amp; " - "  &amp; data[[#This Row],[DestinationCity]]</f>
        <v>Detriot - Monon</v>
      </c>
      <c r="H1171" s="17" t="s">
        <v>52</v>
      </c>
      <c r="I1171" s="17" t="s">
        <v>21</v>
      </c>
      <c r="J1171" s="17">
        <v>2</v>
      </c>
      <c r="K1171" s="17" t="s">
        <v>53</v>
      </c>
      <c r="L1171" s="17" t="s">
        <v>44</v>
      </c>
      <c r="M1171" s="17" t="s">
        <v>146</v>
      </c>
      <c r="N1171" s="17">
        <v>307</v>
      </c>
      <c r="O1171" s="17">
        <v>307</v>
      </c>
      <c r="P1171" s="26">
        <f>(data[[#This Row],[LoadedMiles]]/data[[#This Row],[TotalMiles]])*100</f>
        <v>100</v>
      </c>
      <c r="Q1171" s="25">
        <f>data[[#This Row],[ShippingCost]]/data[[#This Row],[TotalMiles]]</f>
        <v>0.82084690553745931</v>
      </c>
      <c r="R1171" s="17">
        <v>252</v>
      </c>
      <c r="S1171" s="25">
        <f>data[[#This Row],[Revenue]]/data[[#This Row],[TotalMiles]]</f>
        <v>2.4657980456026061</v>
      </c>
      <c r="T1171" s="26">
        <f>data[[#This Row],[Revenue]]-data[[#This Row],[ShippingCost]]</f>
        <v>505</v>
      </c>
      <c r="U1171" s="17">
        <v>757</v>
      </c>
      <c r="V1171" s="17">
        <v>73</v>
      </c>
      <c r="W1171" s="17" t="s">
        <v>86</v>
      </c>
      <c r="X1171" s="17">
        <v>10</v>
      </c>
      <c r="Y1171" s="17">
        <f>data[[#This Row],[DeliveryDate]]-data[[#This Row],[ShipDate]]</f>
        <v>2</v>
      </c>
      <c r="Z1171" s="17" t="str">
        <f>IF(data[[#This Row],[Actual Delivery Days]]&gt;AD1172,"Yes","No")</f>
        <v>Yes</v>
      </c>
    </row>
    <row r="1172" spans="1:26">
      <c r="A1172" s="17">
        <v>10152</v>
      </c>
      <c r="B1172" s="17">
        <v>1</v>
      </c>
      <c r="C1172" s="17">
        <v>6</v>
      </c>
      <c r="D1172" s="17" t="s">
        <v>411</v>
      </c>
      <c r="E1172" s="17" t="s">
        <v>391</v>
      </c>
      <c r="F1172" s="17" t="str">
        <f>TEXT(data[[#This Row],[ShipDate]],"yyyy - mmmm")</f>
        <v>2016 - March</v>
      </c>
      <c r="G1172" s="17" t="str">
        <f>data[[#This Row],[OriginCity]] &amp; " - "  &amp; data[[#This Row],[DestinationCity]]</f>
        <v>Gary - Milwaukee</v>
      </c>
      <c r="H1172" s="17" t="s">
        <v>57</v>
      </c>
      <c r="I1172" s="17" t="s">
        <v>44</v>
      </c>
      <c r="J1172" s="17">
        <v>2</v>
      </c>
      <c r="K1172" s="17" t="s">
        <v>28</v>
      </c>
      <c r="L1172" s="17" t="s">
        <v>29</v>
      </c>
      <c r="M1172" s="17" t="s">
        <v>207</v>
      </c>
      <c r="N1172" s="17">
        <v>636</v>
      </c>
      <c r="O1172" s="17">
        <v>536</v>
      </c>
      <c r="P1172" s="26">
        <f>(data[[#This Row],[LoadedMiles]]/data[[#This Row],[TotalMiles]])*100</f>
        <v>84.276729559748432</v>
      </c>
      <c r="Q1172" s="25">
        <f>data[[#This Row],[ShippingCost]]/data[[#This Row],[TotalMiles]]</f>
        <v>11.234276729559749</v>
      </c>
      <c r="R1172" s="17">
        <v>7145</v>
      </c>
      <c r="S1172" s="25">
        <f>data[[#This Row],[Revenue]]/data[[#This Row],[TotalMiles]]</f>
        <v>11.85062893081761</v>
      </c>
      <c r="T1172" s="26">
        <f>data[[#This Row],[Revenue]]-data[[#This Row],[ShippingCost]]</f>
        <v>392</v>
      </c>
      <c r="U1172" s="17">
        <v>7537</v>
      </c>
      <c r="V1172" s="17">
        <v>72</v>
      </c>
      <c r="W1172" s="17" t="s">
        <v>25</v>
      </c>
      <c r="X1172" s="17">
        <v>4</v>
      </c>
      <c r="Y1172" s="17">
        <f>data[[#This Row],[DeliveryDate]]-data[[#This Row],[ShipDate]]</f>
        <v>2</v>
      </c>
      <c r="Z1172" s="17" t="str">
        <f>IF(data[[#This Row],[Actual Delivery Days]]&gt;AD1173,"Yes","No")</f>
        <v>Yes</v>
      </c>
    </row>
    <row r="1173" spans="1:26">
      <c r="A1173" s="17">
        <v>10156</v>
      </c>
      <c r="B1173" s="17">
        <v>2</v>
      </c>
      <c r="C1173" s="17">
        <v>4</v>
      </c>
      <c r="D1173" s="17" t="s">
        <v>420</v>
      </c>
      <c r="E1173" s="17" t="s">
        <v>309</v>
      </c>
      <c r="F1173" s="17" t="str">
        <f>TEXT(data[[#This Row],[ShipDate]],"yyyy - mmmm")</f>
        <v>2016 - February</v>
      </c>
      <c r="G1173" s="17" t="str">
        <f>data[[#This Row],[OriginCity]] &amp; " - "  &amp; data[[#This Row],[DestinationCity]]</f>
        <v>Naperville - Indianapolis</v>
      </c>
      <c r="H1173" s="17" t="s">
        <v>48</v>
      </c>
      <c r="I1173" s="17" t="s">
        <v>31</v>
      </c>
      <c r="J1173" s="17">
        <v>2</v>
      </c>
      <c r="K1173" s="17" t="s">
        <v>43</v>
      </c>
      <c r="L1173" s="17" t="s">
        <v>44</v>
      </c>
      <c r="M1173" s="17" t="s">
        <v>309</v>
      </c>
      <c r="N1173" s="17">
        <v>832</v>
      </c>
      <c r="O1173" s="17">
        <v>439</v>
      </c>
      <c r="P1173" s="26">
        <f>(data[[#This Row],[LoadedMiles]]/data[[#This Row],[TotalMiles]])*100</f>
        <v>52.764423076923073</v>
      </c>
      <c r="Q1173" s="25">
        <f>data[[#This Row],[ShippingCost]]/data[[#This Row],[TotalMiles]]</f>
        <v>6.5396634615384617</v>
      </c>
      <c r="R1173" s="17">
        <v>5441</v>
      </c>
      <c r="S1173" s="25">
        <f>data[[#This Row],[Revenue]]/data[[#This Row],[TotalMiles]]</f>
        <v>4.9350961538461542</v>
      </c>
      <c r="T1173" s="26">
        <f>data[[#This Row],[Revenue]]-data[[#This Row],[ShippingCost]]</f>
        <v>-1335</v>
      </c>
      <c r="U1173" s="17">
        <v>4106</v>
      </c>
      <c r="V1173" s="17">
        <v>92</v>
      </c>
      <c r="W1173" s="17" t="s">
        <v>25</v>
      </c>
      <c r="X1173" s="17">
        <v>9</v>
      </c>
      <c r="Y1173" s="17">
        <f>data[[#This Row],[DeliveryDate]]-data[[#This Row],[ShipDate]]</f>
        <v>0</v>
      </c>
      <c r="Z1173" s="17" t="str">
        <f>IF(data[[#This Row],[Actual Delivery Days]]&gt;AD1174,"Yes","No")</f>
        <v>No</v>
      </c>
    </row>
    <row r="1174" spans="1:26">
      <c r="A1174" s="17">
        <v>10157</v>
      </c>
      <c r="B1174" s="17">
        <v>1</v>
      </c>
      <c r="C1174" s="17">
        <v>8</v>
      </c>
      <c r="D1174" s="17" t="s">
        <v>421</v>
      </c>
      <c r="E1174" s="17" t="s">
        <v>416</v>
      </c>
      <c r="F1174" s="17" t="str">
        <f>TEXT(data[[#This Row],[ShipDate]],"yyyy - mmmm")</f>
        <v>2016 - August</v>
      </c>
      <c r="G1174" s="17" t="str">
        <f>data[[#This Row],[OriginCity]] &amp; " - "  &amp; data[[#This Row],[DestinationCity]]</f>
        <v>Rockford - Green Bay</v>
      </c>
      <c r="H1174" s="17" t="s">
        <v>40</v>
      </c>
      <c r="I1174" s="17" t="s">
        <v>31</v>
      </c>
      <c r="J1174" s="17">
        <v>2</v>
      </c>
      <c r="K1174" s="17" t="s">
        <v>75</v>
      </c>
      <c r="L1174" s="17" t="s">
        <v>29</v>
      </c>
      <c r="M1174" s="17" t="s">
        <v>422</v>
      </c>
      <c r="N1174" s="17">
        <v>760</v>
      </c>
      <c r="O1174" s="17">
        <v>265</v>
      </c>
      <c r="P1174" s="26">
        <f>(data[[#This Row],[LoadedMiles]]/data[[#This Row],[TotalMiles]])*100</f>
        <v>34.868421052631575</v>
      </c>
      <c r="Q1174" s="25">
        <f>data[[#This Row],[ShippingCost]]/data[[#This Row],[TotalMiles]]</f>
        <v>0.12763157894736843</v>
      </c>
      <c r="R1174" s="17">
        <v>97</v>
      </c>
      <c r="S1174" s="25">
        <f>data[[#This Row],[Revenue]]/data[[#This Row],[TotalMiles]]</f>
        <v>0.97105263157894739</v>
      </c>
      <c r="T1174" s="26">
        <f>data[[#This Row],[Revenue]]-data[[#This Row],[ShippingCost]]</f>
        <v>641</v>
      </c>
      <c r="U1174" s="17">
        <v>738</v>
      </c>
      <c r="V1174" s="17">
        <v>83</v>
      </c>
      <c r="W1174" s="17" t="s">
        <v>25</v>
      </c>
      <c r="X1174" s="17">
        <v>7</v>
      </c>
      <c r="Y1174" s="17">
        <f>data[[#This Row],[DeliveryDate]]-data[[#This Row],[ShipDate]]</f>
        <v>2</v>
      </c>
      <c r="Z1174" s="17" t="str">
        <f>IF(data[[#This Row],[Actual Delivery Days]]&gt;AD1175,"Yes","No")</f>
        <v>Yes</v>
      </c>
    </row>
    <row r="1175" spans="1:26">
      <c r="A1175" s="17">
        <v>10161</v>
      </c>
      <c r="B1175" s="17">
        <v>2</v>
      </c>
      <c r="C1175" s="17">
        <v>6</v>
      </c>
      <c r="D1175" s="17" t="s">
        <v>429</v>
      </c>
      <c r="E1175" s="17" t="s">
        <v>337</v>
      </c>
      <c r="F1175" s="17" t="str">
        <f>TEXT(data[[#This Row],[ShipDate]],"yyyy - mmmm")</f>
        <v>2016 - March</v>
      </c>
      <c r="G1175" s="17" t="str">
        <f>data[[#This Row],[OriginCity]] &amp; " - "  &amp; data[[#This Row],[DestinationCity]]</f>
        <v>Lansing - Dayton</v>
      </c>
      <c r="H1175" s="17" t="s">
        <v>66</v>
      </c>
      <c r="I1175" s="17" t="s">
        <v>21</v>
      </c>
      <c r="J1175" s="17">
        <v>2</v>
      </c>
      <c r="K1175" s="17" t="s">
        <v>93</v>
      </c>
      <c r="L1175" s="17" t="s">
        <v>23</v>
      </c>
      <c r="M1175" s="17" t="s">
        <v>430</v>
      </c>
      <c r="N1175" s="17">
        <v>1029</v>
      </c>
      <c r="O1175" s="17">
        <v>475</v>
      </c>
      <c r="P1175" s="26">
        <f>(data[[#This Row],[LoadedMiles]]/data[[#This Row],[TotalMiles]])*100</f>
        <v>46.161321671525748</v>
      </c>
      <c r="Q1175" s="25">
        <f>data[[#This Row],[ShippingCost]]/data[[#This Row],[TotalMiles]]</f>
        <v>6.7162293488824103</v>
      </c>
      <c r="R1175" s="17">
        <v>6911</v>
      </c>
      <c r="S1175" s="25">
        <f>data[[#This Row],[Revenue]]/data[[#This Row],[TotalMiles]]</f>
        <v>7.0758017492711369</v>
      </c>
      <c r="T1175" s="26">
        <f>data[[#This Row],[Revenue]]-data[[#This Row],[ShippingCost]]</f>
        <v>370</v>
      </c>
      <c r="U1175" s="17">
        <v>7281</v>
      </c>
      <c r="V1175" s="17">
        <v>67</v>
      </c>
      <c r="W1175" s="17" t="s">
        <v>25</v>
      </c>
      <c r="X1175" s="17">
        <v>4</v>
      </c>
      <c r="Y1175" s="17">
        <f>data[[#This Row],[DeliveryDate]]-data[[#This Row],[ShipDate]]</f>
        <v>2</v>
      </c>
      <c r="Z1175" s="17" t="str">
        <f>IF(data[[#This Row],[Actual Delivery Days]]&gt;AD1176,"Yes","No")</f>
        <v>Yes</v>
      </c>
    </row>
    <row r="1176" spans="1:26">
      <c r="A1176" s="17">
        <v>10162</v>
      </c>
      <c r="B1176" s="17">
        <v>2</v>
      </c>
      <c r="C1176" s="17">
        <v>7</v>
      </c>
      <c r="D1176" s="17" t="s">
        <v>431</v>
      </c>
      <c r="E1176" s="17" t="s">
        <v>164</v>
      </c>
      <c r="F1176" s="17" t="str">
        <f>TEXT(data[[#This Row],[ShipDate]],"yyyy - mmmm")</f>
        <v>2016 - February</v>
      </c>
      <c r="G1176" s="17" t="str">
        <f>data[[#This Row],[OriginCity]] &amp; " - "  &amp; data[[#This Row],[DestinationCity]]</f>
        <v>Bangor - Davenport</v>
      </c>
      <c r="H1176" s="17" t="s">
        <v>104</v>
      </c>
      <c r="I1176" s="17" t="s">
        <v>21</v>
      </c>
      <c r="J1176" s="17">
        <v>2</v>
      </c>
      <c r="K1176" s="17" t="s">
        <v>105</v>
      </c>
      <c r="L1176" s="17" t="s">
        <v>106</v>
      </c>
      <c r="M1176" s="17" t="s">
        <v>310</v>
      </c>
      <c r="N1176" s="17">
        <v>809</v>
      </c>
      <c r="O1176" s="17">
        <v>555</v>
      </c>
      <c r="P1176" s="26">
        <f>(data[[#This Row],[LoadedMiles]]/data[[#This Row],[TotalMiles]])*100</f>
        <v>68.603213844252167</v>
      </c>
      <c r="Q1176" s="25">
        <f>data[[#This Row],[ShippingCost]]/data[[#This Row],[TotalMiles]]</f>
        <v>2.1681087762669962</v>
      </c>
      <c r="R1176" s="17">
        <v>1754</v>
      </c>
      <c r="S1176" s="25">
        <f>data[[#This Row],[Revenue]]/data[[#This Row],[TotalMiles]]</f>
        <v>3.3275648949320149</v>
      </c>
      <c r="T1176" s="26">
        <f>data[[#This Row],[Revenue]]-data[[#This Row],[ShippingCost]]</f>
        <v>938</v>
      </c>
      <c r="U1176" s="17">
        <v>2692</v>
      </c>
      <c r="V1176" s="17">
        <v>52</v>
      </c>
      <c r="W1176" s="17" t="s">
        <v>25</v>
      </c>
      <c r="X1176" s="17">
        <v>9</v>
      </c>
      <c r="Y1176" s="17">
        <f>data[[#This Row],[DeliveryDate]]-data[[#This Row],[ShipDate]]</f>
        <v>2</v>
      </c>
      <c r="Z1176" s="17" t="str">
        <f>IF(data[[#This Row],[Actual Delivery Days]]&gt;AD1177,"Yes","No")</f>
        <v>Yes</v>
      </c>
    </row>
    <row r="1177" spans="1:26">
      <c r="A1177" s="17">
        <v>10169</v>
      </c>
      <c r="B1177" s="17">
        <v>2</v>
      </c>
      <c r="C1177" s="17">
        <v>4</v>
      </c>
      <c r="D1177" s="17" t="s">
        <v>442</v>
      </c>
      <c r="E1177" s="17" t="s">
        <v>352</v>
      </c>
      <c r="F1177" s="17" t="str">
        <f>TEXT(data[[#This Row],[ShipDate]],"yyyy - mmmm")</f>
        <v>2016 - March</v>
      </c>
      <c r="G1177" s="17" t="str">
        <f>data[[#This Row],[OriginCity]] &amp; " - "  &amp; data[[#This Row],[DestinationCity]]</f>
        <v>Chicago - Rockford</v>
      </c>
      <c r="H1177" s="17" t="s">
        <v>39</v>
      </c>
      <c r="I1177" s="17" t="s">
        <v>31</v>
      </c>
      <c r="J1177" s="17">
        <v>2</v>
      </c>
      <c r="K1177" s="17" t="s">
        <v>40</v>
      </c>
      <c r="L1177" s="17" t="s">
        <v>31</v>
      </c>
      <c r="M1177" s="17" t="s">
        <v>353</v>
      </c>
      <c r="N1177" s="17">
        <v>328</v>
      </c>
      <c r="O1177" s="17">
        <v>328</v>
      </c>
      <c r="P1177" s="26">
        <f>(data[[#This Row],[LoadedMiles]]/data[[#This Row],[TotalMiles]])*100</f>
        <v>100</v>
      </c>
      <c r="Q1177" s="25">
        <f>data[[#This Row],[ShippingCost]]/data[[#This Row],[TotalMiles]]</f>
        <v>7.875</v>
      </c>
      <c r="R1177" s="17">
        <v>2583</v>
      </c>
      <c r="S1177" s="25">
        <f>data[[#This Row],[Revenue]]/data[[#This Row],[TotalMiles]]</f>
        <v>2.4451219512195124</v>
      </c>
      <c r="T1177" s="26">
        <f>data[[#This Row],[Revenue]]-data[[#This Row],[ShippingCost]]</f>
        <v>-1781</v>
      </c>
      <c r="U1177" s="17">
        <v>802</v>
      </c>
      <c r="V1177" s="17">
        <v>71</v>
      </c>
      <c r="W1177" s="17" t="s">
        <v>25</v>
      </c>
      <c r="X1177" s="17">
        <v>1</v>
      </c>
      <c r="Y1177" s="17">
        <f>data[[#This Row],[DeliveryDate]]-data[[#This Row],[ShipDate]]</f>
        <v>2</v>
      </c>
      <c r="Z1177" s="17" t="str">
        <f>IF(data[[#This Row],[Actual Delivery Days]]&gt;AD1178,"Yes","No")</f>
        <v>Yes</v>
      </c>
    </row>
    <row r="1178" spans="1:26">
      <c r="A1178" s="17">
        <v>10170</v>
      </c>
      <c r="B1178" s="17">
        <v>2</v>
      </c>
      <c r="C1178" s="17">
        <v>5</v>
      </c>
      <c r="D1178" s="17" t="s">
        <v>443</v>
      </c>
      <c r="E1178" s="17" t="s">
        <v>283</v>
      </c>
      <c r="F1178" s="17" t="str">
        <f>TEXT(data[[#This Row],[ShipDate]],"yyyy - mmmm")</f>
        <v>2016 - June</v>
      </c>
      <c r="G1178" s="17" t="str">
        <f>data[[#This Row],[OriginCity]] &amp; " - "  &amp; data[[#This Row],[DestinationCity]]</f>
        <v>Indianapolis - Northbrook</v>
      </c>
      <c r="H1178" s="17" t="s">
        <v>43</v>
      </c>
      <c r="I1178" s="17" t="s">
        <v>44</v>
      </c>
      <c r="J1178" s="17">
        <v>2</v>
      </c>
      <c r="K1178" s="17" t="s">
        <v>45</v>
      </c>
      <c r="L1178" s="17" t="s">
        <v>31</v>
      </c>
      <c r="M1178" s="17" t="s">
        <v>444</v>
      </c>
      <c r="N1178" s="17">
        <v>836</v>
      </c>
      <c r="O1178" s="17">
        <v>712</v>
      </c>
      <c r="P1178" s="26">
        <f>(data[[#This Row],[LoadedMiles]]/data[[#This Row],[TotalMiles]])*100</f>
        <v>85.167464114832541</v>
      </c>
      <c r="Q1178" s="25">
        <f>data[[#This Row],[ShippingCost]]/data[[#This Row],[TotalMiles]]</f>
        <v>2.5645933014354068</v>
      </c>
      <c r="R1178" s="17">
        <v>2144</v>
      </c>
      <c r="S1178" s="25">
        <f>data[[#This Row],[Revenue]]/data[[#This Row],[TotalMiles]]</f>
        <v>3.0083732057416266</v>
      </c>
      <c r="T1178" s="26">
        <f>data[[#This Row],[Revenue]]-data[[#This Row],[ShippingCost]]</f>
        <v>371</v>
      </c>
      <c r="U1178" s="17">
        <v>2515</v>
      </c>
      <c r="V1178" s="17">
        <v>93</v>
      </c>
      <c r="W1178" s="17" t="s">
        <v>25</v>
      </c>
      <c r="X1178" s="17">
        <v>8</v>
      </c>
      <c r="Y1178" s="17">
        <f>data[[#This Row],[DeliveryDate]]-data[[#This Row],[ShipDate]]</f>
        <v>2</v>
      </c>
      <c r="Z1178" s="17" t="str">
        <f>IF(data[[#This Row],[Actual Delivery Days]]&gt;AD1179,"Yes","No")</f>
        <v>Yes</v>
      </c>
    </row>
    <row r="1179" spans="1:26">
      <c r="A1179" s="17">
        <v>10173</v>
      </c>
      <c r="B1179" s="17">
        <v>1</v>
      </c>
      <c r="C1179" s="17">
        <v>4</v>
      </c>
      <c r="D1179" s="17" t="s">
        <v>450</v>
      </c>
      <c r="E1179" s="17" t="s">
        <v>444</v>
      </c>
      <c r="F1179" s="17" t="str">
        <f>TEXT(data[[#This Row],[ShipDate]],"yyyy - mmmm")</f>
        <v>2016 - June</v>
      </c>
      <c r="G1179" s="17" t="str">
        <f>data[[#This Row],[OriginCity]] &amp; " - "  &amp; data[[#This Row],[DestinationCity]]</f>
        <v>Joliet - Madison</v>
      </c>
      <c r="H1179" s="17" t="s">
        <v>61</v>
      </c>
      <c r="I1179" s="17" t="s">
        <v>31</v>
      </c>
      <c r="J1179" s="17">
        <v>2</v>
      </c>
      <c r="K1179" s="17" t="s">
        <v>62</v>
      </c>
      <c r="L1179" s="17" t="s">
        <v>29</v>
      </c>
      <c r="M1179" s="17" t="s">
        <v>444</v>
      </c>
      <c r="N1179" s="17">
        <v>750</v>
      </c>
      <c r="O1179" s="17">
        <v>672</v>
      </c>
      <c r="P1179" s="26">
        <f>(data[[#This Row],[LoadedMiles]]/data[[#This Row],[TotalMiles]])*100</f>
        <v>89.600000000000009</v>
      </c>
      <c r="Q1179" s="25">
        <f>data[[#This Row],[ShippingCost]]/data[[#This Row],[TotalMiles]]</f>
        <v>4.6079999999999997</v>
      </c>
      <c r="R1179" s="17">
        <v>3456</v>
      </c>
      <c r="S1179" s="25">
        <f>data[[#This Row],[Revenue]]/data[[#This Row],[TotalMiles]]</f>
        <v>2.008</v>
      </c>
      <c r="T1179" s="26">
        <f>data[[#This Row],[Revenue]]-data[[#This Row],[ShippingCost]]</f>
        <v>-1950</v>
      </c>
      <c r="U1179" s="17">
        <v>1506</v>
      </c>
      <c r="V1179" s="17">
        <v>73</v>
      </c>
      <c r="W1179" s="17" t="s">
        <v>25</v>
      </c>
      <c r="X1179" s="17">
        <v>2</v>
      </c>
      <c r="Y1179" s="17">
        <f>data[[#This Row],[DeliveryDate]]-data[[#This Row],[ShipDate]]</f>
        <v>0</v>
      </c>
      <c r="Z1179" s="17" t="str">
        <f>IF(data[[#This Row],[Actual Delivery Days]]&gt;AD1180,"Yes","No")</f>
        <v>No</v>
      </c>
    </row>
    <row r="1180" spans="1:26">
      <c r="A1180" s="17">
        <v>10176</v>
      </c>
      <c r="B1180" s="17">
        <v>2</v>
      </c>
      <c r="C1180" s="17">
        <v>6</v>
      </c>
      <c r="D1180" s="17" t="s">
        <v>456</v>
      </c>
      <c r="E1180" s="17" t="s">
        <v>365</v>
      </c>
      <c r="F1180" s="17" t="str">
        <f>TEXT(data[[#This Row],[ShipDate]],"yyyy - mmmm")</f>
        <v>2016 - June</v>
      </c>
      <c r="G1180" s="17" t="str">
        <f>data[[#This Row],[OriginCity]] &amp; " - "  &amp; data[[#This Row],[DestinationCity]]</f>
        <v>Naperville - Indianapolis</v>
      </c>
      <c r="H1180" s="17" t="s">
        <v>48</v>
      </c>
      <c r="I1180" s="17" t="s">
        <v>31</v>
      </c>
      <c r="J1180" s="17">
        <v>2</v>
      </c>
      <c r="K1180" s="17" t="s">
        <v>43</v>
      </c>
      <c r="L1180" s="17" t="s">
        <v>44</v>
      </c>
      <c r="M1180" s="17" t="s">
        <v>410</v>
      </c>
      <c r="N1180" s="17">
        <v>917</v>
      </c>
      <c r="O1180" s="17">
        <v>665</v>
      </c>
      <c r="P1180" s="26">
        <f>(data[[#This Row],[LoadedMiles]]/data[[#This Row],[TotalMiles]])*100</f>
        <v>72.51908396946564</v>
      </c>
      <c r="Q1180" s="25">
        <f>data[[#This Row],[ShippingCost]]/data[[#This Row],[TotalMiles]]</f>
        <v>6.9989094874591053</v>
      </c>
      <c r="R1180" s="17">
        <v>6418</v>
      </c>
      <c r="S1180" s="25">
        <f>data[[#This Row],[Revenue]]/data[[#This Row],[TotalMiles]]</f>
        <v>7.1363140676117771</v>
      </c>
      <c r="T1180" s="26">
        <f>data[[#This Row],[Revenue]]-data[[#This Row],[ShippingCost]]</f>
        <v>126</v>
      </c>
      <c r="U1180" s="17">
        <v>6544</v>
      </c>
      <c r="V1180" s="17">
        <v>74</v>
      </c>
      <c r="W1180" s="17" t="s">
        <v>25</v>
      </c>
      <c r="X1180" s="17">
        <v>1</v>
      </c>
      <c r="Y1180" s="17">
        <f>data[[#This Row],[DeliveryDate]]-data[[#This Row],[ShipDate]]</f>
        <v>2</v>
      </c>
      <c r="Z1180" s="17" t="str">
        <f>IF(data[[#This Row],[Actual Delivery Days]]&gt;AD1181,"Yes","No")</f>
        <v>Yes</v>
      </c>
    </row>
    <row r="1181" spans="1:26">
      <c r="A1181" s="17">
        <v>10178</v>
      </c>
      <c r="B1181" s="17">
        <v>1</v>
      </c>
      <c r="C1181" s="17">
        <v>5</v>
      </c>
      <c r="D1181" s="17" t="s">
        <v>459</v>
      </c>
      <c r="E1181" s="17" t="s">
        <v>460</v>
      </c>
      <c r="F1181" s="17" t="str">
        <f>TEXT(data[[#This Row],[ShipDate]],"yyyy - mmmm")</f>
        <v>2016 - February</v>
      </c>
      <c r="G1181" s="17" t="str">
        <f>data[[#This Row],[OriginCity]] &amp; " - "  &amp; data[[#This Row],[DestinationCity]]</f>
        <v>Cincinnati - Gary</v>
      </c>
      <c r="H1181" s="17" t="s">
        <v>89</v>
      </c>
      <c r="I1181" s="17" t="s">
        <v>23</v>
      </c>
      <c r="J1181" s="17">
        <v>2</v>
      </c>
      <c r="K1181" s="17" t="s">
        <v>57</v>
      </c>
      <c r="L1181" s="17" t="s">
        <v>44</v>
      </c>
      <c r="M1181" s="17" t="s">
        <v>255</v>
      </c>
      <c r="N1181" s="17">
        <v>1159</v>
      </c>
      <c r="O1181" s="17">
        <v>738</v>
      </c>
      <c r="P1181" s="26">
        <f>(data[[#This Row],[LoadedMiles]]/data[[#This Row],[TotalMiles]])*100</f>
        <v>63.675582398619504</v>
      </c>
      <c r="Q1181" s="25">
        <f>data[[#This Row],[ShippingCost]]/data[[#This Row],[TotalMiles]]</f>
        <v>0.77394305435720445</v>
      </c>
      <c r="R1181" s="17">
        <v>897</v>
      </c>
      <c r="S1181" s="25">
        <f>data[[#This Row],[Revenue]]/data[[#This Row],[TotalMiles]]</f>
        <v>1.5987920621225193</v>
      </c>
      <c r="T1181" s="26">
        <f>data[[#This Row],[Revenue]]-data[[#This Row],[ShippingCost]]</f>
        <v>956</v>
      </c>
      <c r="U1181" s="17">
        <v>1853</v>
      </c>
      <c r="V1181" s="17">
        <v>68</v>
      </c>
      <c r="W1181" s="17" t="s">
        <v>25</v>
      </c>
      <c r="X1181" s="17">
        <v>4</v>
      </c>
      <c r="Y1181" s="17">
        <f>data[[#This Row],[DeliveryDate]]-data[[#This Row],[ShipDate]]</f>
        <v>2</v>
      </c>
      <c r="Z1181" s="17" t="str">
        <f>IF(data[[#This Row],[Actual Delivery Days]]&gt;AD1182,"Yes","No")</f>
        <v>Yes</v>
      </c>
    </row>
    <row r="1182" spans="1:26">
      <c r="A1182" s="17">
        <v>10184</v>
      </c>
      <c r="B1182" s="17">
        <v>1</v>
      </c>
      <c r="C1182" s="17">
        <v>6</v>
      </c>
      <c r="D1182" s="17" t="s">
        <v>469</v>
      </c>
      <c r="E1182" s="17" t="s">
        <v>470</v>
      </c>
      <c r="F1182" s="17" t="str">
        <f>TEXT(data[[#This Row],[ShipDate]],"yyyy - mmmm")</f>
        <v>2016 - August</v>
      </c>
      <c r="G1182" s="17" t="str">
        <f>data[[#This Row],[OriginCity]] &amp; " - "  &amp; data[[#This Row],[DestinationCity]]</f>
        <v>Kalamazoo - Bangor</v>
      </c>
      <c r="H1182" s="17" t="s">
        <v>71</v>
      </c>
      <c r="I1182" s="17" t="s">
        <v>21</v>
      </c>
      <c r="J1182" s="17">
        <v>2</v>
      </c>
      <c r="K1182" s="17" t="s">
        <v>104</v>
      </c>
      <c r="L1182" s="17" t="s">
        <v>21</v>
      </c>
      <c r="M1182" s="17" t="s">
        <v>184</v>
      </c>
      <c r="N1182" s="17">
        <v>1052</v>
      </c>
      <c r="O1182" s="17">
        <v>440</v>
      </c>
      <c r="P1182" s="26">
        <f>(data[[#This Row],[LoadedMiles]]/data[[#This Row],[TotalMiles]])*100</f>
        <v>41.825095057034225</v>
      </c>
      <c r="Q1182" s="25">
        <f>data[[#This Row],[ShippingCost]]/data[[#This Row],[TotalMiles]]</f>
        <v>5.1996197718631176</v>
      </c>
      <c r="R1182" s="17">
        <v>5470</v>
      </c>
      <c r="S1182" s="25">
        <f>data[[#This Row],[Revenue]]/data[[#This Row],[TotalMiles]]</f>
        <v>6.0057034220532319</v>
      </c>
      <c r="T1182" s="26">
        <f>data[[#This Row],[Revenue]]-data[[#This Row],[ShippingCost]]</f>
        <v>848</v>
      </c>
      <c r="U1182" s="17">
        <v>6318</v>
      </c>
      <c r="V1182" s="17">
        <v>79</v>
      </c>
      <c r="W1182" s="17" t="s">
        <v>86</v>
      </c>
      <c r="X1182" s="17">
        <v>10</v>
      </c>
      <c r="Y1182" s="17">
        <f>data[[#This Row],[DeliveryDate]]-data[[#This Row],[ShipDate]]</f>
        <v>2</v>
      </c>
      <c r="Z1182" s="17" t="str">
        <f>IF(data[[#This Row],[Actual Delivery Days]]&gt;AD1183,"Yes","No")</f>
        <v>Yes</v>
      </c>
    </row>
    <row r="1183" spans="1:26">
      <c r="A1183" s="17">
        <v>10192</v>
      </c>
      <c r="B1183" s="17">
        <v>1</v>
      </c>
      <c r="C1183" s="17">
        <v>8</v>
      </c>
      <c r="D1183" s="17" t="s">
        <v>481</v>
      </c>
      <c r="E1183" s="17" t="s">
        <v>27</v>
      </c>
      <c r="F1183" s="17" t="str">
        <f>TEXT(data[[#This Row],[ShipDate]],"yyyy - mmmm")</f>
        <v>2016 - May</v>
      </c>
      <c r="G1183" s="17" t="str">
        <f>data[[#This Row],[OriginCity]] &amp; " - "  &amp; data[[#This Row],[DestinationCity]]</f>
        <v>Detriot - Monon</v>
      </c>
      <c r="H1183" s="17" t="s">
        <v>52</v>
      </c>
      <c r="I1183" s="17" t="s">
        <v>21</v>
      </c>
      <c r="J1183" s="17">
        <v>2</v>
      </c>
      <c r="K1183" s="17" t="s">
        <v>53</v>
      </c>
      <c r="L1183" s="17" t="s">
        <v>44</v>
      </c>
      <c r="M1183" s="17" t="s">
        <v>32</v>
      </c>
      <c r="N1183" s="17">
        <v>1014</v>
      </c>
      <c r="O1183" s="17">
        <v>367</v>
      </c>
      <c r="P1183" s="26">
        <f>(data[[#This Row],[LoadedMiles]]/data[[#This Row],[TotalMiles]])*100</f>
        <v>36.193293885601577</v>
      </c>
      <c r="Q1183" s="25">
        <f>data[[#This Row],[ShippingCost]]/data[[#This Row],[TotalMiles]]</f>
        <v>3.6173570019723864</v>
      </c>
      <c r="R1183" s="17">
        <v>3668</v>
      </c>
      <c r="S1183" s="25">
        <f>data[[#This Row],[Revenue]]/data[[#This Row],[TotalMiles]]</f>
        <v>3.8570019723865876</v>
      </c>
      <c r="T1183" s="26">
        <f>data[[#This Row],[Revenue]]-data[[#This Row],[ShippingCost]]</f>
        <v>243</v>
      </c>
      <c r="U1183" s="17">
        <v>3911</v>
      </c>
      <c r="V1183" s="17">
        <v>92</v>
      </c>
      <c r="W1183" s="17" t="s">
        <v>25</v>
      </c>
      <c r="X1183" s="17">
        <v>4</v>
      </c>
      <c r="Y1183" s="17">
        <f>data[[#This Row],[DeliveryDate]]-data[[#This Row],[ShipDate]]</f>
        <v>2</v>
      </c>
      <c r="Z1183" s="17" t="str">
        <f>IF(data[[#This Row],[Actual Delivery Days]]&gt;AD1184,"Yes","No")</f>
        <v>Yes</v>
      </c>
    </row>
    <row r="1184" spans="1:26">
      <c r="A1184" s="17">
        <v>10201</v>
      </c>
      <c r="B1184" s="17">
        <v>1</v>
      </c>
      <c r="C1184" s="17">
        <v>6</v>
      </c>
      <c r="D1184" s="17" t="s">
        <v>494</v>
      </c>
      <c r="E1184" s="17" t="s">
        <v>132</v>
      </c>
      <c r="F1184" s="17" t="str">
        <f>TEXT(data[[#This Row],[ShipDate]],"yyyy - mmmm")</f>
        <v>2016 - February</v>
      </c>
      <c r="G1184" s="17" t="str">
        <f>data[[#This Row],[OriginCity]] &amp; " - "  &amp; data[[#This Row],[DestinationCity]]</f>
        <v>Lansing - Dayton</v>
      </c>
      <c r="H1184" s="17" t="s">
        <v>66</v>
      </c>
      <c r="I1184" s="17" t="s">
        <v>21</v>
      </c>
      <c r="J1184" s="17">
        <v>2</v>
      </c>
      <c r="K1184" s="17" t="s">
        <v>93</v>
      </c>
      <c r="L1184" s="17" t="s">
        <v>23</v>
      </c>
      <c r="M1184" s="17" t="s">
        <v>462</v>
      </c>
      <c r="N1184" s="17">
        <v>771</v>
      </c>
      <c r="O1184" s="17">
        <v>654</v>
      </c>
      <c r="P1184" s="26">
        <f>(data[[#This Row],[LoadedMiles]]/data[[#This Row],[TotalMiles]])*100</f>
        <v>84.824902723735406</v>
      </c>
      <c r="Q1184" s="25">
        <f>data[[#This Row],[ShippingCost]]/data[[#This Row],[TotalMiles]]</f>
        <v>6.4526588845654995</v>
      </c>
      <c r="R1184" s="17">
        <v>4975</v>
      </c>
      <c r="S1184" s="25">
        <f>data[[#This Row],[Revenue]]/data[[#This Row],[TotalMiles]]</f>
        <v>7.0389105058365757</v>
      </c>
      <c r="T1184" s="26">
        <f>data[[#This Row],[Revenue]]-data[[#This Row],[ShippingCost]]</f>
        <v>452</v>
      </c>
      <c r="U1184" s="17">
        <v>5427</v>
      </c>
      <c r="V1184" s="17">
        <v>51</v>
      </c>
      <c r="W1184" s="17" t="s">
        <v>86</v>
      </c>
      <c r="X1184" s="17">
        <v>3</v>
      </c>
      <c r="Y1184" s="17">
        <f>data[[#This Row],[DeliveryDate]]-data[[#This Row],[ShipDate]]</f>
        <v>2</v>
      </c>
      <c r="Z1184" s="17" t="str">
        <f>IF(data[[#This Row],[Actual Delivery Days]]&gt;AD1185,"Yes","No")</f>
        <v>Yes</v>
      </c>
    </row>
    <row r="1185" spans="1:26">
      <c r="A1185" s="17">
        <v>10207</v>
      </c>
      <c r="B1185" s="17">
        <v>1</v>
      </c>
      <c r="C1185" s="17">
        <v>8</v>
      </c>
      <c r="D1185" s="17" t="s">
        <v>503</v>
      </c>
      <c r="E1185" s="17" t="s">
        <v>170</v>
      </c>
      <c r="F1185" s="17" t="str">
        <f>TEXT(data[[#This Row],[ShipDate]],"yyyy - mmmm")</f>
        <v>2016 - April</v>
      </c>
      <c r="G1185" s="17" t="str">
        <f>data[[#This Row],[OriginCity]] &amp; " - "  &amp; data[[#This Row],[DestinationCity]]</f>
        <v>Milwaukee - Springfield</v>
      </c>
      <c r="H1185" s="17" t="s">
        <v>28</v>
      </c>
      <c r="I1185" s="17" t="s">
        <v>29</v>
      </c>
      <c r="J1185" s="17">
        <v>2</v>
      </c>
      <c r="K1185" s="17" t="s">
        <v>30</v>
      </c>
      <c r="L1185" s="17" t="s">
        <v>31</v>
      </c>
      <c r="M1185" s="17" t="s">
        <v>97</v>
      </c>
      <c r="N1185" s="17">
        <v>939</v>
      </c>
      <c r="O1185" s="17">
        <v>685</v>
      </c>
      <c r="P1185" s="26">
        <f>(data[[#This Row],[LoadedMiles]]/data[[#This Row],[TotalMiles]])*100</f>
        <v>72.949946751863678</v>
      </c>
      <c r="Q1185" s="25">
        <f>data[[#This Row],[ShippingCost]]/data[[#This Row],[TotalMiles]]</f>
        <v>1.2758253461128861</v>
      </c>
      <c r="R1185" s="17">
        <v>1198</v>
      </c>
      <c r="S1185" s="25">
        <f>data[[#This Row],[Revenue]]/data[[#This Row],[TotalMiles]]</f>
        <v>2.230031948881789</v>
      </c>
      <c r="T1185" s="26">
        <f>data[[#This Row],[Revenue]]-data[[#This Row],[ShippingCost]]</f>
        <v>896</v>
      </c>
      <c r="U1185" s="17">
        <v>2094</v>
      </c>
      <c r="V1185" s="17">
        <v>63</v>
      </c>
      <c r="W1185" s="17" t="s">
        <v>25</v>
      </c>
      <c r="X1185" s="17">
        <v>9</v>
      </c>
      <c r="Y1185" s="17">
        <f>data[[#This Row],[DeliveryDate]]-data[[#This Row],[ShipDate]]</f>
        <v>2</v>
      </c>
      <c r="Z1185" s="17" t="str">
        <f>IF(data[[#This Row],[Actual Delivery Days]]&gt;AD1186,"Yes","No")</f>
        <v>Yes</v>
      </c>
    </row>
    <row r="1186" spans="1:26">
      <c r="A1186" s="17">
        <v>10208</v>
      </c>
      <c r="B1186" s="17">
        <v>1</v>
      </c>
      <c r="C1186" s="17">
        <v>5</v>
      </c>
      <c r="D1186" s="17" t="s">
        <v>504</v>
      </c>
      <c r="E1186" s="17" t="s">
        <v>473</v>
      </c>
      <c r="F1186" s="17" t="str">
        <f>TEXT(data[[#This Row],[ShipDate]],"yyyy - mmmm")</f>
        <v>2016 - June</v>
      </c>
      <c r="G1186" s="17" t="str">
        <f>data[[#This Row],[OriginCity]] &amp; " - "  &amp; data[[#This Row],[DestinationCity]]</f>
        <v>Springfield - Skokie</v>
      </c>
      <c r="H1186" s="17" t="s">
        <v>30</v>
      </c>
      <c r="I1186" s="17" t="s">
        <v>31</v>
      </c>
      <c r="J1186" s="17">
        <v>2</v>
      </c>
      <c r="K1186" s="17" t="s">
        <v>35</v>
      </c>
      <c r="L1186" s="17" t="s">
        <v>31</v>
      </c>
      <c r="M1186" s="17" t="s">
        <v>278</v>
      </c>
      <c r="N1186" s="17">
        <v>355</v>
      </c>
      <c r="O1186" s="17">
        <v>355</v>
      </c>
      <c r="P1186" s="26">
        <f>(data[[#This Row],[LoadedMiles]]/data[[#This Row],[TotalMiles]])*100</f>
        <v>100</v>
      </c>
      <c r="Q1186" s="25">
        <f>data[[#This Row],[ShippingCost]]/data[[#This Row],[TotalMiles]]</f>
        <v>15.873239436619718</v>
      </c>
      <c r="R1186" s="17">
        <v>5635</v>
      </c>
      <c r="S1186" s="25">
        <f>data[[#This Row],[Revenue]]/data[[#This Row],[TotalMiles]]</f>
        <v>17.008450704225353</v>
      </c>
      <c r="T1186" s="26">
        <f>data[[#This Row],[Revenue]]-data[[#This Row],[ShippingCost]]</f>
        <v>403</v>
      </c>
      <c r="U1186" s="17">
        <v>6038</v>
      </c>
      <c r="V1186" s="17">
        <v>55</v>
      </c>
      <c r="W1186" s="17" t="s">
        <v>25</v>
      </c>
      <c r="X1186" s="17">
        <v>2</v>
      </c>
      <c r="Y1186" s="17">
        <f>data[[#This Row],[DeliveryDate]]-data[[#This Row],[ShipDate]]</f>
        <v>2</v>
      </c>
      <c r="Z1186" s="17" t="str">
        <f>IF(data[[#This Row],[Actual Delivery Days]]&gt;AD1187,"Yes","No")</f>
        <v>Yes</v>
      </c>
    </row>
    <row r="1187" spans="1:26">
      <c r="A1187" s="17">
        <v>10212</v>
      </c>
      <c r="B1187" s="17">
        <v>1</v>
      </c>
      <c r="C1187" s="17">
        <v>8</v>
      </c>
      <c r="D1187" s="17" t="s">
        <v>508</v>
      </c>
      <c r="E1187" s="17" t="s">
        <v>509</v>
      </c>
      <c r="F1187" s="17" t="str">
        <f>TEXT(data[[#This Row],[ShipDate]],"yyyy - mmmm")</f>
        <v>2016 - May</v>
      </c>
      <c r="G1187" s="17" t="str">
        <f>data[[#This Row],[OriginCity]] &amp; " - "  &amp; data[[#This Row],[DestinationCity]]</f>
        <v>Detriot - Monon</v>
      </c>
      <c r="H1187" s="17" t="s">
        <v>52</v>
      </c>
      <c r="I1187" s="17" t="s">
        <v>21</v>
      </c>
      <c r="J1187" s="17">
        <v>2</v>
      </c>
      <c r="K1187" s="17" t="s">
        <v>53</v>
      </c>
      <c r="L1187" s="17" t="s">
        <v>44</v>
      </c>
      <c r="M1187" s="17" t="s">
        <v>437</v>
      </c>
      <c r="N1187" s="17">
        <v>759</v>
      </c>
      <c r="O1187" s="17">
        <v>695</v>
      </c>
      <c r="P1187" s="26">
        <f>(data[[#This Row],[LoadedMiles]]/data[[#This Row],[TotalMiles]])*100</f>
        <v>91.567852437417656</v>
      </c>
      <c r="Q1187" s="25">
        <f>data[[#This Row],[ShippingCost]]/data[[#This Row],[TotalMiles]]</f>
        <v>0.52832674571805005</v>
      </c>
      <c r="R1187" s="17">
        <v>401</v>
      </c>
      <c r="S1187" s="25">
        <f>data[[#This Row],[Revenue]]/data[[#This Row],[TotalMiles]]</f>
        <v>0.74703557312252966</v>
      </c>
      <c r="T1187" s="26">
        <f>data[[#This Row],[Revenue]]-data[[#This Row],[ShippingCost]]</f>
        <v>166</v>
      </c>
      <c r="U1187" s="17">
        <v>567</v>
      </c>
      <c r="V1187" s="17">
        <v>65</v>
      </c>
      <c r="W1187" s="17" t="s">
        <v>25</v>
      </c>
      <c r="X1187" s="17">
        <v>6</v>
      </c>
      <c r="Y1187" s="17">
        <f>data[[#This Row],[DeliveryDate]]-data[[#This Row],[ShipDate]]</f>
        <v>2</v>
      </c>
      <c r="Z1187" s="17" t="str">
        <f>IF(data[[#This Row],[Actual Delivery Days]]&gt;AD1188,"Yes","No")</f>
        <v>Yes</v>
      </c>
    </row>
    <row r="1188" spans="1:26">
      <c r="A1188" s="17">
        <v>10219</v>
      </c>
      <c r="B1188" s="17">
        <v>1</v>
      </c>
      <c r="C1188" s="17">
        <v>5</v>
      </c>
      <c r="D1188" s="17" t="s">
        <v>518</v>
      </c>
      <c r="E1188" s="17" t="s">
        <v>499</v>
      </c>
      <c r="F1188" s="17" t="str">
        <f>TEXT(data[[#This Row],[ShipDate]],"yyyy - mmmm")</f>
        <v>2016 - July</v>
      </c>
      <c r="G1188" s="17" t="str">
        <f>data[[#This Row],[OriginCity]] &amp; " - "  &amp; data[[#This Row],[DestinationCity]]</f>
        <v>Appleton - Grand Rapids</v>
      </c>
      <c r="H1188" s="17" t="s">
        <v>85</v>
      </c>
      <c r="I1188" s="17" t="s">
        <v>29</v>
      </c>
      <c r="J1188" s="17">
        <v>2</v>
      </c>
      <c r="K1188" s="17" t="s">
        <v>20</v>
      </c>
      <c r="L1188" s="17" t="s">
        <v>21</v>
      </c>
      <c r="M1188" s="17" t="s">
        <v>19</v>
      </c>
      <c r="N1188" s="17">
        <v>481</v>
      </c>
      <c r="O1188" s="17">
        <v>481</v>
      </c>
      <c r="P1188" s="26">
        <f>(data[[#This Row],[LoadedMiles]]/data[[#This Row],[TotalMiles]])*100</f>
        <v>100</v>
      </c>
      <c r="Q1188" s="25">
        <f>data[[#This Row],[ShippingCost]]/data[[#This Row],[TotalMiles]]</f>
        <v>3.4033264033264032</v>
      </c>
      <c r="R1188" s="17">
        <v>1637</v>
      </c>
      <c r="S1188" s="25">
        <f>data[[#This Row],[Revenue]]/data[[#This Row],[TotalMiles]]</f>
        <v>3.6798336798336799</v>
      </c>
      <c r="T1188" s="26">
        <f>data[[#This Row],[Revenue]]-data[[#This Row],[ShippingCost]]</f>
        <v>133</v>
      </c>
      <c r="U1188" s="17">
        <v>1770</v>
      </c>
      <c r="V1188" s="17">
        <v>50</v>
      </c>
      <c r="W1188" s="17" t="s">
        <v>86</v>
      </c>
      <c r="X1188" s="17">
        <v>5</v>
      </c>
      <c r="Y1188" s="17">
        <f>data[[#This Row],[DeliveryDate]]-data[[#This Row],[ShipDate]]</f>
        <v>2</v>
      </c>
      <c r="Z1188" s="17" t="str">
        <f>IF(data[[#This Row],[Actual Delivery Days]]&gt;AD1189,"Yes","No")</f>
        <v>Yes</v>
      </c>
    </row>
    <row r="1189" spans="1:26">
      <c r="A1189" s="17">
        <v>10225</v>
      </c>
      <c r="B1189" s="17">
        <v>1</v>
      </c>
      <c r="C1189" s="17">
        <v>7</v>
      </c>
      <c r="D1189" s="17" t="s">
        <v>528</v>
      </c>
      <c r="E1189" s="17" t="s">
        <v>147</v>
      </c>
      <c r="F1189" s="17" t="str">
        <f>TEXT(data[[#This Row],[ShipDate]],"yyyy - mmmm")</f>
        <v>2016 - June</v>
      </c>
      <c r="G1189" s="17" t="str">
        <f>data[[#This Row],[OriginCity]] &amp; " - "  &amp; data[[#This Row],[DestinationCity]]</f>
        <v>Kalamazoo - Bangor</v>
      </c>
      <c r="H1189" s="17" t="s">
        <v>71</v>
      </c>
      <c r="I1189" s="17" t="s">
        <v>21</v>
      </c>
      <c r="J1189" s="17">
        <v>2</v>
      </c>
      <c r="K1189" s="17" t="s">
        <v>104</v>
      </c>
      <c r="L1189" s="17" t="s">
        <v>21</v>
      </c>
      <c r="M1189" s="17" t="s">
        <v>316</v>
      </c>
      <c r="N1189" s="17">
        <v>958</v>
      </c>
      <c r="O1189" s="17">
        <v>406</v>
      </c>
      <c r="P1189" s="26">
        <f>(data[[#This Row],[LoadedMiles]]/data[[#This Row],[TotalMiles]])*100</f>
        <v>42.379958246346554</v>
      </c>
      <c r="Q1189" s="25">
        <f>data[[#This Row],[ShippingCost]]/data[[#This Row],[TotalMiles]]</f>
        <v>8.7630480167014611</v>
      </c>
      <c r="R1189" s="17">
        <v>8395</v>
      </c>
      <c r="S1189" s="25">
        <f>data[[#This Row],[Revenue]]/data[[#This Row],[TotalMiles]]</f>
        <v>8.8726513569937371</v>
      </c>
      <c r="T1189" s="26">
        <f>data[[#This Row],[Revenue]]-data[[#This Row],[ShippingCost]]</f>
        <v>105</v>
      </c>
      <c r="U1189" s="17">
        <v>8500</v>
      </c>
      <c r="V1189" s="17">
        <v>91</v>
      </c>
      <c r="W1189" s="17" t="s">
        <v>25</v>
      </c>
      <c r="X1189" s="17">
        <v>5</v>
      </c>
      <c r="Y1189" s="17">
        <f>data[[#This Row],[DeliveryDate]]-data[[#This Row],[ShipDate]]</f>
        <v>2</v>
      </c>
      <c r="Z1189" s="17" t="str">
        <f>IF(data[[#This Row],[Actual Delivery Days]]&gt;AD1190,"Yes","No")</f>
        <v>Yes</v>
      </c>
    </row>
    <row r="1190" spans="1:26">
      <c r="A1190" s="17">
        <v>10227</v>
      </c>
      <c r="B1190" s="17">
        <v>2</v>
      </c>
      <c r="C1190" s="17">
        <v>5</v>
      </c>
      <c r="D1190" s="17" t="s">
        <v>532</v>
      </c>
      <c r="E1190" s="17" t="s">
        <v>34</v>
      </c>
      <c r="F1190" s="17" t="str">
        <f>TEXT(data[[#This Row],[ShipDate]],"yyyy - mmmm")</f>
        <v>2016 - August</v>
      </c>
      <c r="G1190" s="17" t="str">
        <f>data[[#This Row],[OriginCity]] &amp; " - "  &amp; data[[#This Row],[DestinationCity]]</f>
        <v>Grand Rapids - Toledo</v>
      </c>
      <c r="H1190" s="17" t="s">
        <v>20</v>
      </c>
      <c r="I1190" s="17" t="s">
        <v>21</v>
      </c>
      <c r="J1190" s="17">
        <v>2</v>
      </c>
      <c r="K1190" s="17" t="s">
        <v>22</v>
      </c>
      <c r="L1190" s="17" t="s">
        <v>23</v>
      </c>
      <c r="M1190" s="17" t="s">
        <v>240</v>
      </c>
      <c r="N1190" s="17">
        <v>755</v>
      </c>
      <c r="O1190" s="17">
        <v>576</v>
      </c>
      <c r="P1190" s="26">
        <f>(data[[#This Row],[LoadedMiles]]/data[[#This Row],[TotalMiles]])*100</f>
        <v>76.291390728476827</v>
      </c>
      <c r="Q1190" s="25">
        <f>data[[#This Row],[ShippingCost]]/data[[#This Row],[TotalMiles]]</f>
        <v>6.7602649006622517</v>
      </c>
      <c r="R1190" s="17">
        <v>5104</v>
      </c>
      <c r="S1190" s="25">
        <f>data[[#This Row],[Revenue]]/data[[#This Row],[TotalMiles]]</f>
        <v>6.9841059602649009</v>
      </c>
      <c r="T1190" s="26">
        <f>data[[#This Row],[Revenue]]-data[[#This Row],[ShippingCost]]</f>
        <v>169</v>
      </c>
      <c r="U1190" s="17">
        <v>5273</v>
      </c>
      <c r="V1190" s="17">
        <v>53</v>
      </c>
      <c r="W1190" s="17" t="s">
        <v>25</v>
      </c>
      <c r="X1190" s="17">
        <v>1</v>
      </c>
      <c r="Y1190" s="17">
        <f>data[[#This Row],[DeliveryDate]]-data[[#This Row],[ShipDate]]</f>
        <v>2</v>
      </c>
      <c r="Z1190" s="17" t="str">
        <f>IF(data[[#This Row],[Actual Delivery Days]]&gt;AD1191,"Yes","No")</f>
        <v>Yes</v>
      </c>
    </row>
    <row r="1191" spans="1:26">
      <c r="A1191" s="17">
        <v>10236</v>
      </c>
      <c r="B1191" s="17">
        <v>2</v>
      </c>
      <c r="C1191" s="17">
        <v>6</v>
      </c>
      <c r="D1191" s="17" t="s">
        <v>546</v>
      </c>
      <c r="E1191" s="17" t="s">
        <v>193</v>
      </c>
      <c r="F1191" s="17" t="str">
        <f>TEXT(data[[#This Row],[ShipDate]],"yyyy - mmmm")</f>
        <v>2016 - January</v>
      </c>
      <c r="G1191" s="17" t="str">
        <f>data[[#This Row],[OriginCity]] &amp; " - "  &amp; data[[#This Row],[DestinationCity]]</f>
        <v>Madison - Kalamazoo</v>
      </c>
      <c r="H1191" s="17" t="s">
        <v>62</v>
      </c>
      <c r="I1191" s="17" t="s">
        <v>29</v>
      </c>
      <c r="J1191" s="17">
        <v>2</v>
      </c>
      <c r="K1191" s="17" t="s">
        <v>71</v>
      </c>
      <c r="L1191" s="17" t="s">
        <v>21</v>
      </c>
      <c r="M1191" s="17" t="s">
        <v>204</v>
      </c>
      <c r="N1191" s="17">
        <v>404</v>
      </c>
      <c r="O1191" s="17">
        <v>404</v>
      </c>
      <c r="P1191" s="26">
        <f>(data[[#This Row],[LoadedMiles]]/data[[#This Row],[TotalMiles]])*100</f>
        <v>100</v>
      </c>
      <c r="Q1191" s="25">
        <f>data[[#This Row],[ShippingCost]]/data[[#This Row],[TotalMiles]]</f>
        <v>20.336633663366335</v>
      </c>
      <c r="R1191" s="17">
        <v>8216</v>
      </c>
      <c r="S1191" s="25">
        <f>data[[#This Row],[Revenue]]/data[[#This Row],[TotalMiles]]</f>
        <v>21.299504950495049</v>
      </c>
      <c r="T1191" s="26">
        <f>data[[#This Row],[Revenue]]-data[[#This Row],[ShippingCost]]</f>
        <v>389</v>
      </c>
      <c r="U1191" s="17">
        <v>8605</v>
      </c>
      <c r="V1191" s="17">
        <v>97</v>
      </c>
      <c r="W1191" s="17" t="s">
        <v>86</v>
      </c>
      <c r="X1191" s="17">
        <v>7</v>
      </c>
      <c r="Y1191" s="17">
        <f>data[[#This Row],[DeliveryDate]]-data[[#This Row],[ShipDate]]</f>
        <v>2</v>
      </c>
      <c r="Z1191" s="17" t="str">
        <f>IF(data[[#This Row],[Actual Delivery Days]]&gt;AD1192,"Yes","No")</f>
        <v>Yes</v>
      </c>
    </row>
    <row r="1192" spans="1:26">
      <c r="A1192" s="17">
        <v>10238</v>
      </c>
      <c r="B1192" s="17">
        <v>2</v>
      </c>
      <c r="C1192" s="17">
        <v>8</v>
      </c>
      <c r="D1192" s="17" t="s">
        <v>548</v>
      </c>
      <c r="E1192" s="17" t="s">
        <v>435</v>
      </c>
      <c r="F1192" s="17" t="str">
        <f>TEXT(data[[#This Row],[ShipDate]],"yyyy - mmmm")</f>
        <v>2016 - February</v>
      </c>
      <c r="G1192" s="17" t="str">
        <f>data[[#This Row],[OriginCity]] &amp; " - "  &amp; data[[#This Row],[DestinationCity]]</f>
        <v>Naperville - Indianapolis</v>
      </c>
      <c r="H1192" s="17" t="s">
        <v>48</v>
      </c>
      <c r="I1192" s="17" t="s">
        <v>31</v>
      </c>
      <c r="J1192" s="17">
        <v>2</v>
      </c>
      <c r="K1192" s="17" t="s">
        <v>43</v>
      </c>
      <c r="L1192" s="17" t="s">
        <v>44</v>
      </c>
      <c r="M1192" s="17" t="s">
        <v>363</v>
      </c>
      <c r="N1192" s="17">
        <v>207</v>
      </c>
      <c r="O1192" s="17">
        <v>207</v>
      </c>
      <c r="P1192" s="26">
        <f>(data[[#This Row],[LoadedMiles]]/data[[#This Row],[TotalMiles]])*100</f>
        <v>100</v>
      </c>
      <c r="Q1192" s="25">
        <f>data[[#This Row],[ShippingCost]]/data[[#This Row],[TotalMiles]]</f>
        <v>12.961352657004831</v>
      </c>
      <c r="R1192" s="17">
        <v>2683</v>
      </c>
      <c r="S1192" s="25">
        <f>data[[#This Row],[Revenue]]/data[[#This Row],[TotalMiles]]</f>
        <v>15.676328502415458</v>
      </c>
      <c r="T1192" s="26">
        <f>data[[#This Row],[Revenue]]-data[[#This Row],[ShippingCost]]</f>
        <v>562</v>
      </c>
      <c r="U1192" s="17">
        <v>3245</v>
      </c>
      <c r="V1192" s="17">
        <v>100</v>
      </c>
      <c r="W1192" s="17" t="s">
        <v>25</v>
      </c>
      <c r="X1192" s="17">
        <v>2</v>
      </c>
      <c r="Y1192" s="17">
        <f>data[[#This Row],[DeliveryDate]]-data[[#This Row],[ShipDate]]</f>
        <v>2</v>
      </c>
      <c r="Z1192" s="17" t="str">
        <f>IF(data[[#This Row],[Actual Delivery Days]]&gt;AD1193,"Yes","No")</f>
        <v>Yes</v>
      </c>
    </row>
    <row r="1193" spans="1:26">
      <c r="A1193" s="17">
        <v>10239</v>
      </c>
      <c r="B1193" s="17">
        <v>1</v>
      </c>
      <c r="C1193" s="17">
        <v>4</v>
      </c>
      <c r="D1193" s="17" t="s">
        <v>549</v>
      </c>
      <c r="E1193" s="17" t="s">
        <v>296</v>
      </c>
      <c r="F1193" s="17" t="str">
        <f>TEXT(data[[#This Row],[ShipDate]],"yyyy - mmmm")</f>
        <v>2016 - March</v>
      </c>
      <c r="G1193" s="17" t="str">
        <f>data[[#This Row],[OriginCity]] &amp; " - "  &amp; data[[#This Row],[DestinationCity]]</f>
        <v>Rockford - Green Bay</v>
      </c>
      <c r="H1193" s="17" t="s">
        <v>40</v>
      </c>
      <c r="I1193" s="17" t="s">
        <v>31</v>
      </c>
      <c r="J1193" s="17">
        <v>2</v>
      </c>
      <c r="K1193" s="17" t="s">
        <v>75</v>
      </c>
      <c r="L1193" s="17" t="s">
        <v>29</v>
      </c>
      <c r="M1193" s="17" t="s">
        <v>449</v>
      </c>
      <c r="N1193" s="17">
        <v>239</v>
      </c>
      <c r="O1193" s="17">
        <v>239</v>
      </c>
      <c r="P1193" s="26">
        <f>(data[[#This Row],[LoadedMiles]]/data[[#This Row],[TotalMiles]])*100</f>
        <v>100</v>
      </c>
      <c r="Q1193" s="25">
        <f>data[[#This Row],[ShippingCost]]/data[[#This Row],[TotalMiles]]</f>
        <v>30.03347280334728</v>
      </c>
      <c r="R1193" s="17">
        <v>7178</v>
      </c>
      <c r="S1193" s="25">
        <f>data[[#This Row],[Revenue]]/data[[#This Row],[TotalMiles]]</f>
        <v>23.12970711297071</v>
      </c>
      <c r="T1193" s="26">
        <f>data[[#This Row],[Revenue]]-data[[#This Row],[ShippingCost]]</f>
        <v>-1650</v>
      </c>
      <c r="U1193" s="17">
        <v>5528</v>
      </c>
      <c r="V1193" s="17">
        <v>98</v>
      </c>
      <c r="W1193" s="17" t="s">
        <v>25</v>
      </c>
      <c r="X1193" s="17">
        <v>9</v>
      </c>
      <c r="Y1193" s="17">
        <f>data[[#This Row],[DeliveryDate]]-data[[#This Row],[ShipDate]]</f>
        <v>2</v>
      </c>
      <c r="Z1193" s="17" t="str">
        <f>IF(data[[#This Row],[Actual Delivery Days]]&gt;AD1194,"Yes","No")</f>
        <v>Yes</v>
      </c>
    </row>
    <row r="1194" spans="1:26">
      <c r="A1194" s="17">
        <v>10242</v>
      </c>
      <c r="B1194" s="17">
        <v>1</v>
      </c>
      <c r="C1194" s="17">
        <v>7</v>
      </c>
      <c r="D1194" s="17" t="s">
        <v>552</v>
      </c>
      <c r="E1194" s="17" t="s">
        <v>553</v>
      </c>
      <c r="F1194" s="17" t="str">
        <f>TEXT(data[[#This Row],[ShipDate]],"yyyy - mmmm")</f>
        <v>2016 - July</v>
      </c>
      <c r="G1194" s="17" t="str">
        <f>data[[#This Row],[OriginCity]] &amp; " - "  &amp; data[[#This Row],[DestinationCity]]</f>
        <v>Dayton - Elgin</v>
      </c>
      <c r="H1194" s="17" t="s">
        <v>93</v>
      </c>
      <c r="I1194" s="17" t="s">
        <v>23</v>
      </c>
      <c r="J1194" s="17">
        <v>2</v>
      </c>
      <c r="K1194" s="17" t="s">
        <v>94</v>
      </c>
      <c r="L1194" s="17" t="s">
        <v>31</v>
      </c>
      <c r="M1194" s="17" t="s">
        <v>156</v>
      </c>
      <c r="N1194" s="17">
        <v>432</v>
      </c>
      <c r="O1194" s="17">
        <v>359</v>
      </c>
      <c r="P1194" s="26">
        <f>(data[[#This Row],[LoadedMiles]]/data[[#This Row],[TotalMiles]])*100</f>
        <v>83.101851851851848</v>
      </c>
      <c r="Q1194" s="25">
        <f>data[[#This Row],[ShippingCost]]/data[[#This Row],[TotalMiles]]</f>
        <v>14.32175925925926</v>
      </c>
      <c r="R1194" s="17">
        <v>6187</v>
      </c>
      <c r="S1194" s="25">
        <f>data[[#This Row],[Revenue]]/data[[#This Row],[TotalMiles]]</f>
        <v>14.784722222222221</v>
      </c>
      <c r="T1194" s="26">
        <f>data[[#This Row],[Revenue]]-data[[#This Row],[ShippingCost]]</f>
        <v>200</v>
      </c>
      <c r="U1194" s="17">
        <v>6387</v>
      </c>
      <c r="V1194" s="17">
        <v>67</v>
      </c>
      <c r="W1194" s="17" t="s">
        <v>25</v>
      </c>
      <c r="X1194" s="17">
        <v>8</v>
      </c>
      <c r="Y1194" s="17">
        <f>data[[#This Row],[DeliveryDate]]-data[[#This Row],[ShipDate]]</f>
        <v>1</v>
      </c>
      <c r="Z1194" s="17" t="str">
        <f>IF(data[[#This Row],[Actual Delivery Days]]&gt;AD1195,"Yes","No")</f>
        <v>Yes</v>
      </c>
    </row>
    <row r="1195" spans="1:26">
      <c r="A1195" s="17">
        <v>10247</v>
      </c>
      <c r="B1195" s="17">
        <v>1</v>
      </c>
      <c r="C1195" s="17">
        <v>6</v>
      </c>
      <c r="D1195" s="17" t="s">
        <v>560</v>
      </c>
      <c r="E1195" s="17" t="s">
        <v>312</v>
      </c>
      <c r="F1195" s="17" t="str">
        <f>TEXT(data[[#This Row],[ShipDate]],"yyyy - mmmm")</f>
        <v>2016 - May</v>
      </c>
      <c r="G1195" s="17" t="str">
        <f>data[[#This Row],[OriginCity]] &amp; " - "  &amp; data[[#This Row],[DestinationCity]]</f>
        <v>Davenport - Appleton</v>
      </c>
      <c r="H1195" s="17" t="s">
        <v>105</v>
      </c>
      <c r="I1195" s="17" t="s">
        <v>106</v>
      </c>
      <c r="J1195" s="17">
        <v>2</v>
      </c>
      <c r="K1195" s="17" t="s">
        <v>85</v>
      </c>
      <c r="L1195" s="17" t="s">
        <v>29</v>
      </c>
      <c r="M1195" s="17" t="s">
        <v>350</v>
      </c>
      <c r="N1195" s="17">
        <v>730</v>
      </c>
      <c r="O1195" s="17">
        <v>229</v>
      </c>
      <c r="P1195" s="26">
        <f>(data[[#This Row],[LoadedMiles]]/data[[#This Row],[TotalMiles]])*100</f>
        <v>31.36986301369863</v>
      </c>
      <c r="Q1195" s="25">
        <f>data[[#This Row],[ShippingCost]]/data[[#This Row],[TotalMiles]]</f>
        <v>4.7780821917808218</v>
      </c>
      <c r="R1195" s="17">
        <v>3488</v>
      </c>
      <c r="S1195" s="25">
        <f>data[[#This Row],[Revenue]]/data[[#This Row],[TotalMiles]]</f>
        <v>5.7095890410958905</v>
      </c>
      <c r="T1195" s="26">
        <f>data[[#This Row],[Revenue]]-data[[#This Row],[ShippingCost]]</f>
        <v>680</v>
      </c>
      <c r="U1195" s="17">
        <v>4168</v>
      </c>
      <c r="V1195" s="17">
        <v>64</v>
      </c>
      <c r="W1195" s="17" t="s">
        <v>25</v>
      </c>
      <c r="X1195" s="17">
        <v>10</v>
      </c>
      <c r="Y1195" s="17">
        <f>data[[#This Row],[DeliveryDate]]-data[[#This Row],[ShipDate]]</f>
        <v>2</v>
      </c>
      <c r="Z1195" s="17" t="str">
        <f>IF(data[[#This Row],[Actual Delivery Days]]&gt;AD1196,"Yes","No")</f>
        <v>Yes</v>
      </c>
    </row>
    <row r="1196" spans="1:26">
      <c r="A1196" s="17">
        <v>10254</v>
      </c>
      <c r="B1196" s="17">
        <v>1</v>
      </c>
      <c r="C1196" s="17">
        <v>8</v>
      </c>
      <c r="D1196" s="17" t="s">
        <v>568</v>
      </c>
      <c r="E1196" s="17" t="s">
        <v>352</v>
      </c>
      <c r="F1196" s="17" t="str">
        <f>TEXT(data[[#This Row],[ShipDate]],"yyyy - mmmm")</f>
        <v>2016 - March</v>
      </c>
      <c r="G1196" s="17" t="str">
        <f>data[[#This Row],[OriginCity]] &amp; " - "  &amp; data[[#This Row],[DestinationCity]]</f>
        <v>Detriot - Monon</v>
      </c>
      <c r="H1196" s="17" t="s">
        <v>52</v>
      </c>
      <c r="I1196" s="17" t="s">
        <v>21</v>
      </c>
      <c r="J1196" s="17">
        <v>2</v>
      </c>
      <c r="K1196" s="17" t="s">
        <v>53</v>
      </c>
      <c r="L1196" s="17" t="s">
        <v>44</v>
      </c>
      <c r="M1196" s="17" t="s">
        <v>353</v>
      </c>
      <c r="N1196" s="17">
        <v>901</v>
      </c>
      <c r="O1196" s="17">
        <v>530</v>
      </c>
      <c r="P1196" s="26">
        <f>(data[[#This Row],[LoadedMiles]]/data[[#This Row],[TotalMiles]])*100</f>
        <v>58.82352941176471</v>
      </c>
      <c r="Q1196" s="25">
        <f>data[[#This Row],[ShippingCost]]/data[[#This Row],[TotalMiles]]</f>
        <v>4.1498335183129855</v>
      </c>
      <c r="R1196" s="17">
        <v>3739</v>
      </c>
      <c r="S1196" s="25">
        <f>data[[#This Row],[Revenue]]/data[[#This Row],[TotalMiles]]</f>
        <v>4.6093229744728079</v>
      </c>
      <c r="T1196" s="26">
        <f>data[[#This Row],[Revenue]]-data[[#This Row],[ShippingCost]]</f>
        <v>414</v>
      </c>
      <c r="U1196" s="17">
        <v>4153</v>
      </c>
      <c r="V1196" s="17">
        <v>54</v>
      </c>
      <c r="W1196" s="17" t="s">
        <v>86</v>
      </c>
      <c r="X1196" s="17">
        <v>8</v>
      </c>
      <c r="Y1196" s="17">
        <f>data[[#This Row],[DeliveryDate]]-data[[#This Row],[ShipDate]]</f>
        <v>2</v>
      </c>
      <c r="Z1196" s="17" t="str">
        <f>IF(data[[#This Row],[Actual Delivery Days]]&gt;AD1197,"Yes","No")</f>
        <v>Yes</v>
      </c>
    </row>
    <row r="1197" spans="1:26">
      <c r="A1197" s="17">
        <v>10255</v>
      </c>
      <c r="B1197" s="17">
        <v>1</v>
      </c>
      <c r="C1197" s="17">
        <v>7</v>
      </c>
      <c r="D1197" s="17" t="s">
        <v>569</v>
      </c>
      <c r="E1197" s="17" t="s">
        <v>470</v>
      </c>
      <c r="F1197" s="17" t="str">
        <f>TEXT(data[[#This Row],[ShipDate]],"yyyy - mmmm")</f>
        <v>2016 - August</v>
      </c>
      <c r="G1197" s="17" t="str">
        <f>data[[#This Row],[OriginCity]] &amp; " - "  &amp; data[[#This Row],[DestinationCity]]</f>
        <v>Gary - Milwaukee</v>
      </c>
      <c r="H1197" s="17" t="s">
        <v>57</v>
      </c>
      <c r="I1197" s="17" t="s">
        <v>44</v>
      </c>
      <c r="J1197" s="17">
        <v>2</v>
      </c>
      <c r="K1197" s="17" t="s">
        <v>28</v>
      </c>
      <c r="L1197" s="17" t="s">
        <v>29</v>
      </c>
      <c r="M1197" s="17" t="s">
        <v>184</v>
      </c>
      <c r="N1197" s="17">
        <v>384</v>
      </c>
      <c r="O1197" s="17">
        <v>235</v>
      </c>
      <c r="P1197" s="26">
        <f>(data[[#This Row],[LoadedMiles]]/data[[#This Row],[TotalMiles]])*100</f>
        <v>61.197916666666664</v>
      </c>
      <c r="Q1197" s="25">
        <f>data[[#This Row],[ShippingCost]]/data[[#This Row],[TotalMiles]]</f>
        <v>17.705729166666668</v>
      </c>
      <c r="R1197" s="17">
        <v>6799</v>
      </c>
      <c r="S1197" s="25">
        <f>data[[#This Row],[Revenue]]/data[[#This Row],[TotalMiles]]</f>
        <v>19.809895833333332</v>
      </c>
      <c r="T1197" s="26">
        <f>data[[#This Row],[Revenue]]-data[[#This Row],[ShippingCost]]</f>
        <v>808</v>
      </c>
      <c r="U1197" s="17">
        <v>7607</v>
      </c>
      <c r="V1197" s="17">
        <v>52</v>
      </c>
      <c r="W1197" s="17" t="s">
        <v>25</v>
      </c>
      <c r="X1197" s="17">
        <v>1</v>
      </c>
      <c r="Y1197" s="17">
        <f>data[[#This Row],[DeliveryDate]]-data[[#This Row],[ShipDate]]</f>
        <v>2</v>
      </c>
      <c r="Z1197" s="17" t="str">
        <f>IF(data[[#This Row],[Actual Delivery Days]]&gt;AD1198,"Yes","No")</f>
        <v>Yes</v>
      </c>
    </row>
    <row r="1198" spans="1:26">
      <c r="A1198" s="17">
        <v>10261</v>
      </c>
      <c r="B1198" s="17">
        <v>1</v>
      </c>
      <c r="C1198" s="17">
        <v>6</v>
      </c>
      <c r="D1198" s="17" t="s">
        <v>577</v>
      </c>
      <c r="E1198" s="17" t="s">
        <v>132</v>
      </c>
      <c r="F1198" s="17" t="str">
        <f>TEXT(data[[#This Row],[ShipDate]],"yyyy - mmmm")</f>
        <v>2016 - February</v>
      </c>
      <c r="G1198" s="17" t="str">
        <f>data[[#This Row],[OriginCity]] &amp; " - "  &amp; data[[#This Row],[DestinationCity]]</f>
        <v>Appleton - Grand Rapids</v>
      </c>
      <c r="H1198" s="17" t="s">
        <v>85</v>
      </c>
      <c r="I1198" s="17" t="s">
        <v>29</v>
      </c>
      <c r="J1198" s="17">
        <v>2</v>
      </c>
      <c r="K1198" s="17" t="s">
        <v>20</v>
      </c>
      <c r="L1198" s="17" t="s">
        <v>21</v>
      </c>
      <c r="M1198" s="17" t="s">
        <v>462</v>
      </c>
      <c r="N1198" s="17">
        <v>807</v>
      </c>
      <c r="O1198" s="17">
        <v>200</v>
      </c>
      <c r="P1198" s="26">
        <f>(data[[#This Row],[LoadedMiles]]/data[[#This Row],[TotalMiles]])*100</f>
        <v>24.783147459727388</v>
      </c>
      <c r="Q1198" s="25">
        <f>data[[#This Row],[ShippingCost]]/data[[#This Row],[TotalMiles]]</f>
        <v>1.0693928128872368</v>
      </c>
      <c r="R1198" s="17">
        <v>863</v>
      </c>
      <c r="S1198" s="25">
        <f>data[[#This Row],[Revenue]]/data[[#This Row],[TotalMiles]]</f>
        <v>1.3791821561338291</v>
      </c>
      <c r="T1198" s="26">
        <f>data[[#This Row],[Revenue]]-data[[#This Row],[ShippingCost]]</f>
        <v>250</v>
      </c>
      <c r="U1198" s="17">
        <v>1113</v>
      </c>
      <c r="V1198" s="17">
        <v>73</v>
      </c>
      <c r="W1198" s="17" t="s">
        <v>25</v>
      </c>
      <c r="X1198" s="17">
        <v>1</v>
      </c>
      <c r="Y1198" s="17">
        <f>data[[#This Row],[DeliveryDate]]-data[[#This Row],[ShipDate]]</f>
        <v>2</v>
      </c>
      <c r="Z1198" s="17" t="str">
        <f>IF(data[[#This Row],[Actual Delivery Days]]&gt;AD1199,"Yes","No")</f>
        <v>Yes</v>
      </c>
    </row>
    <row r="1199" spans="1:26">
      <c r="A1199" s="17">
        <v>10262</v>
      </c>
      <c r="B1199" s="17">
        <v>2</v>
      </c>
      <c r="C1199" s="17">
        <v>5</v>
      </c>
      <c r="D1199" s="17" t="s">
        <v>578</v>
      </c>
      <c r="E1199" s="17" t="s">
        <v>264</v>
      </c>
      <c r="F1199" s="17" t="str">
        <f>TEXT(data[[#This Row],[ShipDate]],"yyyy - mmmm")</f>
        <v>2016 - January</v>
      </c>
      <c r="G1199" s="17" t="str">
        <f>data[[#This Row],[OriginCity]] &amp; " - "  &amp; data[[#This Row],[DestinationCity]]</f>
        <v>Cincinnati - Gary</v>
      </c>
      <c r="H1199" s="17" t="s">
        <v>89</v>
      </c>
      <c r="I1199" s="17" t="s">
        <v>23</v>
      </c>
      <c r="J1199" s="17">
        <v>2</v>
      </c>
      <c r="K1199" s="17" t="s">
        <v>57</v>
      </c>
      <c r="L1199" s="17" t="s">
        <v>44</v>
      </c>
      <c r="M1199" s="17" t="s">
        <v>245</v>
      </c>
      <c r="N1199" s="17">
        <v>890</v>
      </c>
      <c r="O1199" s="17">
        <v>569</v>
      </c>
      <c r="P1199" s="26">
        <f>(data[[#This Row],[LoadedMiles]]/data[[#This Row],[TotalMiles]])*100</f>
        <v>63.932584269662918</v>
      </c>
      <c r="Q1199" s="25">
        <f>data[[#This Row],[ShippingCost]]/data[[#This Row],[TotalMiles]]</f>
        <v>5.4325842696629216</v>
      </c>
      <c r="R1199" s="17">
        <v>4835</v>
      </c>
      <c r="S1199" s="25">
        <f>data[[#This Row],[Revenue]]/data[[#This Row],[TotalMiles]]</f>
        <v>5.8516853932584274</v>
      </c>
      <c r="T1199" s="26">
        <f>data[[#This Row],[Revenue]]-data[[#This Row],[ShippingCost]]</f>
        <v>373</v>
      </c>
      <c r="U1199" s="17">
        <v>5208</v>
      </c>
      <c r="V1199" s="17">
        <v>68</v>
      </c>
      <c r="W1199" s="17" t="s">
        <v>25</v>
      </c>
      <c r="X1199" s="17">
        <v>7</v>
      </c>
      <c r="Y1199" s="17">
        <f>data[[#This Row],[DeliveryDate]]-data[[#This Row],[ShipDate]]</f>
        <v>2</v>
      </c>
      <c r="Z1199" s="17" t="str">
        <f>IF(data[[#This Row],[Actual Delivery Days]]&gt;AD1200,"Yes","No")</f>
        <v>Yes</v>
      </c>
    </row>
    <row r="1200" spans="1:26">
      <c r="A1200" s="17">
        <v>10263</v>
      </c>
      <c r="B1200" s="17">
        <v>1</v>
      </c>
      <c r="C1200" s="17">
        <v>4</v>
      </c>
      <c r="D1200" s="17" t="s">
        <v>579</v>
      </c>
      <c r="E1200" s="17" t="s">
        <v>537</v>
      </c>
      <c r="F1200" s="17" t="str">
        <f>TEXT(data[[#This Row],[ShipDate]],"yyyy - mmmm")</f>
        <v>2016 - June</v>
      </c>
      <c r="G1200" s="17" t="str">
        <f>data[[#This Row],[OriginCity]] &amp; " - "  &amp; data[[#This Row],[DestinationCity]]</f>
        <v>Dayton - Elgin</v>
      </c>
      <c r="H1200" s="17" t="s">
        <v>93</v>
      </c>
      <c r="I1200" s="17" t="s">
        <v>23</v>
      </c>
      <c r="J1200" s="17">
        <v>2</v>
      </c>
      <c r="K1200" s="17" t="s">
        <v>94</v>
      </c>
      <c r="L1200" s="17" t="s">
        <v>31</v>
      </c>
      <c r="M1200" s="17" t="s">
        <v>542</v>
      </c>
      <c r="N1200" s="17">
        <v>226</v>
      </c>
      <c r="O1200" s="17">
        <v>223</v>
      </c>
      <c r="P1200" s="26">
        <f>(data[[#This Row],[LoadedMiles]]/data[[#This Row],[TotalMiles]])*100</f>
        <v>98.672566371681413</v>
      </c>
      <c r="Q1200" s="25">
        <f>data[[#This Row],[ShippingCost]]/data[[#This Row],[TotalMiles]]</f>
        <v>31.384955752212388</v>
      </c>
      <c r="R1200" s="17">
        <v>7093</v>
      </c>
      <c r="S1200" s="25">
        <f>data[[#This Row],[Revenue]]/data[[#This Row],[TotalMiles]]</f>
        <v>21.889380530973451</v>
      </c>
      <c r="T1200" s="26">
        <f>data[[#This Row],[Revenue]]-data[[#This Row],[ShippingCost]]</f>
        <v>-2146</v>
      </c>
      <c r="U1200" s="17">
        <v>4947</v>
      </c>
      <c r="V1200" s="17">
        <v>85</v>
      </c>
      <c r="W1200" s="17" t="s">
        <v>25</v>
      </c>
      <c r="X1200" s="17">
        <v>8</v>
      </c>
      <c r="Y1200" s="17">
        <f>data[[#This Row],[DeliveryDate]]-data[[#This Row],[ShipDate]]</f>
        <v>2</v>
      </c>
      <c r="Z1200" s="17" t="str">
        <f>IF(data[[#This Row],[Actual Delivery Days]]&gt;AD1201,"Yes","No")</f>
        <v>Yes</v>
      </c>
    </row>
    <row r="1201" spans="1:26">
      <c r="A1201" s="17">
        <v>10265</v>
      </c>
      <c r="B1201" s="17">
        <v>2</v>
      </c>
      <c r="C1201" s="17">
        <v>4</v>
      </c>
      <c r="D1201" s="17" t="s">
        <v>581</v>
      </c>
      <c r="E1201" s="17" t="s">
        <v>160</v>
      </c>
      <c r="F1201" s="17" t="str">
        <f>TEXT(data[[#This Row],[ShipDate]],"yyyy - mmmm")</f>
        <v>2016 - April</v>
      </c>
      <c r="G1201" s="17" t="str">
        <f>data[[#This Row],[OriginCity]] &amp; " - "  &amp; data[[#This Row],[DestinationCity]]</f>
        <v>Lansing - Dayton</v>
      </c>
      <c r="H1201" s="17" t="s">
        <v>66</v>
      </c>
      <c r="I1201" s="17" t="s">
        <v>21</v>
      </c>
      <c r="J1201" s="17">
        <v>2</v>
      </c>
      <c r="K1201" s="17" t="s">
        <v>93</v>
      </c>
      <c r="L1201" s="17" t="s">
        <v>23</v>
      </c>
      <c r="M1201" s="17" t="s">
        <v>221</v>
      </c>
      <c r="N1201" s="17">
        <v>728</v>
      </c>
      <c r="O1201" s="17">
        <v>728</v>
      </c>
      <c r="P1201" s="26">
        <f>(data[[#This Row],[LoadedMiles]]/data[[#This Row],[TotalMiles]])*100</f>
        <v>100</v>
      </c>
      <c r="Q1201" s="25">
        <f>data[[#This Row],[ShippingCost]]/data[[#This Row],[TotalMiles]]</f>
        <v>11.609890109890109</v>
      </c>
      <c r="R1201" s="17">
        <v>8452</v>
      </c>
      <c r="S1201" s="25">
        <f>data[[#This Row],[Revenue]]/data[[#This Row],[TotalMiles]]</f>
        <v>8.405219780219781</v>
      </c>
      <c r="T1201" s="26">
        <f>data[[#This Row],[Revenue]]-data[[#This Row],[ShippingCost]]</f>
        <v>-2333</v>
      </c>
      <c r="U1201" s="17">
        <v>6119</v>
      </c>
      <c r="V1201" s="17">
        <v>98</v>
      </c>
      <c r="W1201" s="17" t="s">
        <v>25</v>
      </c>
      <c r="X1201" s="17">
        <v>7</v>
      </c>
      <c r="Y1201" s="17">
        <f>data[[#This Row],[DeliveryDate]]-data[[#This Row],[ShipDate]]</f>
        <v>2</v>
      </c>
      <c r="Z1201" s="17" t="str">
        <f>IF(data[[#This Row],[Actual Delivery Days]]&gt;AD1202,"Yes","No")</f>
        <v>Yes</v>
      </c>
    </row>
    <row r="1202" spans="1:26">
      <c r="A1202" s="17">
        <v>10267</v>
      </c>
      <c r="B1202" s="17">
        <v>1</v>
      </c>
      <c r="C1202" s="17">
        <v>6</v>
      </c>
      <c r="D1202" s="17" t="s">
        <v>584</v>
      </c>
      <c r="E1202" s="17" t="s">
        <v>38</v>
      </c>
      <c r="F1202" s="17" t="str">
        <f>TEXT(data[[#This Row],[ShipDate]],"yyyy - mmmm")</f>
        <v>2016 - August</v>
      </c>
      <c r="G1202" s="17" t="str">
        <f>data[[#This Row],[OriginCity]] &amp; " - "  &amp; data[[#This Row],[DestinationCity]]</f>
        <v>Elgin - Cincinnati</v>
      </c>
      <c r="H1202" s="17" t="s">
        <v>94</v>
      </c>
      <c r="I1202" s="17" t="s">
        <v>31</v>
      </c>
      <c r="J1202" s="17">
        <v>2</v>
      </c>
      <c r="K1202" s="17" t="s">
        <v>89</v>
      </c>
      <c r="L1202" s="17" t="s">
        <v>23</v>
      </c>
      <c r="M1202" s="17" t="s">
        <v>103</v>
      </c>
      <c r="N1202" s="17">
        <v>781</v>
      </c>
      <c r="O1202" s="17">
        <v>458</v>
      </c>
      <c r="P1202" s="26">
        <f>(data[[#This Row],[LoadedMiles]]/data[[#This Row],[TotalMiles]])*100</f>
        <v>58.642765685019207</v>
      </c>
      <c r="Q1202" s="25">
        <f>data[[#This Row],[ShippingCost]]/data[[#This Row],[TotalMiles]]</f>
        <v>3.9295774647887325</v>
      </c>
      <c r="R1202" s="17">
        <v>3069</v>
      </c>
      <c r="S1202" s="25">
        <f>data[[#This Row],[Revenue]]/data[[#This Row],[TotalMiles]]</f>
        <v>5.1792573623559539</v>
      </c>
      <c r="T1202" s="26">
        <f>data[[#This Row],[Revenue]]-data[[#This Row],[ShippingCost]]</f>
        <v>976</v>
      </c>
      <c r="U1202" s="17">
        <v>4045</v>
      </c>
      <c r="V1202" s="17">
        <v>58</v>
      </c>
      <c r="W1202" s="17" t="s">
        <v>25</v>
      </c>
      <c r="X1202" s="17">
        <v>10</v>
      </c>
      <c r="Y1202" s="17">
        <f>data[[#This Row],[DeliveryDate]]-data[[#This Row],[ShipDate]]</f>
        <v>1</v>
      </c>
      <c r="Z1202" s="17" t="str">
        <f>IF(data[[#This Row],[Actual Delivery Days]]&gt;AD1203,"Yes","No")</f>
        <v>Yes</v>
      </c>
    </row>
    <row r="1203" spans="1:26">
      <c r="A1203" s="17">
        <v>10273</v>
      </c>
      <c r="B1203" s="17">
        <v>1</v>
      </c>
      <c r="C1203" s="17">
        <v>5</v>
      </c>
      <c r="D1203" s="17" t="s">
        <v>591</v>
      </c>
      <c r="E1203" s="17" t="s">
        <v>135</v>
      </c>
      <c r="F1203" s="17" t="str">
        <f>TEXT(data[[#This Row],[ShipDate]],"yyyy - mmmm")</f>
        <v>2016 - June</v>
      </c>
      <c r="G1203" s="17" t="str">
        <f>data[[#This Row],[OriginCity]] &amp; " - "  &amp; data[[#This Row],[DestinationCity]]</f>
        <v>Springfield - Skokie</v>
      </c>
      <c r="H1203" s="17" t="s">
        <v>30</v>
      </c>
      <c r="I1203" s="17" t="s">
        <v>31</v>
      </c>
      <c r="J1203" s="17">
        <v>2</v>
      </c>
      <c r="K1203" s="17" t="s">
        <v>35</v>
      </c>
      <c r="L1203" s="17" t="s">
        <v>31</v>
      </c>
      <c r="M1203" s="17" t="s">
        <v>147</v>
      </c>
      <c r="N1203" s="17">
        <v>400</v>
      </c>
      <c r="O1203" s="17">
        <v>304</v>
      </c>
      <c r="P1203" s="26">
        <f>(data[[#This Row],[LoadedMiles]]/data[[#This Row],[TotalMiles]])*100</f>
        <v>76</v>
      </c>
      <c r="Q1203" s="25">
        <f>data[[#This Row],[ShippingCost]]/data[[#This Row],[TotalMiles]]</f>
        <v>13.185</v>
      </c>
      <c r="R1203" s="17">
        <v>5274</v>
      </c>
      <c r="S1203" s="25">
        <f>data[[#This Row],[Revenue]]/data[[#This Row],[TotalMiles]]</f>
        <v>14.6875</v>
      </c>
      <c r="T1203" s="26">
        <f>data[[#This Row],[Revenue]]-data[[#This Row],[ShippingCost]]</f>
        <v>601</v>
      </c>
      <c r="U1203" s="17">
        <v>5875</v>
      </c>
      <c r="V1203" s="17">
        <v>52</v>
      </c>
      <c r="W1203" s="17" t="s">
        <v>86</v>
      </c>
      <c r="X1203" s="17">
        <v>10</v>
      </c>
      <c r="Y1203" s="17">
        <f>data[[#This Row],[DeliveryDate]]-data[[#This Row],[ShipDate]]</f>
        <v>2</v>
      </c>
      <c r="Z1203" s="17" t="str">
        <f>IF(data[[#This Row],[Actual Delivery Days]]&gt;AD1204,"Yes","No")</f>
        <v>Yes</v>
      </c>
    </row>
    <row r="1204" spans="1:26">
      <c r="A1204" s="17">
        <v>10274</v>
      </c>
      <c r="B1204" s="17">
        <v>2</v>
      </c>
      <c r="C1204" s="17">
        <v>4</v>
      </c>
      <c r="D1204" s="17" t="s">
        <v>592</v>
      </c>
      <c r="E1204" s="17" t="s">
        <v>221</v>
      </c>
      <c r="F1204" s="17" t="str">
        <f>TEXT(data[[#This Row],[ShipDate]],"yyyy - mmmm")</f>
        <v>2016 - April</v>
      </c>
      <c r="G1204" s="17" t="str">
        <f>data[[#This Row],[OriginCity]] &amp; " - "  &amp; data[[#This Row],[DestinationCity]]</f>
        <v>Chicago - Rockford</v>
      </c>
      <c r="H1204" s="17" t="s">
        <v>39</v>
      </c>
      <c r="I1204" s="17" t="s">
        <v>31</v>
      </c>
      <c r="J1204" s="17">
        <v>2</v>
      </c>
      <c r="K1204" s="17" t="s">
        <v>40</v>
      </c>
      <c r="L1204" s="17" t="s">
        <v>31</v>
      </c>
      <c r="M1204" s="17" t="s">
        <v>158</v>
      </c>
      <c r="N1204" s="17">
        <v>482</v>
      </c>
      <c r="O1204" s="17">
        <v>482</v>
      </c>
      <c r="P1204" s="26">
        <f>(data[[#This Row],[LoadedMiles]]/data[[#This Row],[TotalMiles]])*100</f>
        <v>100</v>
      </c>
      <c r="Q1204" s="25">
        <f>data[[#This Row],[ShippingCost]]/data[[#This Row],[TotalMiles]]</f>
        <v>14.139004149377593</v>
      </c>
      <c r="R1204" s="17">
        <v>6815</v>
      </c>
      <c r="S1204" s="25">
        <f>data[[#This Row],[Revenue]]/data[[#This Row],[TotalMiles]]</f>
        <v>8.9979253112033195</v>
      </c>
      <c r="T1204" s="26">
        <f>data[[#This Row],[Revenue]]-data[[#This Row],[ShippingCost]]</f>
        <v>-2478</v>
      </c>
      <c r="U1204" s="17">
        <v>4337</v>
      </c>
      <c r="V1204" s="17">
        <v>87</v>
      </c>
      <c r="W1204" s="17" t="s">
        <v>25</v>
      </c>
      <c r="X1204" s="17">
        <v>10</v>
      </c>
      <c r="Y1204" s="17">
        <f>data[[#This Row],[DeliveryDate]]-data[[#This Row],[ShipDate]]</f>
        <v>2</v>
      </c>
      <c r="Z1204" s="17" t="str">
        <f>IF(data[[#This Row],[Actual Delivery Days]]&gt;AD1205,"Yes","No")</f>
        <v>Yes</v>
      </c>
    </row>
    <row r="1205" spans="1:26">
      <c r="A1205" s="17">
        <v>10275</v>
      </c>
      <c r="B1205" s="17">
        <v>2</v>
      </c>
      <c r="C1205" s="17">
        <v>7</v>
      </c>
      <c r="D1205" s="17" t="s">
        <v>593</v>
      </c>
      <c r="E1205" s="17" t="s">
        <v>498</v>
      </c>
      <c r="F1205" s="17" t="str">
        <f>TEXT(data[[#This Row],[ShipDate]],"yyyy - mmmm")</f>
        <v>2016 - July</v>
      </c>
      <c r="G1205" s="17" t="str">
        <f>data[[#This Row],[OriginCity]] &amp; " - "  &amp; data[[#This Row],[DestinationCity]]</f>
        <v>Indianapolis - Northbrook</v>
      </c>
      <c r="H1205" s="17" t="s">
        <v>43</v>
      </c>
      <c r="I1205" s="17" t="s">
        <v>44</v>
      </c>
      <c r="J1205" s="17">
        <v>2</v>
      </c>
      <c r="K1205" s="17" t="s">
        <v>45</v>
      </c>
      <c r="L1205" s="17" t="s">
        <v>31</v>
      </c>
      <c r="M1205" s="17" t="s">
        <v>299</v>
      </c>
      <c r="N1205" s="17">
        <v>570</v>
      </c>
      <c r="O1205" s="17">
        <v>570</v>
      </c>
      <c r="P1205" s="26">
        <f>(data[[#This Row],[LoadedMiles]]/data[[#This Row],[TotalMiles]])*100</f>
        <v>100</v>
      </c>
      <c r="Q1205" s="25">
        <f>data[[#This Row],[ShippingCost]]/data[[#This Row],[TotalMiles]]</f>
        <v>3.76140350877193</v>
      </c>
      <c r="R1205" s="17">
        <v>2144</v>
      </c>
      <c r="S1205" s="25">
        <f>data[[#This Row],[Revenue]]/data[[#This Row],[TotalMiles]]</f>
        <v>4.3280701754385964</v>
      </c>
      <c r="T1205" s="26">
        <f>data[[#This Row],[Revenue]]-data[[#This Row],[ShippingCost]]</f>
        <v>323</v>
      </c>
      <c r="U1205" s="17">
        <v>2467</v>
      </c>
      <c r="V1205" s="17">
        <v>89</v>
      </c>
      <c r="W1205" s="17" t="s">
        <v>25</v>
      </c>
      <c r="X1205" s="17">
        <v>2</v>
      </c>
      <c r="Y1205" s="17">
        <f>data[[#This Row],[DeliveryDate]]-data[[#This Row],[ShipDate]]</f>
        <v>2</v>
      </c>
      <c r="Z1205" s="17" t="str">
        <f>IF(data[[#This Row],[Actual Delivery Days]]&gt;AD1206,"Yes","No")</f>
        <v>Yes</v>
      </c>
    </row>
    <row r="1206" spans="1:26">
      <c r="A1206" s="17">
        <v>10283</v>
      </c>
      <c r="B1206" s="17">
        <v>2</v>
      </c>
      <c r="C1206" s="17">
        <v>5</v>
      </c>
      <c r="D1206" s="17" t="s">
        <v>605</v>
      </c>
      <c r="E1206" s="17" t="s">
        <v>480</v>
      </c>
      <c r="F1206" s="17" t="str">
        <f>TEXT(data[[#This Row],[ShipDate]],"yyyy - mmmm")</f>
        <v>2016 - April</v>
      </c>
      <c r="G1206" s="17" t="str">
        <f>data[[#This Row],[OriginCity]] &amp; " - "  &amp; data[[#This Row],[DestinationCity]]</f>
        <v>Cincinnati - Gary</v>
      </c>
      <c r="H1206" s="17" t="s">
        <v>89</v>
      </c>
      <c r="I1206" s="17" t="s">
        <v>23</v>
      </c>
      <c r="J1206" s="17">
        <v>2</v>
      </c>
      <c r="K1206" s="17" t="s">
        <v>57</v>
      </c>
      <c r="L1206" s="17" t="s">
        <v>44</v>
      </c>
      <c r="M1206" s="17" t="s">
        <v>285</v>
      </c>
      <c r="N1206" s="17">
        <v>1188</v>
      </c>
      <c r="O1206" s="17">
        <v>240</v>
      </c>
      <c r="P1206" s="26">
        <f>(data[[#This Row],[LoadedMiles]]/data[[#This Row],[TotalMiles]])*100</f>
        <v>20.202020202020201</v>
      </c>
      <c r="Q1206" s="25">
        <f>data[[#This Row],[ShippingCost]]/data[[#This Row],[TotalMiles]]</f>
        <v>3.0875420875420874</v>
      </c>
      <c r="R1206" s="17">
        <v>3668</v>
      </c>
      <c r="S1206" s="25">
        <f>data[[#This Row],[Revenue]]/data[[#This Row],[TotalMiles]]</f>
        <v>3.2171717171717171</v>
      </c>
      <c r="T1206" s="26">
        <f>data[[#This Row],[Revenue]]-data[[#This Row],[ShippingCost]]</f>
        <v>154</v>
      </c>
      <c r="U1206" s="17">
        <v>3822</v>
      </c>
      <c r="V1206" s="17">
        <v>59</v>
      </c>
      <c r="W1206" s="17" t="s">
        <v>25</v>
      </c>
      <c r="X1206" s="17">
        <v>3</v>
      </c>
      <c r="Y1206" s="17">
        <f>data[[#This Row],[DeliveryDate]]-data[[#This Row],[ShipDate]]</f>
        <v>2</v>
      </c>
      <c r="Z1206" s="17" t="str">
        <f>IF(data[[#This Row],[Actual Delivery Days]]&gt;AD1207,"Yes","No")</f>
        <v>Yes</v>
      </c>
    </row>
    <row r="1207" spans="1:26">
      <c r="A1207" s="17">
        <v>10292</v>
      </c>
      <c r="B1207" s="17">
        <v>2</v>
      </c>
      <c r="C1207" s="17">
        <v>6</v>
      </c>
      <c r="D1207" s="17" t="s">
        <v>59</v>
      </c>
      <c r="E1207" s="17" t="s">
        <v>132</v>
      </c>
      <c r="F1207" s="17" t="str">
        <f>TEXT(data[[#This Row],[ShipDate]],"yyyy - mmmm")</f>
        <v>2016 - February</v>
      </c>
      <c r="G1207" s="17" t="str">
        <f>data[[#This Row],[OriginCity]] &amp; " - "  &amp; data[[#This Row],[DestinationCity]]</f>
        <v>Grand Rapids - Toledo</v>
      </c>
      <c r="H1207" s="17" t="s">
        <v>20</v>
      </c>
      <c r="I1207" s="17" t="s">
        <v>21</v>
      </c>
      <c r="J1207" s="17">
        <v>2</v>
      </c>
      <c r="K1207" s="17" t="s">
        <v>22</v>
      </c>
      <c r="L1207" s="17" t="s">
        <v>23</v>
      </c>
      <c r="M1207" s="17" t="s">
        <v>462</v>
      </c>
      <c r="N1207" s="17">
        <v>915</v>
      </c>
      <c r="O1207" s="17">
        <v>570</v>
      </c>
      <c r="P1207" s="26">
        <f>(data[[#This Row],[LoadedMiles]]/data[[#This Row],[TotalMiles]])*100</f>
        <v>62.295081967213115</v>
      </c>
      <c r="Q1207" s="25">
        <f>data[[#This Row],[ShippingCost]]/data[[#This Row],[TotalMiles]]</f>
        <v>1.7431693989071038</v>
      </c>
      <c r="R1207" s="17">
        <v>1595</v>
      </c>
      <c r="S1207" s="25">
        <f>data[[#This Row],[Revenue]]/data[[#This Row],[TotalMiles]]</f>
        <v>1.9628415300546449</v>
      </c>
      <c r="T1207" s="26">
        <f>data[[#This Row],[Revenue]]-data[[#This Row],[ShippingCost]]</f>
        <v>201</v>
      </c>
      <c r="U1207" s="17">
        <v>1796</v>
      </c>
      <c r="V1207" s="17">
        <v>64</v>
      </c>
      <c r="W1207" s="17" t="s">
        <v>25</v>
      </c>
      <c r="X1207" s="17">
        <v>3</v>
      </c>
      <c r="Y1207" s="17">
        <f>data[[#This Row],[DeliveryDate]]-data[[#This Row],[ShipDate]]</f>
        <v>2</v>
      </c>
      <c r="Z1207" s="17" t="str">
        <f>IF(data[[#This Row],[Actual Delivery Days]]&gt;AD1208,"Yes","No")</f>
        <v>Yes</v>
      </c>
    </row>
    <row r="1208" spans="1:26">
      <c r="A1208" s="17">
        <v>10300</v>
      </c>
      <c r="B1208" s="17">
        <v>2</v>
      </c>
      <c r="C1208" s="17">
        <v>8</v>
      </c>
      <c r="D1208" s="17" t="s">
        <v>96</v>
      </c>
      <c r="E1208" s="17" t="s">
        <v>408</v>
      </c>
      <c r="F1208" s="17" t="str">
        <f>TEXT(data[[#This Row],[ShipDate]],"yyyy - mmmm")</f>
        <v>2016 - August</v>
      </c>
      <c r="G1208" s="17" t="str">
        <f>data[[#This Row],[OriginCity]] &amp; " - "  &amp; data[[#This Row],[DestinationCity]]</f>
        <v>Monon - Lansing</v>
      </c>
      <c r="H1208" s="17" t="s">
        <v>53</v>
      </c>
      <c r="I1208" s="17" t="s">
        <v>44</v>
      </c>
      <c r="J1208" s="17">
        <v>2</v>
      </c>
      <c r="K1208" s="17" t="s">
        <v>66</v>
      </c>
      <c r="L1208" s="17" t="s">
        <v>21</v>
      </c>
      <c r="M1208" s="17" t="s">
        <v>307</v>
      </c>
      <c r="N1208" s="17">
        <v>945</v>
      </c>
      <c r="O1208" s="17">
        <v>481</v>
      </c>
      <c r="P1208" s="26">
        <f>(data[[#This Row],[LoadedMiles]]/data[[#This Row],[TotalMiles]])*100</f>
        <v>50.899470899470899</v>
      </c>
      <c r="Q1208" s="25">
        <f>data[[#This Row],[ShippingCost]]/data[[#This Row],[TotalMiles]]</f>
        <v>0.45714285714285713</v>
      </c>
      <c r="R1208" s="17">
        <v>432</v>
      </c>
      <c r="S1208" s="25">
        <f>data[[#This Row],[Revenue]]/data[[#This Row],[TotalMiles]]</f>
        <v>1.2476190476190476</v>
      </c>
      <c r="T1208" s="26">
        <f>data[[#This Row],[Revenue]]-data[[#This Row],[ShippingCost]]</f>
        <v>747</v>
      </c>
      <c r="U1208" s="17">
        <v>1179</v>
      </c>
      <c r="V1208" s="17">
        <v>56</v>
      </c>
      <c r="W1208" s="17" t="s">
        <v>25</v>
      </c>
      <c r="X1208" s="17">
        <v>4</v>
      </c>
      <c r="Y1208" s="17">
        <f>data[[#This Row],[DeliveryDate]]-data[[#This Row],[ShipDate]]</f>
        <v>2</v>
      </c>
      <c r="Z1208" s="17" t="str">
        <f>IF(data[[#This Row],[Actual Delivery Days]]&gt;AD1209,"Yes","No")</f>
        <v>Yes</v>
      </c>
    </row>
    <row r="1209" spans="1:26">
      <c r="A1209" s="17">
        <v>10301</v>
      </c>
      <c r="B1209" s="17">
        <v>1</v>
      </c>
      <c r="C1209" s="17">
        <v>4</v>
      </c>
      <c r="D1209" s="17" t="s">
        <v>99</v>
      </c>
      <c r="E1209" s="17" t="s">
        <v>268</v>
      </c>
      <c r="F1209" s="17" t="str">
        <f>TEXT(data[[#This Row],[ShipDate]],"yyyy - mmmm")</f>
        <v>2016 - February</v>
      </c>
      <c r="G1209" s="17" t="str">
        <f>data[[#This Row],[OriginCity]] &amp; " - "  &amp; data[[#This Row],[DestinationCity]]</f>
        <v>Madison - Kalamazoo</v>
      </c>
      <c r="H1209" s="17" t="s">
        <v>62</v>
      </c>
      <c r="I1209" s="17" t="s">
        <v>29</v>
      </c>
      <c r="J1209" s="17">
        <v>2</v>
      </c>
      <c r="K1209" s="17" t="s">
        <v>71</v>
      </c>
      <c r="L1209" s="17" t="s">
        <v>21</v>
      </c>
      <c r="M1209" s="17" t="s">
        <v>291</v>
      </c>
      <c r="N1209" s="17">
        <v>862</v>
      </c>
      <c r="O1209" s="17">
        <v>494</v>
      </c>
      <c r="P1209" s="26">
        <f>(data[[#This Row],[LoadedMiles]]/data[[#This Row],[TotalMiles]])*100</f>
        <v>57.308584686774942</v>
      </c>
      <c r="Q1209" s="25">
        <f>data[[#This Row],[ShippingCost]]/data[[#This Row],[TotalMiles]]</f>
        <v>5.5997679814385153</v>
      </c>
      <c r="R1209" s="17">
        <v>4827</v>
      </c>
      <c r="S1209" s="25">
        <f>data[[#This Row],[Revenue]]/data[[#This Row],[TotalMiles]]</f>
        <v>3.4976798143851506</v>
      </c>
      <c r="T1209" s="26">
        <f>data[[#This Row],[Revenue]]-data[[#This Row],[ShippingCost]]</f>
        <v>-1812</v>
      </c>
      <c r="U1209" s="17">
        <v>3015</v>
      </c>
      <c r="V1209" s="17">
        <v>65</v>
      </c>
      <c r="W1209" s="17" t="s">
        <v>25</v>
      </c>
      <c r="X1209" s="17">
        <v>2</v>
      </c>
      <c r="Y1209" s="17">
        <f>data[[#This Row],[DeliveryDate]]-data[[#This Row],[ShipDate]]</f>
        <v>2</v>
      </c>
      <c r="Z1209" s="17" t="str">
        <f>IF(data[[#This Row],[Actual Delivery Days]]&gt;AD1210,"Yes","No")</f>
        <v>Yes</v>
      </c>
    </row>
    <row r="1210" spans="1:26">
      <c r="A1210" s="17">
        <v>10311</v>
      </c>
      <c r="B1210" s="17">
        <v>2</v>
      </c>
      <c r="C1210" s="17">
        <v>6</v>
      </c>
      <c r="D1210" s="17" t="s">
        <v>131</v>
      </c>
      <c r="E1210" s="17" t="s">
        <v>530</v>
      </c>
      <c r="F1210" s="17" t="str">
        <f>TEXT(data[[#This Row],[ShipDate]],"yyyy - mmmm")</f>
        <v>2016 - January</v>
      </c>
      <c r="G1210" s="17" t="str">
        <f>data[[#This Row],[OriginCity]] &amp; " - "  &amp; data[[#This Row],[DestinationCity]]</f>
        <v>Skokie - Chicago</v>
      </c>
      <c r="H1210" s="17" t="s">
        <v>35</v>
      </c>
      <c r="I1210" s="17" t="s">
        <v>31</v>
      </c>
      <c r="J1210" s="17">
        <v>2</v>
      </c>
      <c r="K1210" s="17" t="s">
        <v>39</v>
      </c>
      <c r="L1210" s="17" t="s">
        <v>31</v>
      </c>
      <c r="M1210" s="17" t="s">
        <v>174</v>
      </c>
      <c r="N1210" s="17">
        <v>442</v>
      </c>
      <c r="O1210" s="17">
        <v>442</v>
      </c>
      <c r="P1210" s="26">
        <f>(data[[#This Row],[LoadedMiles]]/data[[#This Row],[TotalMiles]])*100</f>
        <v>100</v>
      </c>
      <c r="Q1210" s="25">
        <f>data[[#This Row],[ShippingCost]]/data[[#This Row],[TotalMiles]]</f>
        <v>8.2126696832579178</v>
      </c>
      <c r="R1210" s="17">
        <v>3630</v>
      </c>
      <c r="S1210" s="25">
        <f>data[[#This Row],[Revenue]]/data[[#This Row],[TotalMiles]]</f>
        <v>8.8235294117647065</v>
      </c>
      <c r="T1210" s="26">
        <f>data[[#This Row],[Revenue]]-data[[#This Row],[ShippingCost]]</f>
        <v>270</v>
      </c>
      <c r="U1210" s="17">
        <v>3900</v>
      </c>
      <c r="V1210" s="17">
        <v>90</v>
      </c>
      <c r="W1210" s="17" t="s">
        <v>25</v>
      </c>
      <c r="X1210" s="17">
        <v>6</v>
      </c>
      <c r="Y1210" s="17">
        <f>data[[#This Row],[DeliveryDate]]-data[[#This Row],[ShipDate]]</f>
        <v>2</v>
      </c>
      <c r="Z1210" s="17" t="str">
        <f>IF(data[[#This Row],[Actual Delivery Days]]&gt;AD1211,"Yes","No")</f>
        <v>Yes</v>
      </c>
    </row>
    <row r="1211" spans="1:26">
      <c r="A1211" s="17">
        <v>10317</v>
      </c>
      <c r="B1211" s="17">
        <v>1</v>
      </c>
      <c r="C1211" s="17">
        <v>5</v>
      </c>
      <c r="D1211" s="17" t="s">
        <v>148</v>
      </c>
      <c r="E1211" s="17" t="s">
        <v>245</v>
      </c>
      <c r="F1211" s="17" t="str">
        <f>TEXT(data[[#This Row],[ShipDate]],"yyyy - mmmm")</f>
        <v>2016 - January</v>
      </c>
      <c r="G1211" s="17" t="str">
        <f>data[[#This Row],[OriginCity]] &amp; " - "  &amp; data[[#This Row],[DestinationCity]]</f>
        <v>Chicago - Rockford</v>
      </c>
      <c r="H1211" s="17" t="s">
        <v>39</v>
      </c>
      <c r="I1211" s="17" t="s">
        <v>31</v>
      </c>
      <c r="J1211" s="17">
        <v>2</v>
      </c>
      <c r="K1211" s="17" t="s">
        <v>40</v>
      </c>
      <c r="L1211" s="17" t="s">
        <v>31</v>
      </c>
      <c r="M1211" s="17" t="s">
        <v>583</v>
      </c>
      <c r="N1211" s="17">
        <v>874</v>
      </c>
      <c r="O1211" s="17">
        <v>548</v>
      </c>
      <c r="P1211" s="26">
        <f>(data[[#This Row],[LoadedMiles]]/data[[#This Row],[TotalMiles]])*100</f>
        <v>62.700228832951943</v>
      </c>
      <c r="Q1211" s="25">
        <f>data[[#This Row],[ShippingCost]]/data[[#This Row],[TotalMiles]]</f>
        <v>1.9187643020594967</v>
      </c>
      <c r="R1211" s="17">
        <v>1677</v>
      </c>
      <c r="S1211" s="25">
        <f>data[[#This Row],[Revenue]]/data[[#This Row],[TotalMiles]]</f>
        <v>2.223112128146453</v>
      </c>
      <c r="T1211" s="26">
        <f>data[[#This Row],[Revenue]]-data[[#This Row],[ShippingCost]]</f>
        <v>266</v>
      </c>
      <c r="U1211" s="17">
        <v>1943</v>
      </c>
      <c r="V1211" s="17">
        <v>83</v>
      </c>
      <c r="W1211" s="17" t="s">
        <v>25</v>
      </c>
      <c r="X1211" s="17">
        <v>1</v>
      </c>
      <c r="Y1211" s="17">
        <f>data[[#This Row],[DeliveryDate]]-data[[#This Row],[ShipDate]]</f>
        <v>2</v>
      </c>
      <c r="Z1211" s="17" t="str">
        <f>IF(data[[#This Row],[Actual Delivery Days]]&gt;AD1212,"Yes","No")</f>
        <v>Yes</v>
      </c>
    </row>
    <row r="1212" spans="1:26">
      <c r="A1212" s="17">
        <v>10318</v>
      </c>
      <c r="B1212" s="17">
        <v>2</v>
      </c>
      <c r="C1212" s="17">
        <v>4</v>
      </c>
      <c r="D1212" s="17" t="s">
        <v>151</v>
      </c>
      <c r="E1212" s="17" t="s">
        <v>608</v>
      </c>
      <c r="F1212" s="17" t="str">
        <f>TEXT(data[[#This Row],[ShipDate]],"yyyy - mmmm")</f>
        <v>2016 - July</v>
      </c>
      <c r="G1212" s="17" t="str">
        <f>data[[#This Row],[OriginCity]] &amp; " - "  &amp; data[[#This Row],[DestinationCity]]</f>
        <v>Indianapolis - Northbrook</v>
      </c>
      <c r="H1212" s="17" t="s">
        <v>43</v>
      </c>
      <c r="I1212" s="17" t="s">
        <v>44</v>
      </c>
      <c r="J1212" s="17">
        <v>2</v>
      </c>
      <c r="K1212" s="17" t="s">
        <v>45</v>
      </c>
      <c r="L1212" s="17" t="s">
        <v>31</v>
      </c>
      <c r="M1212" s="17" t="s">
        <v>179</v>
      </c>
      <c r="N1212" s="17">
        <v>864</v>
      </c>
      <c r="O1212" s="17">
        <v>674</v>
      </c>
      <c r="P1212" s="26">
        <f>(data[[#This Row],[LoadedMiles]]/data[[#This Row],[TotalMiles]])*100</f>
        <v>78.009259259259252</v>
      </c>
      <c r="Q1212" s="25">
        <f>data[[#This Row],[ShippingCost]]/data[[#This Row],[TotalMiles]]</f>
        <v>6.0706018518518521</v>
      </c>
      <c r="R1212" s="17">
        <v>5245</v>
      </c>
      <c r="S1212" s="25">
        <f>data[[#This Row],[Revenue]]/data[[#This Row],[TotalMiles]]</f>
        <v>3.8622685185185186</v>
      </c>
      <c r="T1212" s="26">
        <f>data[[#This Row],[Revenue]]-data[[#This Row],[ShippingCost]]</f>
        <v>-1908</v>
      </c>
      <c r="U1212" s="17">
        <v>3337</v>
      </c>
      <c r="V1212" s="17">
        <v>91</v>
      </c>
      <c r="W1212" s="17" t="s">
        <v>25</v>
      </c>
      <c r="X1212" s="17">
        <v>7</v>
      </c>
      <c r="Y1212" s="17">
        <f>data[[#This Row],[DeliveryDate]]-data[[#This Row],[ShipDate]]</f>
        <v>2</v>
      </c>
      <c r="Z1212" s="17" t="str">
        <f>IF(data[[#This Row],[Actual Delivery Days]]&gt;AD1213,"Yes","No")</f>
        <v>Yes</v>
      </c>
    </row>
    <row r="1213" spans="1:26">
      <c r="A1213" s="17">
        <v>10320</v>
      </c>
      <c r="B1213" s="17">
        <v>2</v>
      </c>
      <c r="C1213" s="17">
        <v>5</v>
      </c>
      <c r="D1213" s="17" t="s">
        <v>162</v>
      </c>
      <c r="E1213" s="17" t="s">
        <v>146</v>
      </c>
      <c r="F1213" s="17" t="str">
        <f>TEXT(data[[#This Row],[ShipDate]],"yyyy - mmmm")</f>
        <v>2016 - June</v>
      </c>
      <c r="G1213" s="17" t="str">
        <f>data[[#This Row],[OriginCity]] &amp; " - "  &amp; data[[#This Row],[DestinationCity]]</f>
        <v>Joliet - Madison</v>
      </c>
      <c r="H1213" s="17" t="s">
        <v>61</v>
      </c>
      <c r="I1213" s="17" t="s">
        <v>31</v>
      </c>
      <c r="J1213" s="17">
        <v>2</v>
      </c>
      <c r="K1213" s="17" t="s">
        <v>62</v>
      </c>
      <c r="L1213" s="17" t="s">
        <v>29</v>
      </c>
      <c r="M1213" s="17" t="s">
        <v>147</v>
      </c>
      <c r="N1213" s="17">
        <v>797</v>
      </c>
      <c r="O1213" s="17">
        <v>450</v>
      </c>
      <c r="P1213" s="26">
        <f>(data[[#This Row],[LoadedMiles]]/data[[#This Row],[TotalMiles]])*100</f>
        <v>56.461731493099123</v>
      </c>
      <c r="Q1213" s="25">
        <f>data[[#This Row],[ShippingCost]]/data[[#This Row],[TotalMiles]]</f>
        <v>10.0702634880803</v>
      </c>
      <c r="R1213" s="17">
        <v>8026</v>
      </c>
      <c r="S1213" s="25">
        <f>data[[#This Row],[Revenue]]/data[[#This Row],[TotalMiles]]</f>
        <v>10.914680050188206</v>
      </c>
      <c r="T1213" s="26">
        <f>data[[#This Row],[Revenue]]-data[[#This Row],[ShippingCost]]</f>
        <v>673</v>
      </c>
      <c r="U1213" s="17">
        <v>8699</v>
      </c>
      <c r="V1213" s="17">
        <v>98</v>
      </c>
      <c r="W1213" s="17" t="s">
        <v>25</v>
      </c>
      <c r="X1213" s="17">
        <v>7</v>
      </c>
      <c r="Y1213" s="17">
        <f>data[[#This Row],[DeliveryDate]]-data[[#This Row],[ShipDate]]</f>
        <v>1</v>
      </c>
      <c r="Z1213" s="17" t="str">
        <f>IF(data[[#This Row],[Actual Delivery Days]]&gt;AD1214,"Yes","No")</f>
        <v>Yes</v>
      </c>
    </row>
    <row r="1214" spans="1:26">
      <c r="A1214" s="17">
        <v>10333</v>
      </c>
      <c r="B1214" s="17">
        <v>1</v>
      </c>
      <c r="C1214" s="17">
        <v>7</v>
      </c>
      <c r="D1214" s="17" t="s">
        <v>195</v>
      </c>
      <c r="E1214" s="17" t="s">
        <v>253</v>
      </c>
      <c r="F1214" s="17" t="str">
        <f>TEXT(data[[#This Row],[ShipDate]],"yyyy - mmmm")</f>
        <v>2016 - April</v>
      </c>
      <c r="G1214" s="17" t="str">
        <f>data[[#This Row],[OriginCity]] &amp; " - "  &amp; data[[#This Row],[DestinationCity]]</f>
        <v>Davenport - Appleton</v>
      </c>
      <c r="H1214" s="17" t="s">
        <v>105</v>
      </c>
      <c r="I1214" s="17" t="s">
        <v>106</v>
      </c>
      <c r="J1214" s="17">
        <v>2</v>
      </c>
      <c r="K1214" s="17" t="s">
        <v>85</v>
      </c>
      <c r="L1214" s="17" t="s">
        <v>29</v>
      </c>
      <c r="M1214" s="17" t="s">
        <v>51</v>
      </c>
      <c r="N1214" s="17">
        <v>884</v>
      </c>
      <c r="O1214" s="17">
        <v>631</v>
      </c>
      <c r="P1214" s="26">
        <f>(data[[#This Row],[LoadedMiles]]/data[[#This Row],[TotalMiles]])*100</f>
        <v>71.380090497737555</v>
      </c>
      <c r="Q1214" s="25">
        <f>data[[#This Row],[ShippingCost]]/data[[#This Row],[TotalMiles]]</f>
        <v>1.5769230769230769</v>
      </c>
      <c r="R1214" s="17">
        <v>1394</v>
      </c>
      <c r="S1214" s="25">
        <f>data[[#This Row],[Revenue]]/data[[#This Row],[TotalMiles]]</f>
        <v>2.3563348416289593</v>
      </c>
      <c r="T1214" s="26">
        <f>data[[#This Row],[Revenue]]-data[[#This Row],[ShippingCost]]</f>
        <v>689</v>
      </c>
      <c r="U1214" s="17">
        <v>2083</v>
      </c>
      <c r="V1214" s="17">
        <v>74</v>
      </c>
      <c r="W1214" s="17" t="s">
        <v>25</v>
      </c>
      <c r="X1214" s="17">
        <v>3</v>
      </c>
      <c r="Y1214" s="17">
        <f>data[[#This Row],[DeliveryDate]]-data[[#This Row],[ShipDate]]</f>
        <v>2</v>
      </c>
      <c r="Z1214" s="17" t="str">
        <f>IF(data[[#This Row],[Actual Delivery Days]]&gt;AD1215,"Yes","No")</f>
        <v>Yes</v>
      </c>
    </row>
    <row r="1215" spans="1:26">
      <c r="A1215" s="17">
        <v>10344</v>
      </c>
      <c r="B1215" s="17">
        <v>2</v>
      </c>
      <c r="C1215" s="17">
        <v>8</v>
      </c>
      <c r="D1215" s="17" t="s">
        <v>220</v>
      </c>
      <c r="E1215" s="17" t="s">
        <v>348</v>
      </c>
      <c r="F1215" s="17" t="str">
        <f>TEXT(data[[#This Row],[ShipDate]],"yyyy - mmmm")</f>
        <v>2016 - May</v>
      </c>
      <c r="G1215" s="17" t="str">
        <f>data[[#This Row],[OriginCity]] &amp; " - "  &amp; data[[#This Row],[DestinationCity]]</f>
        <v>Madison - Kalamazoo</v>
      </c>
      <c r="H1215" s="17" t="s">
        <v>62</v>
      </c>
      <c r="I1215" s="17" t="s">
        <v>29</v>
      </c>
      <c r="J1215" s="17">
        <v>2</v>
      </c>
      <c r="K1215" s="17" t="s">
        <v>71</v>
      </c>
      <c r="L1215" s="17" t="s">
        <v>21</v>
      </c>
      <c r="M1215" s="17" t="s">
        <v>56</v>
      </c>
      <c r="N1215" s="17">
        <v>1034</v>
      </c>
      <c r="O1215" s="17">
        <v>215</v>
      </c>
      <c r="P1215" s="26">
        <f>(data[[#This Row],[LoadedMiles]]/data[[#This Row],[TotalMiles]])*100</f>
        <v>20.793036750483559</v>
      </c>
      <c r="Q1215" s="25">
        <f>data[[#This Row],[ShippingCost]]/data[[#This Row],[TotalMiles]]</f>
        <v>1.5</v>
      </c>
      <c r="R1215" s="17">
        <v>1551</v>
      </c>
      <c r="S1215" s="25">
        <f>data[[#This Row],[Revenue]]/data[[#This Row],[TotalMiles]]</f>
        <v>2.253384912959381</v>
      </c>
      <c r="T1215" s="26">
        <f>data[[#This Row],[Revenue]]-data[[#This Row],[ShippingCost]]</f>
        <v>779</v>
      </c>
      <c r="U1215" s="17">
        <v>2330</v>
      </c>
      <c r="V1215" s="17">
        <v>52</v>
      </c>
      <c r="W1215" s="17" t="s">
        <v>86</v>
      </c>
      <c r="X1215" s="17">
        <v>4</v>
      </c>
      <c r="Y1215" s="17">
        <f>data[[#This Row],[DeliveryDate]]-data[[#This Row],[ShipDate]]</f>
        <v>2</v>
      </c>
      <c r="Z1215" s="17" t="str">
        <f>IF(data[[#This Row],[Actual Delivery Days]]&gt;AD1216,"Yes","No")</f>
        <v>Yes</v>
      </c>
    </row>
    <row r="1216" spans="1:26">
      <c r="A1216" s="17">
        <v>10350</v>
      </c>
      <c r="B1216" s="17">
        <v>1</v>
      </c>
      <c r="C1216" s="17">
        <v>8</v>
      </c>
      <c r="D1216" s="17" t="s">
        <v>233</v>
      </c>
      <c r="E1216" s="17" t="s">
        <v>405</v>
      </c>
      <c r="F1216" s="17" t="str">
        <f>TEXT(data[[#This Row],[ShipDate]],"yyyy - mmmm")</f>
        <v>2016 - August</v>
      </c>
      <c r="G1216" s="17" t="str">
        <f>data[[#This Row],[OriginCity]] &amp; " - "  &amp; data[[#This Row],[DestinationCity]]</f>
        <v>Dayton - Elgin</v>
      </c>
      <c r="H1216" s="17" t="s">
        <v>93</v>
      </c>
      <c r="I1216" s="17" t="s">
        <v>23</v>
      </c>
      <c r="J1216" s="17">
        <v>2</v>
      </c>
      <c r="K1216" s="17" t="s">
        <v>94</v>
      </c>
      <c r="L1216" s="17" t="s">
        <v>31</v>
      </c>
      <c r="M1216" s="17" t="s">
        <v>405</v>
      </c>
      <c r="N1216" s="17">
        <v>661</v>
      </c>
      <c r="O1216" s="17">
        <v>661</v>
      </c>
      <c r="P1216" s="26">
        <f>(data[[#This Row],[LoadedMiles]]/data[[#This Row],[TotalMiles]])*100</f>
        <v>100</v>
      </c>
      <c r="Q1216" s="25">
        <f>data[[#This Row],[ShippingCost]]/data[[#This Row],[TotalMiles]]</f>
        <v>8.7276853252647495</v>
      </c>
      <c r="R1216" s="17">
        <v>5769</v>
      </c>
      <c r="S1216" s="25">
        <f>data[[#This Row],[Revenue]]/data[[#This Row],[TotalMiles]]</f>
        <v>9.6021180030257192</v>
      </c>
      <c r="T1216" s="26">
        <f>data[[#This Row],[Revenue]]-data[[#This Row],[ShippingCost]]</f>
        <v>578</v>
      </c>
      <c r="U1216" s="17">
        <v>6347</v>
      </c>
      <c r="V1216" s="17">
        <v>95</v>
      </c>
      <c r="W1216" s="17" t="s">
        <v>25</v>
      </c>
      <c r="X1216" s="17">
        <v>9</v>
      </c>
      <c r="Y1216" s="17">
        <f>data[[#This Row],[DeliveryDate]]-data[[#This Row],[ShipDate]]</f>
        <v>0</v>
      </c>
      <c r="Z1216" s="17" t="str">
        <f>IF(data[[#This Row],[Actual Delivery Days]]&gt;AD1217,"Yes","No")</f>
        <v>No</v>
      </c>
    </row>
    <row r="1217" spans="1:26">
      <c r="A1217" s="17">
        <v>10353</v>
      </c>
      <c r="B1217" s="17">
        <v>2</v>
      </c>
      <c r="C1217" s="17">
        <v>6</v>
      </c>
      <c r="D1217" s="17" t="s">
        <v>247</v>
      </c>
      <c r="E1217" s="17" t="s">
        <v>614</v>
      </c>
      <c r="F1217" s="17" t="str">
        <f>TEXT(data[[#This Row],[ShipDate]],"yyyy - mmmm")</f>
        <v>2016 - July</v>
      </c>
      <c r="G1217" s="17" t="str">
        <f>data[[#This Row],[OriginCity]] &amp; " - "  &amp; data[[#This Row],[DestinationCity]]</f>
        <v>Kalamazoo - Bangor</v>
      </c>
      <c r="H1217" s="17" t="s">
        <v>71</v>
      </c>
      <c r="I1217" s="17" t="s">
        <v>21</v>
      </c>
      <c r="J1217" s="17">
        <v>2</v>
      </c>
      <c r="K1217" s="17" t="s">
        <v>104</v>
      </c>
      <c r="L1217" s="17" t="s">
        <v>21</v>
      </c>
      <c r="M1217" s="17" t="s">
        <v>155</v>
      </c>
      <c r="N1217" s="17">
        <v>720</v>
      </c>
      <c r="O1217" s="17">
        <v>579</v>
      </c>
      <c r="P1217" s="26">
        <f>(data[[#This Row],[LoadedMiles]]/data[[#This Row],[TotalMiles]])*100</f>
        <v>80.416666666666671</v>
      </c>
      <c r="Q1217" s="25">
        <f>data[[#This Row],[ShippingCost]]/data[[#This Row],[TotalMiles]]</f>
        <v>7.3152777777777782</v>
      </c>
      <c r="R1217" s="17">
        <v>5267</v>
      </c>
      <c r="S1217" s="25">
        <f>data[[#This Row],[Revenue]]/data[[#This Row],[TotalMiles]]</f>
        <v>8.1236111111111118</v>
      </c>
      <c r="T1217" s="26">
        <f>data[[#This Row],[Revenue]]-data[[#This Row],[ShippingCost]]</f>
        <v>582</v>
      </c>
      <c r="U1217" s="17">
        <v>5849</v>
      </c>
      <c r="V1217" s="17">
        <v>98</v>
      </c>
      <c r="W1217" s="17" t="s">
        <v>25</v>
      </c>
      <c r="X1217" s="17">
        <v>10</v>
      </c>
      <c r="Y1217" s="17">
        <f>data[[#This Row],[DeliveryDate]]-data[[#This Row],[ShipDate]]</f>
        <v>2</v>
      </c>
      <c r="Z1217" s="17" t="str">
        <f>IF(data[[#This Row],[Actual Delivery Days]]&gt;AD1218,"Yes","No")</f>
        <v>Yes</v>
      </c>
    </row>
    <row r="1218" spans="1:26">
      <c r="A1218" s="17">
        <v>10355</v>
      </c>
      <c r="B1218" s="17">
        <v>2</v>
      </c>
      <c r="C1218" s="17">
        <v>7</v>
      </c>
      <c r="D1218" s="17" t="s">
        <v>250</v>
      </c>
      <c r="E1218" s="17" t="s">
        <v>78</v>
      </c>
      <c r="F1218" s="17" t="str">
        <f>TEXT(data[[#This Row],[ShipDate]],"yyyy - mmmm")</f>
        <v>2016 - June</v>
      </c>
      <c r="G1218" s="17" t="str">
        <f>data[[#This Row],[OriginCity]] &amp; " - "  &amp; data[[#This Row],[DestinationCity]]</f>
        <v>Grand Rapids - Toledo</v>
      </c>
      <c r="H1218" s="17" t="s">
        <v>20</v>
      </c>
      <c r="I1218" s="17" t="s">
        <v>21</v>
      </c>
      <c r="J1218" s="17">
        <v>2</v>
      </c>
      <c r="K1218" s="17" t="s">
        <v>22</v>
      </c>
      <c r="L1218" s="17" t="s">
        <v>23</v>
      </c>
      <c r="M1218" s="17" t="s">
        <v>610</v>
      </c>
      <c r="N1218" s="17">
        <v>741</v>
      </c>
      <c r="O1218" s="17">
        <v>707</v>
      </c>
      <c r="P1218" s="26">
        <f>(data[[#This Row],[LoadedMiles]]/data[[#This Row],[TotalMiles]])*100</f>
        <v>95.411605937921735</v>
      </c>
      <c r="Q1218" s="25">
        <f>data[[#This Row],[ShippingCost]]/data[[#This Row],[TotalMiles]]</f>
        <v>5.2901484480431851</v>
      </c>
      <c r="R1218" s="17">
        <v>3920</v>
      </c>
      <c r="S1218" s="25">
        <f>data[[#This Row],[Revenue]]/data[[#This Row],[TotalMiles]]</f>
        <v>6.1268556005398107</v>
      </c>
      <c r="T1218" s="26">
        <f>data[[#This Row],[Revenue]]-data[[#This Row],[ShippingCost]]</f>
        <v>620</v>
      </c>
      <c r="U1218" s="17">
        <v>4540</v>
      </c>
      <c r="V1218" s="17">
        <v>73</v>
      </c>
      <c r="W1218" s="17" t="s">
        <v>25</v>
      </c>
      <c r="X1218" s="17">
        <v>2</v>
      </c>
      <c r="Y1218" s="17">
        <f>data[[#This Row],[DeliveryDate]]-data[[#This Row],[ShipDate]]</f>
        <v>1</v>
      </c>
      <c r="Z1218" s="17" t="str">
        <f>IF(data[[#This Row],[Actual Delivery Days]]&gt;AD1219,"Yes","No")</f>
        <v>Yes</v>
      </c>
    </row>
    <row r="1219" spans="1:26">
      <c r="A1219" s="17">
        <v>10361</v>
      </c>
      <c r="B1219" s="17">
        <v>2</v>
      </c>
      <c r="C1219" s="17">
        <v>8</v>
      </c>
      <c r="D1219" s="17" t="s">
        <v>262</v>
      </c>
      <c r="E1219" s="17" t="s">
        <v>259</v>
      </c>
      <c r="F1219" s="17" t="str">
        <f>TEXT(data[[#This Row],[ShipDate]],"yyyy - mmmm")</f>
        <v>2016 - February</v>
      </c>
      <c r="G1219" s="17" t="str">
        <f>data[[#This Row],[OriginCity]] &amp; " - "  &amp; data[[#This Row],[DestinationCity]]</f>
        <v>Detriot - Monon</v>
      </c>
      <c r="H1219" s="17" t="s">
        <v>52</v>
      </c>
      <c r="I1219" s="17" t="s">
        <v>21</v>
      </c>
      <c r="J1219" s="17">
        <v>2</v>
      </c>
      <c r="K1219" s="17" t="s">
        <v>53</v>
      </c>
      <c r="L1219" s="17" t="s">
        <v>44</v>
      </c>
      <c r="M1219" s="17" t="s">
        <v>95</v>
      </c>
      <c r="N1219" s="17">
        <v>1027</v>
      </c>
      <c r="O1219" s="17">
        <v>210</v>
      </c>
      <c r="P1219" s="26">
        <f>(data[[#This Row],[LoadedMiles]]/data[[#This Row],[TotalMiles]])*100</f>
        <v>20.447906523855892</v>
      </c>
      <c r="Q1219" s="25">
        <f>data[[#This Row],[ShippingCost]]/data[[#This Row],[TotalMiles]]</f>
        <v>3.1606621226874392</v>
      </c>
      <c r="R1219" s="17">
        <v>3246</v>
      </c>
      <c r="S1219" s="25">
        <f>data[[#This Row],[Revenue]]/data[[#This Row],[TotalMiles]]</f>
        <v>3.3885102239532618</v>
      </c>
      <c r="T1219" s="26">
        <f>data[[#This Row],[Revenue]]-data[[#This Row],[ShippingCost]]</f>
        <v>234</v>
      </c>
      <c r="U1219" s="17">
        <v>3480</v>
      </c>
      <c r="V1219" s="17">
        <v>71</v>
      </c>
      <c r="W1219" s="17" t="s">
        <v>86</v>
      </c>
      <c r="X1219" s="17">
        <v>5</v>
      </c>
      <c r="Y1219" s="17">
        <f>data[[#This Row],[DeliveryDate]]-data[[#This Row],[ShipDate]]</f>
        <v>2</v>
      </c>
      <c r="Z1219" s="17" t="str">
        <f>IF(data[[#This Row],[Actual Delivery Days]]&gt;AD1220,"Yes","No")</f>
        <v>Yes</v>
      </c>
    </row>
    <row r="1220" spans="1:26">
      <c r="A1220" s="17">
        <v>10362</v>
      </c>
      <c r="B1220" s="17">
        <v>2</v>
      </c>
      <c r="C1220" s="17">
        <v>8</v>
      </c>
      <c r="D1220" s="17" t="s">
        <v>265</v>
      </c>
      <c r="E1220" s="17" t="s">
        <v>90</v>
      </c>
      <c r="F1220" s="17" t="str">
        <f>TEXT(data[[#This Row],[ShipDate]],"yyyy - mmmm")</f>
        <v>2016 - February</v>
      </c>
      <c r="G1220" s="17" t="str">
        <f>data[[#This Row],[OriginCity]] &amp; " - "  &amp; data[[#This Row],[DestinationCity]]</f>
        <v>Gary - Milwaukee</v>
      </c>
      <c r="H1220" s="17" t="s">
        <v>57</v>
      </c>
      <c r="I1220" s="17" t="s">
        <v>44</v>
      </c>
      <c r="J1220" s="17">
        <v>2</v>
      </c>
      <c r="K1220" s="17" t="s">
        <v>28</v>
      </c>
      <c r="L1220" s="17" t="s">
        <v>29</v>
      </c>
      <c r="M1220" s="17" t="s">
        <v>460</v>
      </c>
      <c r="N1220" s="17">
        <v>1067</v>
      </c>
      <c r="O1220" s="17">
        <v>296</v>
      </c>
      <c r="P1220" s="26">
        <f>(data[[#This Row],[LoadedMiles]]/data[[#This Row],[TotalMiles]])*100</f>
        <v>27.741330834114343</v>
      </c>
      <c r="Q1220" s="25">
        <f>data[[#This Row],[ShippingCost]]/data[[#This Row],[TotalMiles]]</f>
        <v>4.321462043111528</v>
      </c>
      <c r="R1220" s="17">
        <v>4611</v>
      </c>
      <c r="S1220" s="25">
        <f>data[[#This Row],[Revenue]]/data[[#This Row],[TotalMiles]]</f>
        <v>4.9493908153701964</v>
      </c>
      <c r="T1220" s="26">
        <f>data[[#This Row],[Revenue]]-data[[#This Row],[ShippingCost]]</f>
        <v>670</v>
      </c>
      <c r="U1220" s="17">
        <v>5281</v>
      </c>
      <c r="V1220" s="17">
        <v>64</v>
      </c>
      <c r="W1220" s="17" t="s">
        <v>25</v>
      </c>
      <c r="X1220" s="17">
        <v>4</v>
      </c>
      <c r="Y1220" s="17">
        <f>data[[#This Row],[DeliveryDate]]-data[[#This Row],[ShipDate]]</f>
        <v>2</v>
      </c>
      <c r="Z1220" s="17" t="str">
        <f>IF(data[[#This Row],[Actual Delivery Days]]&gt;AD1221,"Yes","No")</f>
        <v>Yes</v>
      </c>
    </row>
    <row r="1221" spans="1:26">
      <c r="A1221" s="17">
        <v>10363</v>
      </c>
      <c r="B1221" s="17">
        <v>2</v>
      </c>
      <c r="C1221" s="17">
        <v>5</v>
      </c>
      <c r="D1221" s="17" t="s">
        <v>266</v>
      </c>
      <c r="E1221" s="17" t="s">
        <v>158</v>
      </c>
      <c r="F1221" s="17" t="str">
        <f>TEXT(data[[#This Row],[ShipDate]],"yyyy - mmmm")</f>
        <v>2016 - April</v>
      </c>
      <c r="G1221" s="17" t="str">
        <f>data[[#This Row],[OriginCity]] &amp; " - "  &amp; data[[#This Row],[DestinationCity]]</f>
        <v>Joliet - Madison</v>
      </c>
      <c r="H1221" s="17" t="s">
        <v>61</v>
      </c>
      <c r="I1221" s="17" t="s">
        <v>31</v>
      </c>
      <c r="J1221" s="17">
        <v>2</v>
      </c>
      <c r="K1221" s="17" t="s">
        <v>62</v>
      </c>
      <c r="L1221" s="17" t="s">
        <v>29</v>
      </c>
      <c r="M1221" s="17" t="s">
        <v>222</v>
      </c>
      <c r="N1221" s="17">
        <v>836</v>
      </c>
      <c r="O1221" s="17">
        <v>530</v>
      </c>
      <c r="P1221" s="26">
        <f>(data[[#This Row],[LoadedMiles]]/data[[#This Row],[TotalMiles]])*100</f>
        <v>63.397129186602875</v>
      </c>
      <c r="Q1221" s="25">
        <f>data[[#This Row],[ShippingCost]]/data[[#This Row],[TotalMiles]]</f>
        <v>4.9688995215311005</v>
      </c>
      <c r="R1221" s="17">
        <v>4154</v>
      </c>
      <c r="S1221" s="25">
        <f>data[[#This Row],[Revenue]]/data[[#This Row],[TotalMiles]]</f>
        <v>5.7009569377990434</v>
      </c>
      <c r="T1221" s="26">
        <f>data[[#This Row],[Revenue]]-data[[#This Row],[ShippingCost]]</f>
        <v>612</v>
      </c>
      <c r="U1221" s="17">
        <v>4766</v>
      </c>
      <c r="V1221" s="17">
        <v>56</v>
      </c>
      <c r="W1221" s="17" t="s">
        <v>25</v>
      </c>
      <c r="X1221" s="17">
        <v>10</v>
      </c>
      <c r="Y1221" s="17">
        <f>data[[#This Row],[DeliveryDate]]-data[[#This Row],[ShipDate]]</f>
        <v>2</v>
      </c>
      <c r="Z1221" s="17" t="str">
        <f>IF(data[[#This Row],[Actual Delivery Days]]&gt;AD1222,"Yes","No")</f>
        <v>Yes</v>
      </c>
    </row>
    <row r="1222" spans="1:26">
      <c r="A1222" s="17">
        <v>10367</v>
      </c>
      <c r="B1222" s="17">
        <v>2</v>
      </c>
      <c r="C1222" s="17">
        <v>4</v>
      </c>
      <c r="D1222" s="17" t="s">
        <v>273</v>
      </c>
      <c r="E1222" s="17" t="s">
        <v>399</v>
      </c>
      <c r="F1222" s="17" t="str">
        <f>TEXT(data[[#This Row],[ShipDate]],"yyyy - mmmm")</f>
        <v>2016 - July</v>
      </c>
      <c r="G1222" s="17" t="str">
        <f>data[[#This Row],[OriginCity]] &amp; " - "  &amp; data[[#This Row],[DestinationCity]]</f>
        <v>Naperville - Indianapolis</v>
      </c>
      <c r="H1222" s="17" t="s">
        <v>48</v>
      </c>
      <c r="I1222" s="17" t="s">
        <v>31</v>
      </c>
      <c r="J1222" s="17">
        <v>2</v>
      </c>
      <c r="K1222" s="17" t="s">
        <v>43</v>
      </c>
      <c r="L1222" s="17" t="s">
        <v>44</v>
      </c>
      <c r="M1222" s="17" t="s">
        <v>298</v>
      </c>
      <c r="N1222" s="17">
        <v>654</v>
      </c>
      <c r="O1222" s="17">
        <v>534</v>
      </c>
      <c r="P1222" s="26">
        <f>(data[[#This Row],[LoadedMiles]]/data[[#This Row],[TotalMiles]])*100</f>
        <v>81.651376146788991</v>
      </c>
      <c r="Q1222" s="25">
        <f>data[[#This Row],[ShippingCost]]/data[[#This Row],[TotalMiles]]</f>
        <v>10.906727828746178</v>
      </c>
      <c r="R1222" s="17">
        <v>7133</v>
      </c>
      <c r="S1222" s="25">
        <f>data[[#This Row],[Revenue]]/data[[#This Row],[TotalMiles]]</f>
        <v>7.1345565749235478</v>
      </c>
      <c r="T1222" s="26">
        <f>data[[#This Row],[Revenue]]-data[[#This Row],[ShippingCost]]</f>
        <v>-2467</v>
      </c>
      <c r="U1222" s="17">
        <v>4666</v>
      </c>
      <c r="V1222" s="17">
        <v>75</v>
      </c>
      <c r="W1222" s="17" t="s">
        <v>25</v>
      </c>
      <c r="X1222" s="17">
        <v>1</v>
      </c>
      <c r="Y1222" s="17">
        <f>data[[#This Row],[DeliveryDate]]-data[[#This Row],[ShipDate]]</f>
        <v>1</v>
      </c>
      <c r="Z1222" s="17" t="str">
        <f>IF(data[[#This Row],[Actual Delivery Days]]&gt;AD1223,"Yes","No")</f>
        <v>Yes</v>
      </c>
    </row>
    <row r="1223" spans="1:26">
      <c r="A1223" s="17">
        <v>10368</v>
      </c>
      <c r="B1223" s="17">
        <v>2</v>
      </c>
      <c r="C1223" s="17">
        <v>7</v>
      </c>
      <c r="D1223" s="17" t="s">
        <v>275</v>
      </c>
      <c r="E1223" s="17" t="s">
        <v>537</v>
      </c>
      <c r="F1223" s="17" t="str">
        <f>TEXT(data[[#This Row],[ShipDate]],"yyyy - mmmm")</f>
        <v>2016 - June</v>
      </c>
      <c r="G1223" s="17" t="str">
        <f>data[[#This Row],[OriginCity]] &amp; " - "  &amp; data[[#This Row],[DestinationCity]]</f>
        <v>Rockford - Green Bay</v>
      </c>
      <c r="H1223" s="17" t="s">
        <v>40</v>
      </c>
      <c r="I1223" s="17" t="s">
        <v>31</v>
      </c>
      <c r="J1223" s="17">
        <v>2</v>
      </c>
      <c r="K1223" s="17" t="s">
        <v>75</v>
      </c>
      <c r="L1223" s="17" t="s">
        <v>29</v>
      </c>
      <c r="M1223" s="17" t="s">
        <v>542</v>
      </c>
      <c r="N1223" s="17">
        <v>493</v>
      </c>
      <c r="O1223" s="17">
        <v>319</v>
      </c>
      <c r="P1223" s="26">
        <f>(data[[#This Row],[LoadedMiles]]/data[[#This Row],[TotalMiles]])*100</f>
        <v>64.705882352941174</v>
      </c>
      <c r="Q1223" s="25">
        <f>data[[#This Row],[ShippingCost]]/data[[#This Row],[TotalMiles]]</f>
        <v>2.3975659229208923</v>
      </c>
      <c r="R1223" s="17">
        <v>1182</v>
      </c>
      <c r="S1223" s="25">
        <f>data[[#This Row],[Revenue]]/data[[#This Row],[TotalMiles]]</f>
        <v>3.5212981744421907</v>
      </c>
      <c r="T1223" s="26">
        <f>data[[#This Row],[Revenue]]-data[[#This Row],[ShippingCost]]</f>
        <v>554</v>
      </c>
      <c r="U1223" s="17">
        <v>1736</v>
      </c>
      <c r="V1223" s="17">
        <v>90</v>
      </c>
      <c r="W1223" s="17" t="s">
        <v>25</v>
      </c>
      <c r="X1223" s="17">
        <v>9</v>
      </c>
      <c r="Y1223" s="17">
        <f>data[[#This Row],[DeliveryDate]]-data[[#This Row],[ShipDate]]</f>
        <v>2</v>
      </c>
      <c r="Z1223" s="17" t="str">
        <f>IF(data[[#This Row],[Actual Delivery Days]]&gt;AD1224,"Yes","No")</f>
        <v>Yes</v>
      </c>
    </row>
    <row r="1224" spans="1:26">
      <c r="A1224" s="17">
        <v>10371</v>
      </c>
      <c r="B1224" s="17">
        <v>1</v>
      </c>
      <c r="C1224" s="17">
        <v>8</v>
      </c>
      <c r="D1224" s="17" t="s">
        <v>280</v>
      </c>
      <c r="E1224" s="17" t="s">
        <v>72</v>
      </c>
      <c r="F1224" s="17" t="str">
        <f>TEXT(data[[#This Row],[ShipDate]],"yyyy - mmmm")</f>
        <v>2016 - January</v>
      </c>
      <c r="G1224" s="17" t="str">
        <f>data[[#This Row],[OriginCity]] &amp; " - "  &amp; data[[#This Row],[DestinationCity]]</f>
        <v>Dayton - Elgin</v>
      </c>
      <c r="H1224" s="17" t="s">
        <v>93</v>
      </c>
      <c r="I1224" s="17" t="s">
        <v>23</v>
      </c>
      <c r="J1224" s="17">
        <v>2</v>
      </c>
      <c r="K1224" s="17" t="s">
        <v>94</v>
      </c>
      <c r="L1224" s="17" t="s">
        <v>31</v>
      </c>
      <c r="M1224" s="17" t="s">
        <v>615</v>
      </c>
      <c r="N1224" s="17">
        <v>676</v>
      </c>
      <c r="O1224" s="17">
        <v>223</v>
      </c>
      <c r="P1224" s="26">
        <f>(data[[#This Row],[LoadedMiles]]/data[[#This Row],[TotalMiles]])*100</f>
        <v>32.988165680473372</v>
      </c>
      <c r="Q1224" s="25">
        <f>data[[#This Row],[ShippingCost]]/data[[#This Row],[TotalMiles]]</f>
        <v>0.43639053254437871</v>
      </c>
      <c r="R1224" s="17">
        <v>295</v>
      </c>
      <c r="S1224" s="25">
        <f>data[[#This Row],[Revenue]]/data[[#This Row],[TotalMiles]]</f>
        <v>0.76183431952662717</v>
      </c>
      <c r="T1224" s="26">
        <f>data[[#This Row],[Revenue]]-data[[#This Row],[ShippingCost]]</f>
        <v>220</v>
      </c>
      <c r="U1224" s="17">
        <v>515</v>
      </c>
      <c r="V1224" s="17">
        <v>78</v>
      </c>
      <c r="W1224" s="17" t="s">
        <v>25</v>
      </c>
      <c r="X1224" s="17">
        <v>6</v>
      </c>
      <c r="Y1224" s="17">
        <f>data[[#This Row],[DeliveryDate]]-data[[#This Row],[ShipDate]]</f>
        <v>2</v>
      </c>
      <c r="Z1224" s="17" t="str">
        <f>IF(data[[#This Row],[Actual Delivery Days]]&gt;AD1225,"Yes","No")</f>
        <v>Yes</v>
      </c>
    </row>
    <row r="1225" spans="1:26">
      <c r="A1225" s="17">
        <v>10373</v>
      </c>
      <c r="B1225" s="17">
        <v>1</v>
      </c>
      <c r="C1225" s="17">
        <v>8</v>
      </c>
      <c r="D1225" s="17" t="s">
        <v>284</v>
      </c>
      <c r="E1225" s="17" t="s">
        <v>116</v>
      </c>
      <c r="F1225" s="17" t="str">
        <f>TEXT(data[[#This Row],[ShipDate]],"yyyy - mmmm")</f>
        <v>2016 - July</v>
      </c>
      <c r="G1225" s="17" t="str">
        <f>data[[#This Row],[OriginCity]] &amp; " - "  &amp; data[[#This Row],[DestinationCity]]</f>
        <v>Lansing - Dayton</v>
      </c>
      <c r="H1225" s="17" t="s">
        <v>66</v>
      </c>
      <c r="I1225" s="17" t="s">
        <v>21</v>
      </c>
      <c r="J1225" s="17">
        <v>2</v>
      </c>
      <c r="K1225" s="17" t="s">
        <v>93</v>
      </c>
      <c r="L1225" s="17" t="s">
        <v>23</v>
      </c>
      <c r="M1225" s="17" t="s">
        <v>24</v>
      </c>
      <c r="N1225" s="17">
        <v>1178</v>
      </c>
      <c r="O1225" s="17">
        <v>243</v>
      </c>
      <c r="P1225" s="26">
        <f>(data[[#This Row],[LoadedMiles]]/data[[#This Row],[TotalMiles]])*100</f>
        <v>20.62818336162988</v>
      </c>
      <c r="Q1225" s="25">
        <f>data[[#This Row],[ShippingCost]]/data[[#This Row],[TotalMiles]]</f>
        <v>3.892190152801358</v>
      </c>
      <c r="R1225" s="17">
        <v>4585</v>
      </c>
      <c r="S1225" s="25">
        <f>data[[#This Row],[Revenue]]/data[[#This Row],[TotalMiles]]</f>
        <v>4.0373514431239386</v>
      </c>
      <c r="T1225" s="26">
        <f>data[[#This Row],[Revenue]]-data[[#This Row],[ShippingCost]]</f>
        <v>171</v>
      </c>
      <c r="U1225" s="17">
        <v>4756</v>
      </c>
      <c r="V1225" s="17">
        <v>94</v>
      </c>
      <c r="W1225" s="17" t="s">
        <v>25</v>
      </c>
      <c r="X1225" s="17">
        <v>10</v>
      </c>
      <c r="Y1225" s="17">
        <f>data[[#This Row],[DeliveryDate]]-data[[#This Row],[ShipDate]]</f>
        <v>2</v>
      </c>
      <c r="Z1225" s="17" t="str">
        <f>IF(data[[#This Row],[Actual Delivery Days]]&gt;AD1226,"Yes","No")</f>
        <v>Yes</v>
      </c>
    </row>
    <row r="1226" spans="1:26">
      <c r="A1226" s="17">
        <v>10381</v>
      </c>
      <c r="B1226" s="17">
        <v>1</v>
      </c>
      <c r="C1226" s="17">
        <v>7</v>
      </c>
      <c r="D1226" s="17" t="s">
        <v>300</v>
      </c>
      <c r="E1226" s="17" t="s">
        <v>553</v>
      </c>
      <c r="F1226" s="17" t="str">
        <f>TEXT(data[[#This Row],[ShipDate]],"yyyy - mmmm")</f>
        <v>2016 - July</v>
      </c>
      <c r="G1226" s="17" t="str">
        <f>data[[#This Row],[OriginCity]] &amp; " - "  &amp; data[[#This Row],[DestinationCity]]</f>
        <v>Springfield - Skokie</v>
      </c>
      <c r="H1226" s="17" t="s">
        <v>30</v>
      </c>
      <c r="I1226" s="17" t="s">
        <v>31</v>
      </c>
      <c r="J1226" s="17">
        <v>2</v>
      </c>
      <c r="K1226" s="17" t="s">
        <v>35</v>
      </c>
      <c r="L1226" s="17" t="s">
        <v>31</v>
      </c>
      <c r="M1226" s="17" t="s">
        <v>426</v>
      </c>
      <c r="N1226" s="17">
        <v>456</v>
      </c>
      <c r="O1226" s="17">
        <v>456</v>
      </c>
      <c r="P1226" s="26">
        <f>(data[[#This Row],[LoadedMiles]]/data[[#This Row],[TotalMiles]])*100</f>
        <v>100</v>
      </c>
      <c r="Q1226" s="25">
        <f>data[[#This Row],[ShippingCost]]/data[[#This Row],[TotalMiles]]</f>
        <v>12.337719298245615</v>
      </c>
      <c r="R1226" s="17">
        <v>5626</v>
      </c>
      <c r="S1226" s="25">
        <f>data[[#This Row],[Revenue]]/data[[#This Row],[TotalMiles]]</f>
        <v>13.414473684210526</v>
      </c>
      <c r="T1226" s="26">
        <f>data[[#This Row],[Revenue]]-data[[#This Row],[ShippingCost]]</f>
        <v>491</v>
      </c>
      <c r="U1226" s="17">
        <v>6117</v>
      </c>
      <c r="V1226" s="17">
        <v>68</v>
      </c>
      <c r="W1226" s="17" t="s">
        <v>86</v>
      </c>
      <c r="X1226" s="17">
        <v>7</v>
      </c>
      <c r="Y1226" s="17">
        <f>data[[#This Row],[DeliveryDate]]-data[[#This Row],[ShipDate]]</f>
        <v>2</v>
      </c>
      <c r="Z1226" s="17" t="str">
        <f>IF(data[[#This Row],[Actual Delivery Days]]&gt;AD1227,"Yes","No")</f>
        <v>Yes</v>
      </c>
    </row>
    <row r="1227" spans="1:26">
      <c r="A1227" s="17">
        <v>10384</v>
      </c>
      <c r="B1227" s="17">
        <v>2</v>
      </c>
      <c r="C1227" s="17">
        <v>7</v>
      </c>
      <c r="D1227" s="17" t="s">
        <v>306</v>
      </c>
      <c r="E1227" s="17" t="s">
        <v>415</v>
      </c>
      <c r="F1227" s="17" t="str">
        <f>TEXT(data[[#This Row],[ShipDate]],"yyyy - mmmm")</f>
        <v>2016 - August</v>
      </c>
      <c r="G1227" s="17" t="str">
        <f>data[[#This Row],[OriginCity]] &amp; " - "  &amp; data[[#This Row],[DestinationCity]]</f>
        <v>Northbrook - Naperville</v>
      </c>
      <c r="H1227" s="17" t="s">
        <v>45</v>
      </c>
      <c r="I1227" s="17" t="s">
        <v>31</v>
      </c>
      <c r="J1227" s="17">
        <v>2</v>
      </c>
      <c r="K1227" s="17" t="s">
        <v>48</v>
      </c>
      <c r="L1227" s="17" t="s">
        <v>31</v>
      </c>
      <c r="M1227" s="17" t="s">
        <v>387</v>
      </c>
      <c r="N1227" s="17">
        <v>435</v>
      </c>
      <c r="O1227" s="17">
        <v>426</v>
      </c>
      <c r="P1227" s="26">
        <f>(data[[#This Row],[LoadedMiles]]/data[[#This Row],[TotalMiles]])*100</f>
        <v>97.931034482758619</v>
      </c>
      <c r="Q1227" s="25">
        <f>data[[#This Row],[ShippingCost]]/data[[#This Row],[TotalMiles]]</f>
        <v>8.12183908045977</v>
      </c>
      <c r="R1227" s="17">
        <v>3533</v>
      </c>
      <c r="S1227" s="25">
        <f>data[[#This Row],[Revenue]]/data[[#This Row],[TotalMiles]]</f>
        <v>8.6919540229885062</v>
      </c>
      <c r="T1227" s="26">
        <f>data[[#This Row],[Revenue]]-data[[#This Row],[ShippingCost]]</f>
        <v>248</v>
      </c>
      <c r="U1227" s="17">
        <v>3781</v>
      </c>
      <c r="V1227" s="17">
        <v>97</v>
      </c>
      <c r="W1227" s="17" t="s">
        <v>25</v>
      </c>
      <c r="X1227" s="17">
        <v>8</v>
      </c>
      <c r="Y1227" s="17">
        <f>data[[#This Row],[DeliveryDate]]-data[[#This Row],[ShipDate]]</f>
        <v>2</v>
      </c>
      <c r="Z1227" s="17" t="str">
        <f>IF(data[[#This Row],[Actual Delivery Days]]&gt;AD1228,"Yes","No")</f>
        <v>Yes</v>
      </c>
    </row>
    <row r="1228" spans="1:26">
      <c r="A1228" s="17">
        <v>10387</v>
      </c>
      <c r="B1228" s="17">
        <v>1</v>
      </c>
      <c r="C1228" s="17">
        <v>6</v>
      </c>
      <c r="D1228" s="17" t="s">
        <v>249</v>
      </c>
      <c r="E1228" s="17" t="s">
        <v>353</v>
      </c>
      <c r="F1228" s="17" t="str">
        <f>TEXT(data[[#This Row],[ShipDate]],"yyyy - mmmm")</f>
        <v>2016 - March</v>
      </c>
      <c r="G1228" s="17" t="str">
        <f>data[[#This Row],[OriginCity]] &amp; " - "  &amp; data[[#This Row],[DestinationCity]]</f>
        <v>Joliet - Madison</v>
      </c>
      <c r="H1228" s="17" t="s">
        <v>61</v>
      </c>
      <c r="I1228" s="17" t="s">
        <v>31</v>
      </c>
      <c r="J1228" s="17">
        <v>2</v>
      </c>
      <c r="K1228" s="17" t="s">
        <v>62</v>
      </c>
      <c r="L1228" s="17" t="s">
        <v>29</v>
      </c>
      <c r="M1228" s="17" t="s">
        <v>76</v>
      </c>
      <c r="N1228" s="17">
        <v>618</v>
      </c>
      <c r="O1228" s="17">
        <v>204</v>
      </c>
      <c r="P1228" s="26">
        <f>(data[[#This Row],[LoadedMiles]]/data[[#This Row],[TotalMiles]])*100</f>
        <v>33.009708737864081</v>
      </c>
      <c r="Q1228" s="25">
        <f>data[[#This Row],[ShippingCost]]/data[[#This Row],[TotalMiles]]</f>
        <v>11.676375404530745</v>
      </c>
      <c r="R1228" s="17">
        <v>7216</v>
      </c>
      <c r="S1228" s="25">
        <f>data[[#This Row],[Revenue]]/data[[#This Row],[TotalMiles]]</f>
        <v>12.771844660194175</v>
      </c>
      <c r="T1228" s="26">
        <f>data[[#This Row],[Revenue]]-data[[#This Row],[ShippingCost]]</f>
        <v>677</v>
      </c>
      <c r="U1228" s="17">
        <v>7893</v>
      </c>
      <c r="V1228" s="17">
        <v>61</v>
      </c>
      <c r="W1228" s="17" t="s">
        <v>25</v>
      </c>
      <c r="X1228" s="17">
        <v>6</v>
      </c>
      <c r="Y1228" s="17">
        <f>data[[#This Row],[DeliveryDate]]-data[[#This Row],[ShipDate]]</f>
        <v>1</v>
      </c>
      <c r="Z1228" s="17" t="str">
        <f>IF(data[[#This Row],[Actual Delivery Days]]&gt;AD1229,"Yes","No")</f>
        <v>Yes</v>
      </c>
    </row>
    <row r="1229" spans="1:26">
      <c r="A1229" s="17">
        <v>10393</v>
      </c>
      <c r="B1229" s="17">
        <v>1</v>
      </c>
      <c r="C1229" s="17">
        <v>4</v>
      </c>
      <c r="D1229" s="17" t="s">
        <v>322</v>
      </c>
      <c r="E1229" s="17" t="s">
        <v>283</v>
      </c>
      <c r="F1229" s="17" t="str">
        <f>TEXT(data[[#This Row],[ShipDate]],"yyyy - mmmm")</f>
        <v>2016 - June</v>
      </c>
      <c r="G1229" s="17" t="str">
        <f>data[[#This Row],[OriginCity]] &amp; " - "  &amp; data[[#This Row],[DestinationCity]]</f>
        <v>Appleton - Grand Rapids</v>
      </c>
      <c r="H1229" s="17" t="s">
        <v>85</v>
      </c>
      <c r="I1229" s="17" t="s">
        <v>29</v>
      </c>
      <c r="J1229" s="17">
        <v>2</v>
      </c>
      <c r="K1229" s="17" t="s">
        <v>20</v>
      </c>
      <c r="L1229" s="17" t="s">
        <v>21</v>
      </c>
      <c r="M1229" s="17" t="s">
        <v>444</v>
      </c>
      <c r="N1229" s="17">
        <v>878</v>
      </c>
      <c r="O1229" s="17">
        <v>525</v>
      </c>
      <c r="P1229" s="26">
        <f>(data[[#This Row],[LoadedMiles]]/data[[#This Row],[TotalMiles]])*100</f>
        <v>59.794988610478363</v>
      </c>
      <c r="Q1229" s="25">
        <f>data[[#This Row],[ShippingCost]]/data[[#This Row],[TotalMiles]]</f>
        <v>9.0375854214123006</v>
      </c>
      <c r="R1229" s="17">
        <v>7935</v>
      </c>
      <c r="S1229" s="25">
        <f>data[[#This Row],[Revenue]]/data[[#This Row],[TotalMiles]]</f>
        <v>7.2448747152619593</v>
      </c>
      <c r="T1229" s="26">
        <f>data[[#This Row],[Revenue]]-data[[#This Row],[ShippingCost]]</f>
        <v>-1574</v>
      </c>
      <c r="U1229" s="17">
        <v>6361</v>
      </c>
      <c r="V1229" s="17">
        <v>93</v>
      </c>
      <c r="W1229" s="17" t="s">
        <v>25</v>
      </c>
      <c r="X1229" s="17">
        <v>5</v>
      </c>
      <c r="Y1229" s="17">
        <f>data[[#This Row],[DeliveryDate]]-data[[#This Row],[ShipDate]]</f>
        <v>2</v>
      </c>
      <c r="Z1229" s="17" t="str">
        <f>IF(data[[#This Row],[Actual Delivery Days]]&gt;AD1230,"Yes","No")</f>
        <v>Yes</v>
      </c>
    </row>
    <row r="1230" spans="1:26">
      <c r="A1230" s="17">
        <v>10394</v>
      </c>
      <c r="B1230" s="17">
        <v>1</v>
      </c>
      <c r="C1230" s="17">
        <v>4</v>
      </c>
      <c r="D1230" s="17" t="s">
        <v>323</v>
      </c>
      <c r="E1230" s="17" t="s">
        <v>257</v>
      </c>
      <c r="F1230" s="17" t="str">
        <f>TEXT(data[[#This Row],[ShipDate]],"yyyy - mmmm")</f>
        <v>2016 - January</v>
      </c>
      <c r="G1230" s="17" t="str">
        <f>data[[#This Row],[OriginCity]] &amp; " - "  &amp; data[[#This Row],[DestinationCity]]</f>
        <v>Cincinnati - Gary</v>
      </c>
      <c r="H1230" s="17" t="s">
        <v>89</v>
      </c>
      <c r="I1230" s="17" t="s">
        <v>23</v>
      </c>
      <c r="J1230" s="17">
        <v>2</v>
      </c>
      <c r="K1230" s="17" t="s">
        <v>57</v>
      </c>
      <c r="L1230" s="17" t="s">
        <v>44</v>
      </c>
      <c r="M1230" s="17" t="s">
        <v>264</v>
      </c>
      <c r="N1230" s="17">
        <v>895</v>
      </c>
      <c r="O1230" s="17">
        <v>739</v>
      </c>
      <c r="P1230" s="26">
        <f>(data[[#This Row],[LoadedMiles]]/data[[#This Row],[TotalMiles]])*100</f>
        <v>82.569832402234638</v>
      </c>
      <c r="Q1230" s="25">
        <f>data[[#This Row],[ShippingCost]]/data[[#This Row],[TotalMiles]]</f>
        <v>2.1117318435754191</v>
      </c>
      <c r="R1230" s="17">
        <v>1890</v>
      </c>
      <c r="S1230" s="25">
        <f>data[[#This Row],[Revenue]]/data[[#This Row],[TotalMiles]]</f>
        <v>0.69608938547486032</v>
      </c>
      <c r="T1230" s="26">
        <f>data[[#This Row],[Revenue]]-data[[#This Row],[ShippingCost]]</f>
        <v>-1267</v>
      </c>
      <c r="U1230" s="17">
        <v>623</v>
      </c>
      <c r="V1230" s="17">
        <v>88</v>
      </c>
      <c r="W1230" s="17" t="s">
        <v>25</v>
      </c>
      <c r="X1230" s="17">
        <v>8</v>
      </c>
      <c r="Y1230" s="17">
        <f>data[[#This Row],[DeliveryDate]]-data[[#This Row],[ShipDate]]</f>
        <v>2</v>
      </c>
      <c r="Z1230" s="17" t="str">
        <f>IF(data[[#This Row],[Actual Delivery Days]]&gt;AD1231,"Yes","No")</f>
        <v>Yes</v>
      </c>
    </row>
    <row r="1231" spans="1:26">
      <c r="A1231" s="17">
        <v>10401</v>
      </c>
      <c r="B1231" s="17">
        <v>1</v>
      </c>
      <c r="C1231" s="17">
        <v>6</v>
      </c>
      <c r="D1231" s="17" t="s">
        <v>334</v>
      </c>
      <c r="E1231" s="17" t="s">
        <v>82</v>
      </c>
      <c r="F1231" s="17" t="str">
        <f>TEXT(data[[#This Row],[ShipDate]],"yyyy - mmmm")</f>
        <v>2016 - March</v>
      </c>
      <c r="G1231" s="17" t="str">
        <f>data[[#This Row],[OriginCity]] &amp; " - "  &amp; data[[#This Row],[DestinationCity]]</f>
        <v>Kalamazoo - Bangor</v>
      </c>
      <c r="H1231" s="17" t="s">
        <v>71</v>
      </c>
      <c r="I1231" s="17" t="s">
        <v>21</v>
      </c>
      <c r="J1231" s="17">
        <v>2</v>
      </c>
      <c r="K1231" s="17" t="s">
        <v>104</v>
      </c>
      <c r="L1231" s="17" t="s">
        <v>21</v>
      </c>
      <c r="M1231" s="17" t="s">
        <v>453</v>
      </c>
      <c r="N1231" s="17">
        <v>614</v>
      </c>
      <c r="O1231" s="17">
        <v>614</v>
      </c>
      <c r="P1231" s="26">
        <f>(data[[#This Row],[LoadedMiles]]/data[[#This Row],[TotalMiles]])*100</f>
        <v>100</v>
      </c>
      <c r="Q1231" s="25">
        <f>data[[#This Row],[ShippingCost]]/data[[#This Row],[TotalMiles]]</f>
        <v>5.7817589576547235</v>
      </c>
      <c r="R1231" s="17">
        <v>3550</v>
      </c>
      <c r="S1231" s="25">
        <f>data[[#This Row],[Revenue]]/data[[#This Row],[TotalMiles]]</f>
        <v>7.0586319218241043</v>
      </c>
      <c r="T1231" s="26">
        <f>data[[#This Row],[Revenue]]-data[[#This Row],[ShippingCost]]</f>
        <v>784</v>
      </c>
      <c r="U1231" s="17">
        <v>4334</v>
      </c>
      <c r="V1231" s="17">
        <v>98</v>
      </c>
      <c r="W1231" s="17" t="s">
        <v>86</v>
      </c>
      <c r="X1231" s="17">
        <v>1</v>
      </c>
      <c r="Y1231" s="17">
        <f>data[[#This Row],[DeliveryDate]]-data[[#This Row],[ShipDate]]</f>
        <v>2</v>
      </c>
      <c r="Z1231" s="17" t="str">
        <f>IF(data[[#This Row],[Actual Delivery Days]]&gt;AD1232,"Yes","No")</f>
        <v>Yes</v>
      </c>
    </row>
    <row r="1232" spans="1:26">
      <c r="A1232" s="17">
        <v>10403</v>
      </c>
      <c r="B1232" s="17">
        <v>1</v>
      </c>
      <c r="C1232" s="17">
        <v>6</v>
      </c>
      <c r="D1232" s="17" t="s">
        <v>336</v>
      </c>
      <c r="E1232" s="17" t="s">
        <v>67</v>
      </c>
      <c r="F1232" s="17" t="str">
        <f>TEXT(data[[#This Row],[ShipDate]],"yyyy - mmmm")</f>
        <v>2016 - April</v>
      </c>
      <c r="G1232" s="17" t="str">
        <f>data[[#This Row],[OriginCity]] &amp; " - "  &amp; data[[#This Row],[DestinationCity]]</f>
        <v>Grand Rapids - Toledo</v>
      </c>
      <c r="H1232" s="17" t="s">
        <v>20</v>
      </c>
      <c r="I1232" s="17" t="s">
        <v>21</v>
      </c>
      <c r="J1232" s="17">
        <v>2</v>
      </c>
      <c r="K1232" s="17" t="s">
        <v>22</v>
      </c>
      <c r="L1232" s="17" t="s">
        <v>23</v>
      </c>
      <c r="M1232" s="17" t="s">
        <v>170</v>
      </c>
      <c r="N1232" s="17">
        <v>459</v>
      </c>
      <c r="O1232" s="17">
        <v>459</v>
      </c>
      <c r="P1232" s="26">
        <f>(data[[#This Row],[LoadedMiles]]/data[[#This Row],[TotalMiles]])*100</f>
        <v>100</v>
      </c>
      <c r="Q1232" s="25">
        <f>data[[#This Row],[ShippingCost]]/data[[#This Row],[TotalMiles]]</f>
        <v>4.6557734204793029</v>
      </c>
      <c r="R1232" s="17">
        <v>2137</v>
      </c>
      <c r="S1232" s="25">
        <f>data[[#This Row],[Revenue]]/data[[#This Row],[TotalMiles]]</f>
        <v>6.4226579520697165</v>
      </c>
      <c r="T1232" s="26">
        <f>data[[#This Row],[Revenue]]-data[[#This Row],[ShippingCost]]</f>
        <v>811</v>
      </c>
      <c r="U1232" s="17">
        <v>2948</v>
      </c>
      <c r="V1232" s="17">
        <v>67</v>
      </c>
      <c r="W1232" s="17" t="s">
        <v>25</v>
      </c>
      <c r="X1232" s="17">
        <v>4</v>
      </c>
      <c r="Y1232" s="17">
        <f>data[[#This Row],[DeliveryDate]]-data[[#This Row],[ShipDate]]</f>
        <v>2</v>
      </c>
      <c r="Z1232" s="17" t="str">
        <f>IF(data[[#This Row],[Actual Delivery Days]]&gt;AD1233,"Yes","No")</f>
        <v>Yes</v>
      </c>
    </row>
    <row r="1233" spans="1:26">
      <c r="A1233" s="17">
        <v>10407</v>
      </c>
      <c r="B1233" s="17">
        <v>1</v>
      </c>
      <c r="C1233" s="17">
        <v>6</v>
      </c>
      <c r="D1233" s="17" t="s">
        <v>343</v>
      </c>
      <c r="E1233" s="17" t="s">
        <v>78</v>
      </c>
      <c r="F1233" s="17" t="str">
        <f>TEXT(data[[#This Row],[ShipDate]],"yyyy - mmmm")</f>
        <v>2016 - June</v>
      </c>
      <c r="G1233" s="17" t="str">
        <f>data[[#This Row],[OriginCity]] &amp; " - "  &amp; data[[#This Row],[DestinationCity]]</f>
        <v>Indianapolis - Northbrook</v>
      </c>
      <c r="H1233" s="17" t="s">
        <v>43</v>
      </c>
      <c r="I1233" s="17" t="s">
        <v>44</v>
      </c>
      <c r="J1233" s="17">
        <v>2</v>
      </c>
      <c r="K1233" s="17" t="s">
        <v>45</v>
      </c>
      <c r="L1233" s="17" t="s">
        <v>31</v>
      </c>
      <c r="M1233" s="17" t="s">
        <v>78</v>
      </c>
      <c r="N1233" s="17">
        <v>242</v>
      </c>
      <c r="O1233" s="17">
        <v>242</v>
      </c>
      <c r="P1233" s="26">
        <f>(data[[#This Row],[LoadedMiles]]/data[[#This Row],[TotalMiles]])*100</f>
        <v>100</v>
      </c>
      <c r="Q1233" s="25">
        <f>data[[#This Row],[ShippingCost]]/data[[#This Row],[TotalMiles]]</f>
        <v>23.640495867768596</v>
      </c>
      <c r="R1233" s="17">
        <v>5721</v>
      </c>
      <c r="S1233" s="25">
        <f>data[[#This Row],[Revenue]]/data[[#This Row],[TotalMiles]]</f>
        <v>26.061983471074381</v>
      </c>
      <c r="T1233" s="26">
        <f>data[[#This Row],[Revenue]]-data[[#This Row],[ShippingCost]]</f>
        <v>586</v>
      </c>
      <c r="U1233" s="17">
        <v>6307</v>
      </c>
      <c r="V1233" s="17">
        <v>89</v>
      </c>
      <c r="W1233" s="17" t="s">
        <v>25</v>
      </c>
      <c r="X1233" s="17">
        <v>10</v>
      </c>
      <c r="Y1233" s="17">
        <f>data[[#This Row],[DeliveryDate]]-data[[#This Row],[ShipDate]]</f>
        <v>0</v>
      </c>
      <c r="Z1233" s="17" t="str">
        <f>IF(data[[#This Row],[Actual Delivery Days]]&gt;AD1234,"Yes","No")</f>
        <v>No</v>
      </c>
    </row>
    <row r="1234" spans="1:26">
      <c r="A1234" s="17">
        <v>10410</v>
      </c>
      <c r="B1234" s="17">
        <v>2</v>
      </c>
      <c r="C1234" s="17">
        <v>4</v>
      </c>
      <c r="D1234" s="17" t="s">
        <v>349</v>
      </c>
      <c r="E1234" s="17" t="s">
        <v>101</v>
      </c>
      <c r="F1234" s="17" t="str">
        <f>TEXT(data[[#This Row],[ShipDate]],"yyyy - mmmm")</f>
        <v>2016 - April</v>
      </c>
      <c r="G1234" s="17" t="str">
        <f>data[[#This Row],[OriginCity]] &amp; " - "  &amp; data[[#This Row],[DestinationCity]]</f>
        <v>Joliet - Madison</v>
      </c>
      <c r="H1234" s="17" t="s">
        <v>61</v>
      </c>
      <c r="I1234" s="17" t="s">
        <v>31</v>
      </c>
      <c r="J1234" s="17">
        <v>2</v>
      </c>
      <c r="K1234" s="17" t="s">
        <v>62</v>
      </c>
      <c r="L1234" s="17" t="s">
        <v>29</v>
      </c>
      <c r="M1234" s="17" t="s">
        <v>49</v>
      </c>
      <c r="N1234" s="17">
        <v>886</v>
      </c>
      <c r="O1234" s="17">
        <v>518</v>
      </c>
      <c r="P1234" s="26">
        <f>(data[[#This Row],[LoadedMiles]]/data[[#This Row],[TotalMiles]])*100</f>
        <v>58.465011286681715</v>
      </c>
      <c r="Q1234" s="25">
        <f>data[[#This Row],[ShippingCost]]/data[[#This Row],[TotalMiles]]</f>
        <v>8.5711060948081261</v>
      </c>
      <c r="R1234" s="17">
        <v>7594</v>
      </c>
      <c r="S1234" s="25">
        <f>data[[#This Row],[Revenue]]/data[[#This Row],[TotalMiles]]</f>
        <v>6.2257336343115126</v>
      </c>
      <c r="T1234" s="26">
        <f>data[[#This Row],[Revenue]]-data[[#This Row],[ShippingCost]]</f>
        <v>-2078</v>
      </c>
      <c r="U1234" s="17">
        <v>5516</v>
      </c>
      <c r="V1234" s="17">
        <v>74</v>
      </c>
      <c r="W1234" s="17" t="s">
        <v>25</v>
      </c>
      <c r="X1234" s="17">
        <v>9</v>
      </c>
      <c r="Y1234" s="17">
        <f>data[[#This Row],[DeliveryDate]]-data[[#This Row],[ShipDate]]</f>
        <v>2</v>
      </c>
      <c r="Z1234" s="17" t="str">
        <f>IF(data[[#This Row],[Actual Delivery Days]]&gt;AD1235,"Yes","No")</f>
        <v>Yes</v>
      </c>
    </row>
    <row r="1235" spans="1:26">
      <c r="A1235" s="17">
        <v>10414</v>
      </c>
      <c r="B1235" s="17">
        <v>1</v>
      </c>
      <c r="C1235" s="17">
        <v>6</v>
      </c>
      <c r="D1235" s="17" t="s">
        <v>357</v>
      </c>
      <c r="E1235" s="17" t="s">
        <v>84</v>
      </c>
      <c r="F1235" s="17" t="str">
        <f>TEXT(data[[#This Row],[ShipDate]],"yyyy - mmmm")</f>
        <v>2016 - May</v>
      </c>
      <c r="G1235" s="17" t="str">
        <f>data[[#This Row],[OriginCity]] &amp; " - "  &amp; data[[#This Row],[DestinationCity]]</f>
        <v>Naperville - Indianapolis</v>
      </c>
      <c r="H1235" s="17" t="s">
        <v>48</v>
      </c>
      <c r="I1235" s="17" t="s">
        <v>31</v>
      </c>
      <c r="J1235" s="17">
        <v>2</v>
      </c>
      <c r="K1235" s="17" t="s">
        <v>43</v>
      </c>
      <c r="L1235" s="17" t="s">
        <v>44</v>
      </c>
      <c r="M1235" s="17" t="s">
        <v>42</v>
      </c>
      <c r="N1235" s="17">
        <v>404</v>
      </c>
      <c r="O1235" s="17">
        <v>404</v>
      </c>
      <c r="P1235" s="26">
        <f>(data[[#This Row],[LoadedMiles]]/data[[#This Row],[TotalMiles]])*100</f>
        <v>100</v>
      </c>
      <c r="Q1235" s="25">
        <f>data[[#This Row],[ShippingCost]]/data[[#This Row],[TotalMiles]]</f>
        <v>17.905940594059405</v>
      </c>
      <c r="R1235" s="17">
        <v>7234</v>
      </c>
      <c r="S1235" s="25">
        <f>data[[#This Row],[Revenue]]/data[[#This Row],[TotalMiles]]</f>
        <v>20.06930693069307</v>
      </c>
      <c r="T1235" s="26">
        <f>data[[#This Row],[Revenue]]-data[[#This Row],[ShippingCost]]</f>
        <v>874</v>
      </c>
      <c r="U1235" s="17">
        <v>8108</v>
      </c>
      <c r="V1235" s="17">
        <v>72</v>
      </c>
      <c r="W1235" s="17" t="s">
        <v>25</v>
      </c>
      <c r="X1235" s="17">
        <v>5</v>
      </c>
      <c r="Y1235" s="17">
        <f>data[[#This Row],[DeliveryDate]]-data[[#This Row],[ShipDate]]</f>
        <v>1</v>
      </c>
      <c r="Z1235" s="17" t="str">
        <f>IF(data[[#This Row],[Actual Delivery Days]]&gt;AD1236,"Yes","No")</f>
        <v>Yes</v>
      </c>
    </row>
    <row r="1236" spans="1:26">
      <c r="A1236" s="17">
        <v>10429</v>
      </c>
      <c r="B1236" s="17">
        <v>2</v>
      </c>
      <c r="C1236" s="17">
        <v>7</v>
      </c>
      <c r="D1236" s="17" t="s">
        <v>382</v>
      </c>
      <c r="E1236" s="17" t="s">
        <v>221</v>
      </c>
      <c r="F1236" s="17" t="str">
        <f>TEXT(data[[#This Row],[ShipDate]],"yyyy - mmmm")</f>
        <v>2016 - April</v>
      </c>
      <c r="G1236" s="17" t="str">
        <f>data[[#This Row],[OriginCity]] &amp; " - "  &amp; data[[#This Row],[DestinationCity]]</f>
        <v>Indianapolis - Northbrook</v>
      </c>
      <c r="H1236" s="17" t="s">
        <v>43</v>
      </c>
      <c r="I1236" s="17" t="s">
        <v>44</v>
      </c>
      <c r="J1236" s="17">
        <v>2</v>
      </c>
      <c r="K1236" s="17" t="s">
        <v>45</v>
      </c>
      <c r="L1236" s="17" t="s">
        <v>31</v>
      </c>
      <c r="M1236" s="17" t="s">
        <v>158</v>
      </c>
      <c r="N1236" s="17">
        <v>994</v>
      </c>
      <c r="O1236" s="17">
        <v>291</v>
      </c>
      <c r="P1236" s="26">
        <f>(data[[#This Row],[LoadedMiles]]/data[[#This Row],[TotalMiles]])*100</f>
        <v>29.275653923541245</v>
      </c>
      <c r="Q1236" s="25">
        <f>data[[#This Row],[ShippingCost]]/data[[#This Row],[TotalMiles]]</f>
        <v>2.8611670020120723</v>
      </c>
      <c r="R1236" s="17">
        <v>2844</v>
      </c>
      <c r="S1236" s="25">
        <f>data[[#This Row],[Revenue]]/data[[#This Row],[TotalMiles]]</f>
        <v>3.1267605633802815</v>
      </c>
      <c r="T1236" s="26">
        <f>data[[#This Row],[Revenue]]-data[[#This Row],[ShippingCost]]</f>
        <v>264</v>
      </c>
      <c r="U1236" s="17">
        <v>3108</v>
      </c>
      <c r="V1236" s="17">
        <v>82</v>
      </c>
      <c r="W1236" s="17" t="s">
        <v>25</v>
      </c>
      <c r="X1236" s="17">
        <v>10</v>
      </c>
      <c r="Y1236" s="17">
        <f>data[[#This Row],[DeliveryDate]]-data[[#This Row],[ShipDate]]</f>
        <v>2</v>
      </c>
      <c r="Z1236" s="17" t="str">
        <f>IF(data[[#This Row],[Actual Delivery Days]]&gt;AD1237,"Yes","No")</f>
        <v>Yes</v>
      </c>
    </row>
    <row r="1237" spans="1:26">
      <c r="A1237" s="17">
        <v>10431</v>
      </c>
      <c r="B1237" s="17">
        <v>1</v>
      </c>
      <c r="C1237" s="17">
        <v>7</v>
      </c>
      <c r="D1237" s="17" t="s">
        <v>384</v>
      </c>
      <c r="E1237" s="17" t="s">
        <v>238</v>
      </c>
      <c r="F1237" s="17" t="str">
        <f>TEXT(data[[#This Row],[ShipDate]],"yyyy - mmmm")</f>
        <v>2016 - March</v>
      </c>
      <c r="G1237" s="17" t="str">
        <f>data[[#This Row],[OriginCity]] &amp; " - "  &amp; data[[#This Row],[DestinationCity]]</f>
        <v>Detriot - Monon</v>
      </c>
      <c r="H1237" s="17" t="s">
        <v>52</v>
      </c>
      <c r="I1237" s="17" t="s">
        <v>21</v>
      </c>
      <c r="J1237" s="17">
        <v>2</v>
      </c>
      <c r="K1237" s="17" t="s">
        <v>53</v>
      </c>
      <c r="L1237" s="17" t="s">
        <v>44</v>
      </c>
      <c r="M1237" s="17" t="s">
        <v>296</v>
      </c>
      <c r="N1237" s="17">
        <v>906</v>
      </c>
      <c r="O1237" s="17">
        <v>319</v>
      </c>
      <c r="P1237" s="26">
        <f>(data[[#This Row],[LoadedMiles]]/data[[#This Row],[TotalMiles]])*100</f>
        <v>35.209713024282564</v>
      </c>
      <c r="Q1237" s="25">
        <f>data[[#This Row],[ShippingCost]]/data[[#This Row],[TotalMiles]]</f>
        <v>1.7450331125827814</v>
      </c>
      <c r="R1237" s="17">
        <v>1581</v>
      </c>
      <c r="S1237" s="25">
        <f>data[[#This Row],[Revenue]]/data[[#This Row],[TotalMiles]]</f>
        <v>2.4083885209713025</v>
      </c>
      <c r="T1237" s="26">
        <f>data[[#This Row],[Revenue]]-data[[#This Row],[ShippingCost]]</f>
        <v>601</v>
      </c>
      <c r="U1237" s="17">
        <v>2182</v>
      </c>
      <c r="V1237" s="17">
        <v>69</v>
      </c>
      <c r="W1237" s="17" t="s">
        <v>25</v>
      </c>
      <c r="X1237" s="17">
        <v>8</v>
      </c>
      <c r="Y1237" s="17">
        <f>data[[#This Row],[DeliveryDate]]-data[[#This Row],[ShipDate]]</f>
        <v>2</v>
      </c>
      <c r="Z1237" s="17" t="str">
        <f>IF(data[[#This Row],[Actual Delivery Days]]&gt;AD1238,"Yes","No")</f>
        <v>Yes</v>
      </c>
    </row>
    <row r="1238" spans="1:26">
      <c r="A1238" s="17">
        <v>10433</v>
      </c>
      <c r="B1238" s="17">
        <v>2</v>
      </c>
      <c r="C1238" s="17">
        <v>7</v>
      </c>
      <c r="D1238" s="17" t="s">
        <v>388</v>
      </c>
      <c r="E1238" s="17" t="s">
        <v>473</v>
      </c>
      <c r="F1238" s="17" t="str">
        <f>TEXT(data[[#This Row],[ShipDate]],"yyyy - mmmm")</f>
        <v>2016 - June</v>
      </c>
      <c r="G1238" s="17" t="str">
        <f>data[[#This Row],[OriginCity]] &amp; " - "  &amp; data[[#This Row],[DestinationCity]]</f>
        <v>Joliet - Madison</v>
      </c>
      <c r="H1238" s="17" t="s">
        <v>61</v>
      </c>
      <c r="I1238" s="17" t="s">
        <v>31</v>
      </c>
      <c r="J1238" s="17">
        <v>2</v>
      </c>
      <c r="K1238" s="17" t="s">
        <v>62</v>
      </c>
      <c r="L1238" s="17" t="s">
        <v>29</v>
      </c>
      <c r="M1238" s="17" t="s">
        <v>473</v>
      </c>
      <c r="N1238" s="17">
        <v>447</v>
      </c>
      <c r="O1238" s="17">
        <v>430</v>
      </c>
      <c r="P1238" s="26">
        <f>(data[[#This Row],[LoadedMiles]]/data[[#This Row],[TotalMiles]])*100</f>
        <v>96.196868008948542</v>
      </c>
      <c r="Q1238" s="25">
        <f>data[[#This Row],[ShippingCost]]/data[[#This Row],[TotalMiles]]</f>
        <v>11.503355704697986</v>
      </c>
      <c r="R1238" s="17">
        <v>5142</v>
      </c>
      <c r="S1238" s="25">
        <f>data[[#This Row],[Revenue]]/data[[#This Row],[TotalMiles]]</f>
        <v>11.827740492170022</v>
      </c>
      <c r="T1238" s="26">
        <f>data[[#This Row],[Revenue]]-data[[#This Row],[ShippingCost]]</f>
        <v>145</v>
      </c>
      <c r="U1238" s="17">
        <v>5287</v>
      </c>
      <c r="V1238" s="17">
        <v>92</v>
      </c>
      <c r="W1238" s="17" t="s">
        <v>25</v>
      </c>
      <c r="X1238" s="17">
        <v>3</v>
      </c>
      <c r="Y1238" s="17">
        <f>data[[#This Row],[DeliveryDate]]-data[[#This Row],[ShipDate]]</f>
        <v>0</v>
      </c>
      <c r="Z1238" s="17" t="str">
        <f>IF(data[[#This Row],[Actual Delivery Days]]&gt;AD1239,"Yes","No")</f>
        <v>No</v>
      </c>
    </row>
    <row r="1239" spans="1:26">
      <c r="A1239" s="17">
        <v>10439</v>
      </c>
      <c r="B1239" s="17">
        <v>1</v>
      </c>
      <c r="C1239" s="17">
        <v>5</v>
      </c>
      <c r="D1239" s="17" t="s">
        <v>397</v>
      </c>
      <c r="E1239" s="17" t="s">
        <v>268</v>
      </c>
      <c r="F1239" s="17" t="str">
        <f>TEXT(data[[#This Row],[ShipDate]],"yyyy - mmmm")</f>
        <v>2016 - February</v>
      </c>
      <c r="G1239" s="17" t="str">
        <f>data[[#This Row],[OriginCity]] &amp; " - "  &amp; data[[#This Row],[DestinationCity]]</f>
        <v>Appleton - Grand Rapids</v>
      </c>
      <c r="H1239" s="17" t="s">
        <v>85</v>
      </c>
      <c r="I1239" s="17" t="s">
        <v>29</v>
      </c>
      <c r="J1239" s="17">
        <v>2</v>
      </c>
      <c r="K1239" s="17" t="s">
        <v>20</v>
      </c>
      <c r="L1239" s="17" t="s">
        <v>21</v>
      </c>
      <c r="M1239" s="17" t="s">
        <v>291</v>
      </c>
      <c r="N1239" s="17">
        <v>784</v>
      </c>
      <c r="O1239" s="17">
        <v>731</v>
      </c>
      <c r="P1239" s="26">
        <f>(data[[#This Row],[LoadedMiles]]/data[[#This Row],[TotalMiles]])*100</f>
        <v>93.239795918367349</v>
      </c>
      <c r="Q1239" s="25">
        <f>data[[#This Row],[ShippingCost]]/data[[#This Row],[TotalMiles]]</f>
        <v>0.25255102040816324</v>
      </c>
      <c r="R1239" s="17">
        <v>198</v>
      </c>
      <c r="S1239" s="25">
        <f>data[[#This Row],[Revenue]]/data[[#This Row],[TotalMiles]]</f>
        <v>1.5140306122448979</v>
      </c>
      <c r="T1239" s="26">
        <f>data[[#This Row],[Revenue]]-data[[#This Row],[ShippingCost]]</f>
        <v>989</v>
      </c>
      <c r="U1239" s="17">
        <v>1187</v>
      </c>
      <c r="V1239" s="17">
        <v>89</v>
      </c>
      <c r="W1239" s="17" t="s">
        <v>86</v>
      </c>
      <c r="X1239" s="17">
        <v>10</v>
      </c>
      <c r="Y1239" s="17">
        <f>data[[#This Row],[DeliveryDate]]-data[[#This Row],[ShipDate]]</f>
        <v>2</v>
      </c>
      <c r="Z1239" s="17" t="str">
        <f>IF(data[[#This Row],[Actual Delivery Days]]&gt;AD1240,"Yes","No")</f>
        <v>Yes</v>
      </c>
    </row>
    <row r="1240" spans="1:26">
      <c r="A1240" s="17">
        <v>10447</v>
      </c>
      <c r="B1240" s="17">
        <v>2</v>
      </c>
      <c r="C1240" s="17">
        <v>4</v>
      </c>
      <c r="D1240" s="17" t="s">
        <v>412</v>
      </c>
      <c r="E1240" s="17" t="s">
        <v>272</v>
      </c>
      <c r="F1240" s="17" t="str">
        <f>TEXT(data[[#This Row],[ShipDate]],"yyyy - mmmm")</f>
        <v>2016 - March</v>
      </c>
      <c r="G1240" s="17" t="str">
        <f>data[[#This Row],[OriginCity]] &amp; " - "  &amp; data[[#This Row],[DestinationCity]]</f>
        <v>Grand Rapids - Toledo</v>
      </c>
      <c r="H1240" s="17" t="s">
        <v>20</v>
      </c>
      <c r="I1240" s="17" t="s">
        <v>21</v>
      </c>
      <c r="J1240" s="17">
        <v>2</v>
      </c>
      <c r="K1240" s="17" t="s">
        <v>22</v>
      </c>
      <c r="L1240" s="17" t="s">
        <v>23</v>
      </c>
      <c r="M1240" s="17" t="s">
        <v>199</v>
      </c>
      <c r="N1240" s="17">
        <v>268</v>
      </c>
      <c r="O1240" s="17">
        <v>268</v>
      </c>
      <c r="P1240" s="26">
        <f>(data[[#This Row],[LoadedMiles]]/data[[#This Row],[TotalMiles]])*100</f>
        <v>100</v>
      </c>
      <c r="Q1240" s="25">
        <f>data[[#This Row],[ShippingCost]]/data[[#This Row],[TotalMiles]]</f>
        <v>23.048507462686569</v>
      </c>
      <c r="R1240" s="17">
        <v>6177</v>
      </c>
      <c r="S1240" s="25">
        <f>data[[#This Row],[Revenue]]/data[[#This Row],[TotalMiles]]</f>
        <v>13.83955223880597</v>
      </c>
      <c r="T1240" s="26">
        <f>data[[#This Row],[Revenue]]-data[[#This Row],[ShippingCost]]</f>
        <v>-2468</v>
      </c>
      <c r="U1240" s="17">
        <v>3709</v>
      </c>
      <c r="V1240" s="17">
        <v>99</v>
      </c>
      <c r="W1240" s="17" t="s">
        <v>25</v>
      </c>
      <c r="X1240" s="17">
        <v>9</v>
      </c>
      <c r="Y1240" s="17">
        <f>data[[#This Row],[DeliveryDate]]-data[[#This Row],[ShipDate]]</f>
        <v>2</v>
      </c>
      <c r="Z1240" s="17" t="str">
        <f>IF(data[[#This Row],[Actual Delivery Days]]&gt;AD1241,"Yes","No")</f>
        <v>Yes</v>
      </c>
    </row>
    <row r="1241" spans="1:26">
      <c r="A1241" s="17">
        <v>10448</v>
      </c>
      <c r="B1241" s="17">
        <v>1</v>
      </c>
      <c r="C1241" s="17">
        <v>8</v>
      </c>
      <c r="D1241" s="17" t="s">
        <v>414</v>
      </c>
      <c r="E1241" s="17" t="s">
        <v>183</v>
      </c>
      <c r="F1241" s="17" t="str">
        <f>TEXT(data[[#This Row],[ShipDate]],"yyyy - mmmm")</f>
        <v>2016 - July</v>
      </c>
      <c r="G1241" s="17" t="str">
        <f>data[[#This Row],[OriginCity]] &amp; " - "  &amp; data[[#This Row],[DestinationCity]]</f>
        <v>Milwaukee - Springfield</v>
      </c>
      <c r="H1241" s="17" t="s">
        <v>28</v>
      </c>
      <c r="I1241" s="17" t="s">
        <v>29</v>
      </c>
      <c r="J1241" s="17">
        <v>2</v>
      </c>
      <c r="K1241" s="17" t="s">
        <v>30</v>
      </c>
      <c r="L1241" s="17" t="s">
        <v>31</v>
      </c>
      <c r="M1241" s="17" t="s">
        <v>150</v>
      </c>
      <c r="N1241" s="17">
        <v>362</v>
      </c>
      <c r="O1241" s="17">
        <v>328</v>
      </c>
      <c r="P1241" s="26">
        <f>(data[[#This Row],[LoadedMiles]]/data[[#This Row],[TotalMiles]])*100</f>
        <v>90.607734806629836</v>
      </c>
      <c r="Q1241" s="25">
        <f>data[[#This Row],[ShippingCost]]/data[[#This Row],[TotalMiles]]</f>
        <v>19.455801104972377</v>
      </c>
      <c r="R1241" s="17">
        <v>7043</v>
      </c>
      <c r="S1241" s="25">
        <f>data[[#This Row],[Revenue]]/data[[#This Row],[TotalMiles]]</f>
        <v>21.254143646408838</v>
      </c>
      <c r="T1241" s="26">
        <f>data[[#This Row],[Revenue]]-data[[#This Row],[ShippingCost]]</f>
        <v>651</v>
      </c>
      <c r="U1241" s="17">
        <v>7694</v>
      </c>
      <c r="V1241" s="17">
        <v>53</v>
      </c>
      <c r="W1241" s="17" t="s">
        <v>25</v>
      </c>
      <c r="X1241" s="17">
        <v>3</v>
      </c>
      <c r="Y1241" s="17">
        <f>data[[#This Row],[DeliveryDate]]-data[[#This Row],[ShipDate]]</f>
        <v>2</v>
      </c>
      <c r="Z1241" s="17" t="str">
        <f>IF(data[[#This Row],[Actual Delivery Days]]&gt;AD1242,"Yes","No")</f>
        <v>Yes</v>
      </c>
    </row>
    <row r="1242" spans="1:26">
      <c r="A1242" s="17">
        <v>10449</v>
      </c>
      <c r="B1242" s="17">
        <v>1</v>
      </c>
      <c r="C1242" s="17">
        <v>7</v>
      </c>
      <c r="D1242" s="17" t="s">
        <v>417</v>
      </c>
      <c r="E1242" s="17" t="s">
        <v>422</v>
      </c>
      <c r="F1242" s="17" t="str">
        <f>TEXT(data[[#This Row],[ShipDate]],"yyyy - mmmm")</f>
        <v>2016 - August</v>
      </c>
      <c r="G1242" s="17" t="str">
        <f>data[[#This Row],[OriginCity]] &amp; " - "  &amp; data[[#This Row],[DestinationCity]]</f>
        <v>Springfield - Skokie</v>
      </c>
      <c r="H1242" s="17" t="s">
        <v>30</v>
      </c>
      <c r="I1242" s="17" t="s">
        <v>31</v>
      </c>
      <c r="J1242" s="17">
        <v>2</v>
      </c>
      <c r="K1242" s="17" t="s">
        <v>35</v>
      </c>
      <c r="L1242" s="17" t="s">
        <v>31</v>
      </c>
      <c r="M1242" s="17" t="s">
        <v>142</v>
      </c>
      <c r="N1242" s="17">
        <v>308</v>
      </c>
      <c r="O1242" s="17">
        <v>308</v>
      </c>
      <c r="P1242" s="26">
        <f>(data[[#This Row],[LoadedMiles]]/data[[#This Row],[TotalMiles]])*100</f>
        <v>100</v>
      </c>
      <c r="Q1242" s="25">
        <f>data[[#This Row],[ShippingCost]]/data[[#This Row],[TotalMiles]]</f>
        <v>21.7012987012987</v>
      </c>
      <c r="R1242" s="17">
        <v>6684</v>
      </c>
      <c r="S1242" s="25">
        <f>data[[#This Row],[Revenue]]/data[[#This Row],[TotalMiles]]</f>
        <v>22.61038961038961</v>
      </c>
      <c r="T1242" s="26">
        <f>data[[#This Row],[Revenue]]-data[[#This Row],[ShippingCost]]</f>
        <v>280</v>
      </c>
      <c r="U1242" s="17">
        <v>6964</v>
      </c>
      <c r="V1242" s="17">
        <v>57</v>
      </c>
      <c r="W1242" s="17" t="s">
        <v>25</v>
      </c>
      <c r="X1242" s="17">
        <v>2</v>
      </c>
      <c r="Y1242" s="17">
        <f>data[[#This Row],[DeliveryDate]]-data[[#This Row],[ShipDate]]</f>
        <v>2</v>
      </c>
      <c r="Z1242" s="17" t="str">
        <f>IF(data[[#This Row],[Actual Delivery Days]]&gt;AD1243,"Yes","No")</f>
        <v>Yes</v>
      </c>
    </row>
    <row r="1243" spans="1:26">
      <c r="A1243" s="17">
        <v>10451</v>
      </c>
      <c r="B1243" s="17">
        <v>1</v>
      </c>
      <c r="C1243" s="17">
        <v>8</v>
      </c>
      <c r="D1243" s="17" t="s">
        <v>420</v>
      </c>
      <c r="E1243" s="17" t="s">
        <v>522</v>
      </c>
      <c r="F1243" s="17" t="str">
        <f>TEXT(data[[#This Row],[ShipDate]],"yyyy - mmmm")</f>
        <v>2016 - February</v>
      </c>
      <c r="G1243" s="17" t="str">
        <f>data[[#This Row],[OriginCity]] &amp; " - "  &amp; data[[#This Row],[DestinationCity]]</f>
        <v>Indianapolis - Northbrook</v>
      </c>
      <c r="H1243" s="17" t="s">
        <v>43</v>
      </c>
      <c r="I1243" s="17" t="s">
        <v>44</v>
      </c>
      <c r="J1243" s="17">
        <v>2</v>
      </c>
      <c r="K1243" s="17" t="s">
        <v>45</v>
      </c>
      <c r="L1243" s="17" t="s">
        <v>31</v>
      </c>
      <c r="M1243" s="17" t="s">
        <v>522</v>
      </c>
      <c r="N1243" s="17">
        <v>897</v>
      </c>
      <c r="O1243" s="17">
        <v>691</v>
      </c>
      <c r="P1243" s="26">
        <f>(data[[#This Row],[LoadedMiles]]/data[[#This Row],[TotalMiles]])*100</f>
        <v>77.034559643255292</v>
      </c>
      <c r="Q1243" s="25">
        <f>data[[#This Row],[ShippingCost]]/data[[#This Row],[TotalMiles]]</f>
        <v>4.6532887402452623</v>
      </c>
      <c r="R1243" s="17">
        <v>4174</v>
      </c>
      <c r="S1243" s="25">
        <f>data[[#This Row],[Revenue]]/data[[#This Row],[TotalMiles]]</f>
        <v>4.8115942028985508</v>
      </c>
      <c r="T1243" s="26">
        <f>data[[#This Row],[Revenue]]-data[[#This Row],[ShippingCost]]</f>
        <v>142</v>
      </c>
      <c r="U1243" s="17">
        <v>4316</v>
      </c>
      <c r="V1243" s="17">
        <v>50</v>
      </c>
      <c r="W1243" s="17" t="s">
        <v>25</v>
      </c>
      <c r="X1243" s="17">
        <v>4</v>
      </c>
      <c r="Y1243" s="17">
        <f>data[[#This Row],[DeliveryDate]]-data[[#This Row],[ShipDate]]</f>
        <v>0</v>
      </c>
      <c r="Z1243" s="17" t="str">
        <f>IF(data[[#This Row],[Actual Delivery Days]]&gt;AD1244,"Yes","No")</f>
        <v>No</v>
      </c>
    </row>
    <row r="1244" spans="1:26">
      <c r="A1244" s="17">
        <v>10456</v>
      </c>
      <c r="B1244" s="17">
        <v>1</v>
      </c>
      <c r="C1244" s="17">
        <v>8</v>
      </c>
      <c r="D1244" s="17" t="s">
        <v>429</v>
      </c>
      <c r="E1244" s="17" t="s">
        <v>614</v>
      </c>
      <c r="F1244" s="17" t="str">
        <f>TEXT(data[[#This Row],[ShipDate]],"yyyy - mmmm")</f>
        <v>2016 - July</v>
      </c>
      <c r="G1244" s="17" t="str">
        <f>data[[#This Row],[OriginCity]] &amp; " - "  &amp; data[[#This Row],[DestinationCity]]</f>
        <v>Madison - Kalamazoo</v>
      </c>
      <c r="H1244" s="17" t="s">
        <v>62</v>
      </c>
      <c r="I1244" s="17" t="s">
        <v>29</v>
      </c>
      <c r="J1244" s="17">
        <v>2</v>
      </c>
      <c r="K1244" s="17" t="s">
        <v>71</v>
      </c>
      <c r="L1244" s="17" t="s">
        <v>21</v>
      </c>
      <c r="M1244" s="17" t="s">
        <v>155</v>
      </c>
      <c r="N1244" s="17">
        <v>1017</v>
      </c>
      <c r="O1244" s="17">
        <v>221</v>
      </c>
      <c r="P1244" s="26">
        <f>(data[[#This Row],[LoadedMiles]]/data[[#This Row],[TotalMiles]])*100</f>
        <v>21.730580137659782</v>
      </c>
      <c r="Q1244" s="25">
        <f>data[[#This Row],[ShippingCost]]/data[[#This Row],[TotalMiles]]</f>
        <v>8.4188790560471976</v>
      </c>
      <c r="R1244" s="17">
        <v>8562</v>
      </c>
      <c r="S1244" s="25">
        <f>data[[#This Row],[Revenue]]/data[[#This Row],[TotalMiles]]</f>
        <v>8.7266470009832844</v>
      </c>
      <c r="T1244" s="26">
        <f>data[[#This Row],[Revenue]]-data[[#This Row],[ShippingCost]]</f>
        <v>313</v>
      </c>
      <c r="U1244" s="17">
        <v>8875</v>
      </c>
      <c r="V1244" s="17">
        <v>85</v>
      </c>
      <c r="W1244" s="17" t="s">
        <v>86</v>
      </c>
      <c r="X1244" s="17">
        <v>3</v>
      </c>
      <c r="Y1244" s="17">
        <f>data[[#This Row],[DeliveryDate]]-data[[#This Row],[ShipDate]]</f>
        <v>2</v>
      </c>
      <c r="Z1244" s="17" t="str">
        <f>IF(data[[#This Row],[Actual Delivery Days]]&gt;AD1245,"Yes","No")</f>
        <v>Yes</v>
      </c>
    </row>
    <row r="1245" spans="1:26">
      <c r="A1245" s="17">
        <v>10458</v>
      </c>
      <c r="B1245" s="17">
        <v>1</v>
      </c>
      <c r="C1245" s="17">
        <v>8</v>
      </c>
      <c r="D1245" s="17" t="s">
        <v>432</v>
      </c>
      <c r="E1245" s="17" t="s">
        <v>111</v>
      </c>
      <c r="F1245" s="17" t="str">
        <f>TEXT(data[[#This Row],[ShipDate]],"yyyy - mmmm")</f>
        <v>2016 - January</v>
      </c>
      <c r="G1245" s="17" t="str">
        <f>data[[#This Row],[OriginCity]] &amp; " - "  &amp; data[[#This Row],[DestinationCity]]</f>
        <v>Naperville - Indianapolis</v>
      </c>
      <c r="H1245" s="17" t="s">
        <v>48</v>
      </c>
      <c r="I1245" s="17" t="s">
        <v>31</v>
      </c>
      <c r="J1245" s="17">
        <v>2</v>
      </c>
      <c r="K1245" s="17" t="s">
        <v>43</v>
      </c>
      <c r="L1245" s="17" t="s">
        <v>44</v>
      </c>
      <c r="M1245" s="17" t="s">
        <v>112</v>
      </c>
      <c r="N1245" s="17">
        <v>1180</v>
      </c>
      <c r="O1245" s="17">
        <v>439</v>
      </c>
      <c r="P1245" s="26">
        <f>(data[[#This Row],[LoadedMiles]]/data[[#This Row],[TotalMiles]])*100</f>
        <v>37.203389830508478</v>
      </c>
      <c r="Q1245" s="25">
        <f>data[[#This Row],[ShippingCost]]/data[[#This Row],[TotalMiles]]</f>
        <v>1.6355932203389831</v>
      </c>
      <c r="R1245" s="17">
        <v>1930</v>
      </c>
      <c r="S1245" s="25">
        <f>data[[#This Row],[Revenue]]/data[[#This Row],[TotalMiles]]</f>
        <v>2.347457627118644</v>
      </c>
      <c r="T1245" s="26">
        <f>data[[#This Row],[Revenue]]-data[[#This Row],[ShippingCost]]</f>
        <v>840</v>
      </c>
      <c r="U1245" s="17">
        <v>2770</v>
      </c>
      <c r="V1245" s="17">
        <v>64</v>
      </c>
      <c r="W1245" s="17" t="s">
        <v>25</v>
      </c>
      <c r="X1245" s="17">
        <v>1</v>
      </c>
      <c r="Y1245" s="17">
        <f>data[[#This Row],[DeliveryDate]]-data[[#This Row],[ShipDate]]</f>
        <v>2</v>
      </c>
      <c r="Z1245" s="17" t="str">
        <f>IF(data[[#This Row],[Actual Delivery Days]]&gt;AD1246,"Yes","No")</f>
        <v>Yes</v>
      </c>
    </row>
    <row r="1246" spans="1:26">
      <c r="A1246" s="17">
        <v>10462</v>
      </c>
      <c r="B1246" s="17">
        <v>2</v>
      </c>
      <c r="C1246" s="17">
        <v>8</v>
      </c>
      <c r="D1246" s="17" t="s">
        <v>438</v>
      </c>
      <c r="E1246" s="17" t="s">
        <v>613</v>
      </c>
      <c r="F1246" s="17" t="str">
        <f>TEXT(data[[#This Row],[ShipDate]],"yyyy - mmmm")</f>
        <v>2016 - June</v>
      </c>
      <c r="G1246" s="17" t="str">
        <f>data[[#This Row],[OriginCity]] &amp; " - "  &amp; data[[#This Row],[DestinationCity]]</f>
        <v>Dayton - Elgin</v>
      </c>
      <c r="H1246" s="17" t="s">
        <v>93</v>
      </c>
      <c r="I1246" s="17" t="s">
        <v>23</v>
      </c>
      <c r="J1246" s="17">
        <v>2</v>
      </c>
      <c r="K1246" s="17" t="s">
        <v>94</v>
      </c>
      <c r="L1246" s="17" t="s">
        <v>31</v>
      </c>
      <c r="M1246" s="17" t="s">
        <v>613</v>
      </c>
      <c r="N1246" s="17">
        <v>629</v>
      </c>
      <c r="O1246" s="17">
        <v>286</v>
      </c>
      <c r="P1246" s="26">
        <f>(data[[#This Row],[LoadedMiles]]/data[[#This Row],[TotalMiles]])*100</f>
        <v>45.468998410174883</v>
      </c>
      <c r="Q1246" s="25">
        <f>data[[#This Row],[ShippingCost]]/data[[#This Row],[TotalMiles]]</f>
        <v>1.8680445151033387</v>
      </c>
      <c r="R1246" s="17">
        <v>1175</v>
      </c>
      <c r="S1246" s="25">
        <f>data[[#This Row],[Revenue]]/data[[#This Row],[TotalMiles]]</f>
        <v>2.0381558028616853</v>
      </c>
      <c r="T1246" s="26">
        <f>data[[#This Row],[Revenue]]-data[[#This Row],[ShippingCost]]</f>
        <v>107</v>
      </c>
      <c r="U1246" s="17">
        <v>1282</v>
      </c>
      <c r="V1246" s="17">
        <v>96</v>
      </c>
      <c r="W1246" s="17" t="s">
        <v>25</v>
      </c>
      <c r="X1246" s="17">
        <v>1</v>
      </c>
      <c r="Y1246" s="17">
        <f>data[[#This Row],[DeliveryDate]]-data[[#This Row],[ShipDate]]</f>
        <v>0</v>
      </c>
      <c r="Z1246" s="17" t="str">
        <f>IF(data[[#This Row],[Actual Delivery Days]]&gt;AD1247,"Yes","No")</f>
        <v>No</v>
      </c>
    </row>
    <row r="1247" spans="1:26">
      <c r="A1247" s="17">
        <v>10464</v>
      </c>
      <c r="B1247" s="17">
        <v>1</v>
      </c>
      <c r="C1247" s="17">
        <v>4</v>
      </c>
      <c r="D1247" s="17" t="s">
        <v>442</v>
      </c>
      <c r="E1247" s="17" t="s">
        <v>362</v>
      </c>
      <c r="F1247" s="17" t="str">
        <f>TEXT(data[[#This Row],[ShipDate]],"yyyy - mmmm")</f>
        <v>2016 - February</v>
      </c>
      <c r="G1247" s="17" t="str">
        <f>data[[#This Row],[OriginCity]] &amp; " - "  &amp; data[[#This Row],[DestinationCity]]</f>
        <v>Bangor - Davenport</v>
      </c>
      <c r="H1247" s="17" t="s">
        <v>104</v>
      </c>
      <c r="I1247" s="17" t="s">
        <v>21</v>
      </c>
      <c r="J1247" s="17">
        <v>2</v>
      </c>
      <c r="K1247" s="17" t="s">
        <v>105</v>
      </c>
      <c r="L1247" s="17" t="s">
        <v>106</v>
      </c>
      <c r="M1247" s="17" t="s">
        <v>435</v>
      </c>
      <c r="N1247" s="17">
        <v>475</v>
      </c>
      <c r="O1247" s="17">
        <v>306</v>
      </c>
      <c r="P1247" s="26">
        <f>(data[[#This Row],[LoadedMiles]]/data[[#This Row],[TotalMiles]])*100</f>
        <v>64.421052631578945</v>
      </c>
      <c r="Q1247" s="25">
        <f>data[[#This Row],[ShippingCost]]/data[[#This Row],[TotalMiles]]</f>
        <v>13.808421052631578</v>
      </c>
      <c r="R1247" s="17">
        <v>6559</v>
      </c>
      <c r="S1247" s="25">
        <f>data[[#This Row],[Revenue]]/data[[#This Row],[TotalMiles]]</f>
        <v>9.48</v>
      </c>
      <c r="T1247" s="26">
        <f>data[[#This Row],[Revenue]]-data[[#This Row],[ShippingCost]]</f>
        <v>-2056</v>
      </c>
      <c r="U1247" s="17">
        <v>4503</v>
      </c>
      <c r="V1247" s="17">
        <v>57</v>
      </c>
      <c r="W1247" s="17" t="s">
        <v>25</v>
      </c>
      <c r="X1247" s="17">
        <v>8</v>
      </c>
      <c r="Y1247" s="17">
        <f>data[[#This Row],[DeliveryDate]]-data[[#This Row],[ShipDate]]</f>
        <v>2</v>
      </c>
      <c r="Z1247" s="17" t="str">
        <f>IF(data[[#This Row],[Actual Delivery Days]]&gt;AD1248,"Yes","No")</f>
        <v>Yes</v>
      </c>
    </row>
    <row r="1248" spans="1:26">
      <c r="A1248" s="17">
        <v>10465</v>
      </c>
      <c r="B1248" s="17">
        <v>2</v>
      </c>
      <c r="C1248" s="17">
        <v>5</v>
      </c>
      <c r="D1248" s="17" t="s">
        <v>443</v>
      </c>
      <c r="E1248" s="17" t="s">
        <v>224</v>
      </c>
      <c r="F1248" s="17" t="str">
        <f>TEXT(data[[#This Row],[ShipDate]],"yyyy - mmmm")</f>
        <v>2016 - May</v>
      </c>
      <c r="G1248" s="17" t="str">
        <f>data[[#This Row],[OriginCity]] &amp; " - "  &amp; data[[#This Row],[DestinationCity]]</f>
        <v>Elgin - Cincinnati</v>
      </c>
      <c r="H1248" s="17" t="s">
        <v>94</v>
      </c>
      <c r="I1248" s="17" t="s">
        <v>31</v>
      </c>
      <c r="J1248" s="17">
        <v>2</v>
      </c>
      <c r="K1248" s="17" t="s">
        <v>89</v>
      </c>
      <c r="L1248" s="17" t="s">
        <v>23</v>
      </c>
      <c r="M1248" s="17" t="s">
        <v>348</v>
      </c>
      <c r="N1248" s="17">
        <v>383</v>
      </c>
      <c r="O1248" s="17">
        <v>383</v>
      </c>
      <c r="P1248" s="26">
        <f>(data[[#This Row],[LoadedMiles]]/data[[#This Row],[TotalMiles]])*100</f>
        <v>100</v>
      </c>
      <c r="Q1248" s="25">
        <f>data[[#This Row],[ShippingCost]]/data[[#This Row],[TotalMiles]]</f>
        <v>14.971279373368146</v>
      </c>
      <c r="R1248" s="17">
        <v>5734</v>
      </c>
      <c r="S1248" s="25">
        <f>data[[#This Row],[Revenue]]/data[[#This Row],[TotalMiles]]</f>
        <v>16.678851174934724</v>
      </c>
      <c r="T1248" s="26">
        <f>data[[#This Row],[Revenue]]-data[[#This Row],[ShippingCost]]</f>
        <v>654</v>
      </c>
      <c r="U1248" s="17">
        <v>6388</v>
      </c>
      <c r="V1248" s="17">
        <v>74</v>
      </c>
      <c r="W1248" s="17" t="s">
        <v>25</v>
      </c>
      <c r="X1248" s="17">
        <v>9</v>
      </c>
      <c r="Y1248" s="17">
        <f>data[[#This Row],[DeliveryDate]]-data[[#This Row],[ShipDate]]</f>
        <v>2</v>
      </c>
      <c r="Z1248" s="17" t="str">
        <f>IF(data[[#This Row],[Actual Delivery Days]]&gt;AD1249,"Yes","No")</f>
        <v>Yes</v>
      </c>
    </row>
    <row r="1249" spans="1:26">
      <c r="A1249" s="17">
        <v>10467</v>
      </c>
      <c r="B1249" s="17">
        <v>1</v>
      </c>
      <c r="C1249" s="17">
        <v>4</v>
      </c>
      <c r="D1249" s="17" t="s">
        <v>446</v>
      </c>
      <c r="E1249" s="17" t="s">
        <v>27</v>
      </c>
      <c r="F1249" s="17" t="str">
        <f>TEXT(data[[#This Row],[ShipDate]],"yyyy - mmmm")</f>
        <v>2016 - May</v>
      </c>
      <c r="G1249" s="17" t="str">
        <f>data[[#This Row],[OriginCity]] &amp; " - "  &amp; data[[#This Row],[DestinationCity]]</f>
        <v>Kalamazoo - Bangor</v>
      </c>
      <c r="H1249" s="17" t="s">
        <v>71</v>
      </c>
      <c r="I1249" s="17" t="s">
        <v>21</v>
      </c>
      <c r="J1249" s="17">
        <v>2</v>
      </c>
      <c r="K1249" s="17" t="s">
        <v>104</v>
      </c>
      <c r="L1249" s="17" t="s">
        <v>21</v>
      </c>
      <c r="M1249" s="17" t="s">
        <v>32</v>
      </c>
      <c r="N1249" s="17">
        <v>1026</v>
      </c>
      <c r="O1249" s="17">
        <v>568</v>
      </c>
      <c r="P1249" s="26">
        <f>(data[[#This Row],[LoadedMiles]]/data[[#This Row],[TotalMiles]])*100</f>
        <v>55.360623781676409</v>
      </c>
      <c r="Q1249" s="25">
        <f>data[[#This Row],[ShippingCost]]/data[[#This Row],[TotalMiles]]</f>
        <v>4.5964912280701755</v>
      </c>
      <c r="R1249" s="17">
        <v>4716</v>
      </c>
      <c r="S1249" s="25">
        <f>data[[#This Row],[Revenue]]/data[[#This Row],[TotalMiles]]</f>
        <v>2.9249512670565303</v>
      </c>
      <c r="T1249" s="26">
        <f>data[[#This Row],[Revenue]]-data[[#This Row],[ShippingCost]]</f>
        <v>-1715</v>
      </c>
      <c r="U1249" s="17">
        <v>3001</v>
      </c>
      <c r="V1249" s="17">
        <v>87</v>
      </c>
      <c r="W1249" s="17" t="s">
        <v>25</v>
      </c>
      <c r="X1249" s="17">
        <v>1</v>
      </c>
      <c r="Y1249" s="17">
        <f>data[[#This Row],[DeliveryDate]]-data[[#This Row],[ShipDate]]</f>
        <v>2</v>
      </c>
      <c r="Z1249" s="17" t="str">
        <f>IF(data[[#This Row],[Actual Delivery Days]]&gt;AD1250,"Yes","No")</f>
        <v>Yes</v>
      </c>
    </row>
    <row r="1250" spans="1:26">
      <c r="A1250" s="17">
        <v>10469</v>
      </c>
      <c r="B1250" s="17">
        <v>1</v>
      </c>
      <c r="C1250" s="17">
        <v>5</v>
      </c>
      <c r="D1250" s="17" t="s">
        <v>450</v>
      </c>
      <c r="E1250" s="17" t="s">
        <v>118</v>
      </c>
      <c r="F1250" s="17" t="str">
        <f>TEXT(data[[#This Row],[ShipDate]],"yyyy - mmmm")</f>
        <v>2016 - August</v>
      </c>
      <c r="G1250" s="17" t="str">
        <f>data[[#This Row],[OriginCity]] &amp; " - "  &amp; data[[#This Row],[DestinationCity]]</f>
        <v>Grand Rapids - Toledo</v>
      </c>
      <c r="H1250" s="17" t="s">
        <v>20</v>
      </c>
      <c r="I1250" s="17" t="s">
        <v>21</v>
      </c>
      <c r="J1250" s="17">
        <v>2</v>
      </c>
      <c r="K1250" s="17" t="s">
        <v>22</v>
      </c>
      <c r="L1250" s="17" t="s">
        <v>23</v>
      </c>
      <c r="M1250" s="17" t="s">
        <v>118</v>
      </c>
      <c r="N1250" s="17">
        <v>1111</v>
      </c>
      <c r="O1250" s="17">
        <v>570</v>
      </c>
      <c r="P1250" s="26">
        <f>(data[[#This Row],[LoadedMiles]]/data[[#This Row],[TotalMiles]])*100</f>
        <v>51.305130513051303</v>
      </c>
      <c r="Q1250" s="25">
        <f>data[[#This Row],[ShippingCost]]/data[[#This Row],[TotalMiles]]</f>
        <v>0.44014401440144013</v>
      </c>
      <c r="R1250" s="17">
        <v>489</v>
      </c>
      <c r="S1250" s="25">
        <f>data[[#This Row],[Revenue]]/data[[#This Row],[TotalMiles]]</f>
        <v>0.98019801980198018</v>
      </c>
      <c r="T1250" s="26">
        <f>data[[#This Row],[Revenue]]-data[[#This Row],[ShippingCost]]</f>
        <v>600</v>
      </c>
      <c r="U1250" s="17">
        <v>1089</v>
      </c>
      <c r="V1250" s="17">
        <v>56</v>
      </c>
      <c r="W1250" s="17" t="s">
        <v>25</v>
      </c>
      <c r="X1250" s="17">
        <v>5</v>
      </c>
      <c r="Y1250" s="17">
        <f>data[[#This Row],[DeliveryDate]]-data[[#This Row],[ShipDate]]</f>
        <v>0</v>
      </c>
      <c r="Z1250" s="17" t="str">
        <f>IF(data[[#This Row],[Actual Delivery Days]]&gt;AD1251,"Yes","No")</f>
        <v>No</v>
      </c>
    </row>
    <row r="1251" spans="1:26">
      <c r="A1251" s="17">
        <v>10475</v>
      </c>
      <c r="B1251" s="17">
        <v>2</v>
      </c>
      <c r="C1251" s="17">
        <v>6</v>
      </c>
      <c r="D1251" s="17" t="s">
        <v>458</v>
      </c>
      <c r="E1251" s="17" t="s">
        <v>439</v>
      </c>
      <c r="F1251" s="17" t="str">
        <f>TEXT(data[[#This Row],[ShipDate]],"yyyy - mmmm")</f>
        <v>2016 - June</v>
      </c>
      <c r="G1251" s="17" t="str">
        <f>data[[#This Row],[OriginCity]] &amp; " - "  &amp; data[[#This Row],[DestinationCity]]</f>
        <v>Detriot - Monon</v>
      </c>
      <c r="H1251" s="17" t="s">
        <v>52</v>
      </c>
      <c r="I1251" s="17" t="s">
        <v>21</v>
      </c>
      <c r="J1251" s="17">
        <v>2</v>
      </c>
      <c r="K1251" s="17" t="s">
        <v>53</v>
      </c>
      <c r="L1251" s="17" t="s">
        <v>44</v>
      </c>
      <c r="M1251" s="17" t="s">
        <v>298</v>
      </c>
      <c r="N1251" s="17">
        <v>1130</v>
      </c>
      <c r="O1251" s="17">
        <v>543</v>
      </c>
      <c r="P1251" s="26">
        <f>(data[[#This Row],[LoadedMiles]]/data[[#This Row],[TotalMiles]])*100</f>
        <v>48.053097345132741</v>
      </c>
      <c r="Q1251" s="25">
        <f>data[[#This Row],[ShippingCost]]/data[[#This Row],[TotalMiles]]</f>
        <v>6.5283185840707967</v>
      </c>
      <c r="R1251" s="17">
        <v>7377</v>
      </c>
      <c r="S1251" s="25">
        <f>data[[#This Row],[Revenue]]/data[[#This Row],[TotalMiles]]</f>
        <v>6.6893805309734518</v>
      </c>
      <c r="T1251" s="26">
        <f>data[[#This Row],[Revenue]]-data[[#This Row],[ShippingCost]]</f>
        <v>182</v>
      </c>
      <c r="U1251" s="17">
        <v>7559</v>
      </c>
      <c r="V1251" s="17">
        <v>55</v>
      </c>
      <c r="W1251" s="17" t="s">
        <v>86</v>
      </c>
      <c r="X1251" s="17">
        <v>9</v>
      </c>
      <c r="Y1251" s="17">
        <f>data[[#This Row],[DeliveryDate]]-data[[#This Row],[ShipDate]]</f>
        <v>2</v>
      </c>
      <c r="Z1251" s="17" t="str">
        <f>IF(data[[#This Row],[Actual Delivery Days]]&gt;AD1252,"Yes","No")</f>
        <v>Yes</v>
      </c>
    </row>
    <row r="1252" spans="1:26">
      <c r="A1252" s="17">
        <v>10477</v>
      </c>
      <c r="B1252" s="17">
        <v>2</v>
      </c>
      <c r="C1252" s="17">
        <v>8</v>
      </c>
      <c r="D1252" s="17" t="s">
        <v>461</v>
      </c>
      <c r="E1252" s="17" t="s">
        <v>204</v>
      </c>
      <c r="F1252" s="17" t="str">
        <f>TEXT(data[[#This Row],[ShipDate]],"yyyy - mmmm")</f>
        <v>2016 - January</v>
      </c>
      <c r="G1252" s="17" t="str">
        <f>data[[#This Row],[OriginCity]] &amp; " - "  &amp; data[[#This Row],[DestinationCity]]</f>
        <v>Joliet - Madison</v>
      </c>
      <c r="H1252" s="17" t="s">
        <v>61</v>
      </c>
      <c r="I1252" s="17" t="s">
        <v>31</v>
      </c>
      <c r="J1252" s="17">
        <v>2</v>
      </c>
      <c r="K1252" s="17" t="s">
        <v>62</v>
      </c>
      <c r="L1252" s="17" t="s">
        <v>29</v>
      </c>
      <c r="M1252" s="17" t="s">
        <v>229</v>
      </c>
      <c r="N1252" s="17">
        <v>571</v>
      </c>
      <c r="O1252" s="17">
        <v>361</v>
      </c>
      <c r="P1252" s="26">
        <f>(data[[#This Row],[LoadedMiles]]/data[[#This Row],[TotalMiles]])*100</f>
        <v>63.22241681260946</v>
      </c>
      <c r="Q1252" s="25">
        <f>data[[#This Row],[ShippingCost]]/data[[#This Row],[TotalMiles]]</f>
        <v>9.2294220665499118</v>
      </c>
      <c r="R1252" s="17">
        <v>5270</v>
      </c>
      <c r="S1252" s="25">
        <f>data[[#This Row],[Revenue]]/data[[#This Row],[TotalMiles]]</f>
        <v>9.6970227670753069</v>
      </c>
      <c r="T1252" s="26">
        <f>data[[#This Row],[Revenue]]-data[[#This Row],[ShippingCost]]</f>
        <v>267</v>
      </c>
      <c r="U1252" s="17">
        <v>5537</v>
      </c>
      <c r="V1252" s="17">
        <v>87</v>
      </c>
      <c r="W1252" s="17" t="s">
        <v>25</v>
      </c>
      <c r="X1252" s="17">
        <v>6</v>
      </c>
      <c r="Y1252" s="17">
        <f>data[[#This Row],[DeliveryDate]]-data[[#This Row],[ShipDate]]</f>
        <v>2</v>
      </c>
      <c r="Z1252" s="17" t="str">
        <f>IF(data[[#This Row],[Actual Delivery Days]]&gt;AD1253,"Yes","No")</f>
        <v>Yes</v>
      </c>
    </row>
    <row r="1253" spans="1:26">
      <c r="A1253" s="17">
        <v>10478</v>
      </c>
      <c r="B1253" s="17">
        <v>1</v>
      </c>
      <c r="C1253" s="17">
        <v>4</v>
      </c>
      <c r="D1253" s="17" t="s">
        <v>463</v>
      </c>
      <c r="E1253" s="17" t="s">
        <v>95</v>
      </c>
      <c r="F1253" s="17" t="str">
        <f>TEXT(data[[#This Row],[ShipDate]],"yyyy - mmmm")</f>
        <v>2016 - February</v>
      </c>
      <c r="G1253" s="17" t="str">
        <f>data[[#This Row],[OriginCity]] &amp; " - "  &amp; data[[#This Row],[DestinationCity]]</f>
        <v>Monon - Lansing</v>
      </c>
      <c r="H1253" s="17" t="s">
        <v>53</v>
      </c>
      <c r="I1253" s="17" t="s">
        <v>44</v>
      </c>
      <c r="J1253" s="17">
        <v>2</v>
      </c>
      <c r="K1253" s="17" t="s">
        <v>66</v>
      </c>
      <c r="L1253" s="17" t="s">
        <v>21</v>
      </c>
      <c r="M1253" s="17" t="s">
        <v>164</v>
      </c>
      <c r="N1253" s="17">
        <v>330</v>
      </c>
      <c r="O1253" s="17">
        <v>330</v>
      </c>
      <c r="P1253" s="26">
        <f>(data[[#This Row],[LoadedMiles]]/data[[#This Row],[TotalMiles]])*100</f>
        <v>100</v>
      </c>
      <c r="Q1253" s="25">
        <f>data[[#This Row],[ShippingCost]]/data[[#This Row],[TotalMiles]]</f>
        <v>11.354545454545455</v>
      </c>
      <c r="R1253" s="17">
        <v>3747</v>
      </c>
      <c r="S1253" s="25">
        <f>data[[#This Row],[Revenue]]/data[[#This Row],[TotalMiles]]</f>
        <v>4.1969696969696972</v>
      </c>
      <c r="T1253" s="26">
        <f>data[[#This Row],[Revenue]]-data[[#This Row],[ShippingCost]]</f>
        <v>-2362</v>
      </c>
      <c r="U1253" s="17">
        <v>1385</v>
      </c>
      <c r="V1253" s="17">
        <v>68</v>
      </c>
      <c r="W1253" s="17" t="s">
        <v>25</v>
      </c>
      <c r="X1253" s="17">
        <v>7</v>
      </c>
      <c r="Y1253" s="17">
        <f>data[[#This Row],[DeliveryDate]]-data[[#This Row],[ShipDate]]</f>
        <v>2</v>
      </c>
      <c r="Z1253" s="17" t="str">
        <f>IF(data[[#This Row],[Actual Delivery Days]]&gt;AD1254,"Yes","No")</f>
        <v>Yes</v>
      </c>
    </row>
    <row r="1254" spans="1:26">
      <c r="A1254" s="17">
        <v>10480</v>
      </c>
      <c r="B1254" s="17">
        <v>1</v>
      </c>
      <c r="C1254" s="17">
        <v>5</v>
      </c>
      <c r="D1254" s="17" t="s">
        <v>466</v>
      </c>
      <c r="E1254" s="17" t="s">
        <v>190</v>
      </c>
      <c r="F1254" s="17" t="str">
        <f>TEXT(data[[#This Row],[ShipDate]],"yyyy - mmmm")</f>
        <v>2016 - July</v>
      </c>
      <c r="G1254" s="17" t="str">
        <f>data[[#This Row],[OriginCity]] &amp; " - "  &amp; data[[#This Row],[DestinationCity]]</f>
        <v>Naperville - Indianapolis</v>
      </c>
      <c r="H1254" s="17" t="s">
        <v>48</v>
      </c>
      <c r="I1254" s="17" t="s">
        <v>31</v>
      </c>
      <c r="J1254" s="17">
        <v>2</v>
      </c>
      <c r="K1254" s="17" t="s">
        <v>43</v>
      </c>
      <c r="L1254" s="17" t="s">
        <v>44</v>
      </c>
      <c r="M1254" s="17" t="s">
        <v>299</v>
      </c>
      <c r="N1254" s="17">
        <v>913</v>
      </c>
      <c r="O1254" s="17">
        <v>733</v>
      </c>
      <c r="P1254" s="26">
        <f>(data[[#This Row],[LoadedMiles]]/data[[#This Row],[TotalMiles]])*100</f>
        <v>80.284775465498356</v>
      </c>
      <c r="Q1254" s="25">
        <f>data[[#This Row],[ShippingCost]]/data[[#This Row],[TotalMiles]]</f>
        <v>0.96823658269441404</v>
      </c>
      <c r="R1254" s="17">
        <v>884</v>
      </c>
      <c r="S1254" s="25">
        <f>data[[#This Row],[Revenue]]/data[[#This Row],[TotalMiles]]</f>
        <v>1.4446878422782037</v>
      </c>
      <c r="T1254" s="26">
        <f>data[[#This Row],[Revenue]]-data[[#This Row],[ShippingCost]]</f>
        <v>435</v>
      </c>
      <c r="U1254" s="17">
        <v>1319</v>
      </c>
      <c r="V1254" s="17">
        <v>83</v>
      </c>
      <c r="W1254" s="17" t="s">
        <v>25</v>
      </c>
      <c r="X1254" s="17">
        <v>3</v>
      </c>
      <c r="Y1254" s="17">
        <f>data[[#This Row],[DeliveryDate]]-data[[#This Row],[ShipDate]]</f>
        <v>1</v>
      </c>
      <c r="Z1254" s="17" t="str">
        <f>IF(data[[#This Row],[Actual Delivery Days]]&gt;AD1255,"Yes","No")</f>
        <v>Yes</v>
      </c>
    </row>
    <row r="1255" spans="1:26">
      <c r="A1255" s="17">
        <v>10482</v>
      </c>
      <c r="B1255" s="17">
        <v>1</v>
      </c>
      <c r="C1255" s="17">
        <v>4</v>
      </c>
      <c r="D1255" s="17" t="s">
        <v>469</v>
      </c>
      <c r="E1255" s="17" t="s">
        <v>609</v>
      </c>
      <c r="F1255" s="17" t="str">
        <f>TEXT(data[[#This Row],[ShipDate]],"yyyy - mmmm")</f>
        <v>2016 - April</v>
      </c>
      <c r="G1255" s="17" t="str">
        <f>data[[#This Row],[OriginCity]] &amp; " - "  &amp; data[[#This Row],[DestinationCity]]</f>
        <v>Appleton - Grand Rapids</v>
      </c>
      <c r="H1255" s="17" t="s">
        <v>85</v>
      </c>
      <c r="I1255" s="17" t="s">
        <v>29</v>
      </c>
      <c r="J1255" s="17">
        <v>2</v>
      </c>
      <c r="K1255" s="17" t="s">
        <v>20</v>
      </c>
      <c r="L1255" s="17" t="s">
        <v>21</v>
      </c>
      <c r="M1255" s="17" t="s">
        <v>100</v>
      </c>
      <c r="N1255" s="17">
        <v>968</v>
      </c>
      <c r="O1255" s="17">
        <v>374</v>
      </c>
      <c r="P1255" s="26">
        <f>(data[[#This Row],[LoadedMiles]]/data[[#This Row],[TotalMiles]])*100</f>
        <v>38.636363636363633</v>
      </c>
      <c r="Q1255" s="25">
        <f>data[[#This Row],[ShippingCost]]/data[[#This Row],[TotalMiles]]</f>
        <v>8.223140495867769</v>
      </c>
      <c r="R1255" s="17">
        <v>7960</v>
      </c>
      <c r="S1255" s="25">
        <f>data[[#This Row],[Revenue]]/data[[#This Row],[TotalMiles]]</f>
        <v>5.6869834710743801</v>
      </c>
      <c r="T1255" s="26">
        <f>data[[#This Row],[Revenue]]-data[[#This Row],[ShippingCost]]</f>
        <v>-2455</v>
      </c>
      <c r="U1255" s="17">
        <v>5505</v>
      </c>
      <c r="V1255" s="17">
        <v>79</v>
      </c>
      <c r="W1255" s="17" t="s">
        <v>25</v>
      </c>
      <c r="X1255" s="17">
        <v>2</v>
      </c>
      <c r="Y1255" s="17">
        <f>data[[#This Row],[DeliveryDate]]-data[[#This Row],[ShipDate]]</f>
        <v>2</v>
      </c>
      <c r="Z1255" s="17" t="str">
        <f>IF(data[[#This Row],[Actual Delivery Days]]&gt;AD1256,"Yes","No")</f>
        <v>Yes</v>
      </c>
    </row>
    <row r="1256" spans="1:26">
      <c r="A1256" s="17">
        <v>10488</v>
      </c>
      <c r="B1256" s="17">
        <v>1</v>
      </c>
      <c r="C1256" s="17">
        <v>6</v>
      </c>
      <c r="D1256" s="17" t="s">
        <v>478</v>
      </c>
      <c r="E1256" s="17" t="s">
        <v>100</v>
      </c>
      <c r="F1256" s="17" t="str">
        <f>TEXT(data[[#This Row],[ShipDate]],"yyyy - mmmm")</f>
        <v>2016 - April</v>
      </c>
      <c r="G1256" s="17" t="str">
        <f>data[[#This Row],[OriginCity]] &amp; " - "  &amp; data[[#This Row],[DestinationCity]]</f>
        <v>Elgin - Cincinnati</v>
      </c>
      <c r="H1256" s="17" t="s">
        <v>94</v>
      </c>
      <c r="I1256" s="17" t="s">
        <v>31</v>
      </c>
      <c r="J1256" s="17">
        <v>2</v>
      </c>
      <c r="K1256" s="17" t="s">
        <v>89</v>
      </c>
      <c r="L1256" s="17" t="s">
        <v>23</v>
      </c>
      <c r="M1256" s="17" t="s">
        <v>170</v>
      </c>
      <c r="N1256" s="17">
        <v>446</v>
      </c>
      <c r="O1256" s="17">
        <v>446</v>
      </c>
      <c r="P1256" s="26">
        <f>(data[[#This Row],[LoadedMiles]]/data[[#This Row],[TotalMiles]])*100</f>
        <v>100</v>
      </c>
      <c r="Q1256" s="25">
        <f>data[[#This Row],[ShippingCost]]/data[[#This Row],[TotalMiles]]</f>
        <v>14.20627802690583</v>
      </c>
      <c r="R1256" s="17">
        <v>6336</v>
      </c>
      <c r="S1256" s="25">
        <f>data[[#This Row],[Revenue]]/data[[#This Row],[TotalMiles]]</f>
        <v>16.170403587443946</v>
      </c>
      <c r="T1256" s="26">
        <f>data[[#This Row],[Revenue]]-data[[#This Row],[ShippingCost]]</f>
        <v>876</v>
      </c>
      <c r="U1256" s="17">
        <v>7212</v>
      </c>
      <c r="V1256" s="17">
        <v>66</v>
      </c>
      <c r="W1256" s="17" t="s">
        <v>25</v>
      </c>
      <c r="X1256" s="17">
        <v>9</v>
      </c>
      <c r="Y1256" s="17">
        <f>data[[#This Row],[DeliveryDate]]-data[[#This Row],[ShipDate]]</f>
        <v>1</v>
      </c>
      <c r="Z1256" s="17" t="str">
        <f>IF(data[[#This Row],[Actual Delivery Days]]&gt;AD1257,"Yes","No")</f>
        <v>Yes</v>
      </c>
    </row>
    <row r="1257" spans="1:26">
      <c r="A1257" s="17">
        <v>10493</v>
      </c>
      <c r="B1257" s="17">
        <v>2</v>
      </c>
      <c r="C1257" s="17">
        <v>6</v>
      </c>
      <c r="D1257" s="17" t="s">
        <v>486</v>
      </c>
      <c r="E1257" s="17" t="s">
        <v>613</v>
      </c>
      <c r="F1257" s="17" t="str">
        <f>TEXT(data[[#This Row],[ShipDate]],"yyyy - mmmm")</f>
        <v>2016 - June</v>
      </c>
      <c r="G1257" s="17" t="str">
        <f>data[[#This Row],[OriginCity]] &amp; " - "  &amp; data[[#This Row],[DestinationCity]]</f>
        <v>Chicago - Rockford</v>
      </c>
      <c r="H1257" s="17" t="s">
        <v>39</v>
      </c>
      <c r="I1257" s="17" t="s">
        <v>31</v>
      </c>
      <c r="J1257" s="17">
        <v>2</v>
      </c>
      <c r="K1257" s="17" t="s">
        <v>40</v>
      </c>
      <c r="L1257" s="17" t="s">
        <v>31</v>
      </c>
      <c r="M1257" s="17" t="s">
        <v>279</v>
      </c>
      <c r="N1257" s="17">
        <v>371</v>
      </c>
      <c r="O1257" s="17">
        <v>371</v>
      </c>
      <c r="P1257" s="26">
        <f>(data[[#This Row],[LoadedMiles]]/data[[#This Row],[TotalMiles]])*100</f>
        <v>100</v>
      </c>
      <c r="Q1257" s="25">
        <f>data[[#This Row],[ShippingCost]]/data[[#This Row],[TotalMiles]]</f>
        <v>3.2830188679245285</v>
      </c>
      <c r="R1257" s="17">
        <v>1218</v>
      </c>
      <c r="S1257" s="25">
        <f>data[[#This Row],[Revenue]]/data[[#This Row],[TotalMiles]]</f>
        <v>4.954177897574124</v>
      </c>
      <c r="T1257" s="26">
        <f>data[[#This Row],[Revenue]]-data[[#This Row],[ShippingCost]]</f>
        <v>620</v>
      </c>
      <c r="U1257" s="17">
        <v>1838</v>
      </c>
      <c r="V1257" s="17">
        <v>97</v>
      </c>
      <c r="W1257" s="17" t="s">
        <v>25</v>
      </c>
      <c r="X1257" s="17">
        <v>10</v>
      </c>
      <c r="Y1257" s="17">
        <f>data[[#This Row],[DeliveryDate]]-data[[#This Row],[ShipDate]]</f>
        <v>2</v>
      </c>
      <c r="Z1257" s="17" t="str">
        <f>IF(data[[#This Row],[Actual Delivery Days]]&gt;AD1258,"Yes","No")</f>
        <v>Yes</v>
      </c>
    </row>
    <row r="1258" spans="1:26">
      <c r="A1258" s="17">
        <v>10497</v>
      </c>
      <c r="B1258" s="17">
        <v>1</v>
      </c>
      <c r="C1258" s="17">
        <v>6</v>
      </c>
      <c r="D1258" s="17" t="s">
        <v>491</v>
      </c>
      <c r="E1258" s="17" t="s">
        <v>70</v>
      </c>
      <c r="F1258" s="17" t="str">
        <f>TEXT(data[[#This Row],[ShipDate]],"yyyy - mmmm")</f>
        <v>2016 - January</v>
      </c>
      <c r="G1258" s="17" t="str">
        <f>data[[#This Row],[OriginCity]] &amp; " - "  &amp; data[[#This Row],[DestinationCity]]</f>
        <v>Joliet - Madison</v>
      </c>
      <c r="H1258" s="17" t="s">
        <v>61</v>
      </c>
      <c r="I1258" s="17" t="s">
        <v>31</v>
      </c>
      <c r="J1258" s="17">
        <v>2</v>
      </c>
      <c r="K1258" s="17" t="s">
        <v>62</v>
      </c>
      <c r="L1258" s="17" t="s">
        <v>29</v>
      </c>
      <c r="M1258" s="17" t="s">
        <v>358</v>
      </c>
      <c r="N1258" s="17">
        <v>980</v>
      </c>
      <c r="O1258" s="17">
        <v>303</v>
      </c>
      <c r="P1258" s="26">
        <f>(data[[#This Row],[LoadedMiles]]/data[[#This Row],[TotalMiles]])*100</f>
        <v>30.918367346938773</v>
      </c>
      <c r="Q1258" s="25">
        <f>data[[#This Row],[ShippingCost]]/data[[#This Row],[TotalMiles]]</f>
        <v>2.4795918367346941</v>
      </c>
      <c r="R1258" s="17">
        <v>2430</v>
      </c>
      <c r="S1258" s="25">
        <f>data[[#This Row],[Revenue]]/data[[#This Row],[TotalMiles]]</f>
        <v>2.8755102040816327</v>
      </c>
      <c r="T1258" s="26">
        <f>data[[#This Row],[Revenue]]-data[[#This Row],[ShippingCost]]</f>
        <v>388</v>
      </c>
      <c r="U1258" s="17">
        <v>2818</v>
      </c>
      <c r="V1258" s="17">
        <v>94</v>
      </c>
      <c r="W1258" s="17" t="s">
        <v>25</v>
      </c>
      <c r="X1258" s="17">
        <v>3</v>
      </c>
      <c r="Y1258" s="17">
        <f>data[[#This Row],[DeliveryDate]]-data[[#This Row],[ShipDate]]</f>
        <v>1</v>
      </c>
      <c r="Z1258" s="17" t="str">
        <f>IF(data[[#This Row],[Actual Delivery Days]]&gt;AD1259,"Yes","No")</f>
        <v>Yes</v>
      </c>
    </row>
    <row r="1259" spans="1:26">
      <c r="A1259" s="17">
        <v>10503</v>
      </c>
      <c r="B1259" s="17">
        <v>1</v>
      </c>
      <c r="C1259" s="17">
        <v>4</v>
      </c>
      <c r="D1259" s="17" t="s">
        <v>501</v>
      </c>
      <c r="E1259" s="17" t="s">
        <v>310</v>
      </c>
      <c r="F1259" s="17" t="str">
        <f>TEXT(data[[#This Row],[ShipDate]],"yyyy - mmmm")</f>
        <v>2016 - February</v>
      </c>
      <c r="G1259" s="17" t="str">
        <f>data[[#This Row],[OriginCity]] &amp; " - "  &amp; data[[#This Row],[DestinationCity]]</f>
        <v>Cincinnati - Gary</v>
      </c>
      <c r="H1259" s="17" t="s">
        <v>89</v>
      </c>
      <c r="I1259" s="17" t="s">
        <v>23</v>
      </c>
      <c r="J1259" s="17">
        <v>2</v>
      </c>
      <c r="K1259" s="17" t="s">
        <v>57</v>
      </c>
      <c r="L1259" s="17" t="s">
        <v>44</v>
      </c>
      <c r="M1259" s="17" t="s">
        <v>268</v>
      </c>
      <c r="N1259" s="17">
        <v>740</v>
      </c>
      <c r="O1259" s="17">
        <v>452</v>
      </c>
      <c r="P1259" s="26">
        <f>(data[[#This Row],[LoadedMiles]]/data[[#This Row],[TotalMiles]])*100</f>
        <v>61.081081081081081</v>
      </c>
      <c r="Q1259" s="25">
        <f>data[[#This Row],[ShippingCost]]/data[[#This Row],[TotalMiles]]</f>
        <v>5.4770270270270274</v>
      </c>
      <c r="R1259" s="17">
        <v>4053</v>
      </c>
      <c r="S1259" s="25">
        <f>data[[#This Row],[Revenue]]/data[[#This Row],[TotalMiles]]</f>
        <v>2.0432432432432432</v>
      </c>
      <c r="T1259" s="26">
        <f>data[[#This Row],[Revenue]]-data[[#This Row],[ShippingCost]]</f>
        <v>-2541</v>
      </c>
      <c r="U1259" s="17">
        <v>1512</v>
      </c>
      <c r="V1259" s="17">
        <v>65</v>
      </c>
      <c r="W1259" s="17" t="s">
        <v>25</v>
      </c>
      <c r="X1259" s="17">
        <v>8</v>
      </c>
      <c r="Y1259" s="17">
        <f>data[[#This Row],[DeliveryDate]]-data[[#This Row],[ShipDate]]</f>
        <v>2</v>
      </c>
      <c r="Z1259" s="17" t="str">
        <f>IF(data[[#This Row],[Actual Delivery Days]]&gt;AD1260,"Yes","No")</f>
        <v>Yes</v>
      </c>
    </row>
    <row r="1260" spans="1:26">
      <c r="A1260" s="17">
        <v>10516</v>
      </c>
      <c r="B1260" s="17">
        <v>2</v>
      </c>
      <c r="C1260" s="17">
        <v>8</v>
      </c>
      <c r="D1260" s="17" t="s">
        <v>516</v>
      </c>
      <c r="E1260" s="17" t="s">
        <v>196</v>
      </c>
      <c r="F1260" s="17" t="str">
        <f>TEXT(data[[#This Row],[ShipDate]],"yyyy - mmmm")</f>
        <v>2016 - May</v>
      </c>
      <c r="G1260" s="17" t="str">
        <f>data[[#This Row],[OriginCity]] &amp; " - "  &amp; data[[#This Row],[DestinationCity]]</f>
        <v>Indianapolis - Northbrook</v>
      </c>
      <c r="H1260" s="17" t="s">
        <v>43</v>
      </c>
      <c r="I1260" s="17" t="s">
        <v>44</v>
      </c>
      <c r="J1260" s="17">
        <v>2</v>
      </c>
      <c r="K1260" s="17" t="s">
        <v>45</v>
      </c>
      <c r="L1260" s="17" t="s">
        <v>31</v>
      </c>
      <c r="M1260" s="17" t="s">
        <v>606</v>
      </c>
      <c r="N1260" s="17">
        <v>934</v>
      </c>
      <c r="O1260" s="17">
        <v>548</v>
      </c>
      <c r="P1260" s="26">
        <f>(data[[#This Row],[LoadedMiles]]/data[[#This Row],[TotalMiles]])*100</f>
        <v>58.672376873661669</v>
      </c>
      <c r="Q1260" s="25">
        <f>data[[#This Row],[ShippingCost]]/data[[#This Row],[TotalMiles]]</f>
        <v>1.9154175588865097</v>
      </c>
      <c r="R1260" s="17">
        <v>1789</v>
      </c>
      <c r="S1260" s="25">
        <f>data[[#This Row],[Revenue]]/data[[#This Row],[TotalMiles]]</f>
        <v>2.5663811563169165</v>
      </c>
      <c r="T1260" s="26">
        <f>data[[#This Row],[Revenue]]-data[[#This Row],[ShippingCost]]</f>
        <v>608</v>
      </c>
      <c r="U1260" s="17">
        <v>2397</v>
      </c>
      <c r="V1260" s="17">
        <v>93</v>
      </c>
      <c r="W1260" s="17" t="s">
        <v>25</v>
      </c>
      <c r="X1260" s="17">
        <v>1</v>
      </c>
      <c r="Y1260" s="17">
        <f>data[[#This Row],[DeliveryDate]]-data[[#This Row],[ShipDate]]</f>
        <v>1</v>
      </c>
      <c r="Z1260" s="17" t="str">
        <f>IF(data[[#This Row],[Actual Delivery Days]]&gt;AD1261,"Yes","No")</f>
        <v>Yes</v>
      </c>
    </row>
    <row r="1261" spans="1:26">
      <c r="A1261" s="17">
        <v>10523</v>
      </c>
      <c r="B1261" s="17">
        <v>1</v>
      </c>
      <c r="C1261" s="17">
        <v>5</v>
      </c>
      <c r="D1261" s="17" t="s">
        <v>526</v>
      </c>
      <c r="E1261" s="17" t="s">
        <v>132</v>
      </c>
      <c r="F1261" s="17" t="str">
        <f>TEXT(data[[#This Row],[ShipDate]],"yyyy - mmmm")</f>
        <v>2016 - February</v>
      </c>
      <c r="G1261" s="17" t="str">
        <f>data[[#This Row],[OriginCity]] &amp; " - "  &amp; data[[#This Row],[DestinationCity]]</f>
        <v>Naperville - Indianapolis</v>
      </c>
      <c r="H1261" s="17" t="s">
        <v>48</v>
      </c>
      <c r="I1261" s="17" t="s">
        <v>31</v>
      </c>
      <c r="J1261" s="17">
        <v>2</v>
      </c>
      <c r="K1261" s="17" t="s">
        <v>43</v>
      </c>
      <c r="L1261" s="17" t="s">
        <v>44</v>
      </c>
      <c r="M1261" s="17" t="s">
        <v>206</v>
      </c>
      <c r="N1261" s="17">
        <v>649</v>
      </c>
      <c r="O1261" s="17">
        <v>366</v>
      </c>
      <c r="P1261" s="26">
        <f>(data[[#This Row],[LoadedMiles]]/data[[#This Row],[TotalMiles]])*100</f>
        <v>56.394453004622491</v>
      </c>
      <c r="Q1261" s="25">
        <f>data[[#This Row],[ShippingCost]]/data[[#This Row],[TotalMiles]]</f>
        <v>4.0909090909090908</v>
      </c>
      <c r="R1261" s="17">
        <v>2655</v>
      </c>
      <c r="S1261" s="25">
        <f>data[[#This Row],[Revenue]]/data[[#This Row],[TotalMiles]]</f>
        <v>4.4283513097072422</v>
      </c>
      <c r="T1261" s="26">
        <f>data[[#This Row],[Revenue]]-data[[#This Row],[ShippingCost]]</f>
        <v>219</v>
      </c>
      <c r="U1261" s="17">
        <v>2874</v>
      </c>
      <c r="V1261" s="17">
        <v>73</v>
      </c>
      <c r="W1261" s="17" t="s">
        <v>25</v>
      </c>
      <c r="X1261" s="17">
        <v>6</v>
      </c>
      <c r="Y1261" s="17">
        <f>data[[#This Row],[DeliveryDate]]-data[[#This Row],[ShipDate]]</f>
        <v>1</v>
      </c>
      <c r="Z1261" s="17" t="str">
        <f>IF(data[[#This Row],[Actual Delivery Days]]&gt;AD1262,"Yes","No")</f>
        <v>Yes</v>
      </c>
    </row>
    <row r="1262" spans="1:26">
      <c r="A1262" s="17">
        <v>10528</v>
      </c>
      <c r="B1262" s="17">
        <v>2</v>
      </c>
      <c r="C1262" s="17">
        <v>5</v>
      </c>
      <c r="D1262" s="17" t="s">
        <v>534</v>
      </c>
      <c r="E1262" s="17" t="s">
        <v>498</v>
      </c>
      <c r="F1262" s="17" t="str">
        <f>TEXT(data[[#This Row],[ShipDate]],"yyyy - mmmm")</f>
        <v>2016 - July</v>
      </c>
      <c r="G1262" s="17" t="str">
        <f>data[[#This Row],[OriginCity]] &amp; " - "  &amp; data[[#This Row],[DestinationCity]]</f>
        <v>Lansing - Dayton</v>
      </c>
      <c r="H1262" s="17" t="s">
        <v>66</v>
      </c>
      <c r="I1262" s="17" t="s">
        <v>21</v>
      </c>
      <c r="J1262" s="17">
        <v>2</v>
      </c>
      <c r="K1262" s="17" t="s">
        <v>93</v>
      </c>
      <c r="L1262" s="17" t="s">
        <v>23</v>
      </c>
      <c r="M1262" s="17" t="s">
        <v>299</v>
      </c>
      <c r="N1262" s="17">
        <v>623</v>
      </c>
      <c r="O1262" s="17">
        <v>382</v>
      </c>
      <c r="P1262" s="26">
        <f>(data[[#This Row],[LoadedMiles]]/data[[#This Row],[TotalMiles]])*100</f>
        <v>61.316211878009632</v>
      </c>
      <c r="Q1262" s="25">
        <f>data[[#This Row],[ShippingCost]]/data[[#This Row],[TotalMiles]]</f>
        <v>3.4494382022471912</v>
      </c>
      <c r="R1262" s="17">
        <v>2149</v>
      </c>
      <c r="S1262" s="25">
        <f>data[[#This Row],[Revenue]]/data[[#This Row],[TotalMiles]]</f>
        <v>4.2471910112359552</v>
      </c>
      <c r="T1262" s="26">
        <f>data[[#This Row],[Revenue]]-data[[#This Row],[ShippingCost]]</f>
        <v>497</v>
      </c>
      <c r="U1262" s="17">
        <v>2646</v>
      </c>
      <c r="V1262" s="17">
        <v>56</v>
      </c>
      <c r="W1262" s="17" t="s">
        <v>86</v>
      </c>
      <c r="X1262" s="17">
        <v>10</v>
      </c>
      <c r="Y1262" s="17">
        <f>data[[#This Row],[DeliveryDate]]-data[[#This Row],[ShipDate]]</f>
        <v>2</v>
      </c>
      <c r="Z1262" s="17" t="str">
        <f>IF(data[[#This Row],[Actual Delivery Days]]&gt;AD1263,"Yes","No")</f>
        <v>Yes</v>
      </c>
    </row>
    <row r="1263" spans="1:26">
      <c r="A1263" s="17">
        <v>10534</v>
      </c>
      <c r="B1263" s="17">
        <v>1</v>
      </c>
      <c r="C1263" s="17">
        <v>6</v>
      </c>
      <c r="D1263" s="17" t="s">
        <v>544</v>
      </c>
      <c r="E1263" s="17" t="s">
        <v>332</v>
      </c>
      <c r="F1263" s="17" t="str">
        <f>TEXT(data[[#This Row],[ShipDate]],"yyyy - mmmm")</f>
        <v>2016 - February</v>
      </c>
      <c r="G1263" s="17" t="str">
        <f>data[[#This Row],[OriginCity]] &amp; " - "  &amp; data[[#This Row],[DestinationCity]]</f>
        <v>Grand Rapids - Toledo</v>
      </c>
      <c r="H1263" s="17" t="s">
        <v>20</v>
      </c>
      <c r="I1263" s="17" t="s">
        <v>21</v>
      </c>
      <c r="J1263" s="17">
        <v>2</v>
      </c>
      <c r="K1263" s="17" t="s">
        <v>22</v>
      </c>
      <c r="L1263" s="17" t="s">
        <v>23</v>
      </c>
      <c r="M1263" s="17" t="s">
        <v>435</v>
      </c>
      <c r="N1263" s="17">
        <v>827</v>
      </c>
      <c r="O1263" s="17">
        <v>513</v>
      </c>
      <c r="P1263" s="26">
        <f>(data[[#This Row],[LoadedMiles]]/data[[#This Row],[TotalMiles]])*100</f>
        <v>62.031438935912945</v>
      </c>
      <c r="Q1263" s="25">
        <f>data[[#This Row],[ShippingCost]]/data[[#This Row],[TotalMiles]]</f>
        <v>6.9141475211608219</v>
      </c>
      <c r="R1263" s="17">
        <v>5718</v>
      </c>
      <c r="S1263" s="25">
        <f>data[[#This Row],[Revenue]]/data[[#This Row],[TotalMiles]]</f>
        <v>7.0882708585247887</v>
      </c>
      <c r="T1263" s="26">
        <f>data[[#This Row],[Revenue]]-data[[#This Row],[ShippingCost]]</f>
        <v>144</v>
      </c>
      <c r="U1263" s="17">
        <v>5862</v>
      </c>
      <c r="V1263" s="17">
        <v>88</v>
      </c>
      <c r="W1263" s="17" t="s">
        <v>25</v>
      </c>
      <c r="X1263" s="17">
        <v>7</v>
      </c>
      <c r="Y1263" s="17">
        <f>data[[#This Row],[DeliveryDate]]-data[[#This Row],[ShipDate]]</f>
        <v>1</v>
      </c>
      <c r="Z1263" s="17" t="str">
        <f>IF(data[[#This Row],[Actual Delivery Days]]&gt;AD1264,"Yes","No")</f>
        <v>Yes</v>
      </c>
    </row>
    <row r="1264" spans="1:26">
      <c r="A1264" s="17">
        <v>10535</v>
      </c>
      <c r="B1264" s="17">
        <v>2</v>
      </c>
      <c r="C1264" s="17">
        <v>6</v>
      </c>
      <c r="D1264" s="17" t="s">
        <v>545</v>
      </c>
      <c r="E1264" s="17" t="s">
        <v>460</v>
      </c>
      <c r="F1264" s="17" t="str">
        <f>TEXT(data[[#This Row],[ShipDate]],"yyyy - mmmm")</f>
        <v>2016 - February</v>
      </c>
      <c r="G1264" s="17" t="str">
        <f>data[[#This Row],[OriginCity]] &amp; " - "  &amp; data[[#This Row],[DestinationCity]]</f>
        <v>Milwaukee - Springfield</v>
      </c>
      <c r="H1264" s="17" t="s">
        <v>28</v>
      </c>
      <c r="I1264" s="17" t="s">
        <v>29</v>
      </c>
      <c r="J1264" s="17">
        <v>2</v>
      </c>
      <c r="K1264" s="17" t="s">
        <v>30</v>
      </c>
      <c r="L1264" s="17" t="s">
        <v>31</v>
      </c>
      <c r="M1264" s="17" t="s">
        <v>255</v>
      </c>
      <c r="N1264" s="17">
        <v>833</v>
      </c>
      <c r="O1264" s="17">
        <v>603</v>
      </c>
      <c r="P1264" s="26">
        <f>(data[[#This Row],[LoadedMiles]]/data[[#This Row],[TotalMiles]])*100</f>
        <v>72.388955582232896</v>
      </c>
      <c r="Q1264" s="25">
        <f>data[[#This Row],[ShippingCost]]/data[[#This Row],[TotalMiles]]</f>
        <v>0.40096038415366148</v>
      </c>
      <c r="R1264" s="17">
        <v>334</v>
      </c>
      <c r="S1264" s="25">
        <f>data[[#This Row],[Revenue]]/data[[#This Row],[TotalMiles]]</f>
        <v>1.1164465786314526</v>
      </c>
      <c r="T1264" s="26">
        <f>data[[#This Row],[Revenue]]-data[[#This Row],[ShippingCost]]</f>
        <v>596</v>
      </c>
      <c r="U1264" s="17">
        <v>930</v>
      </c>
      <c r="V1264" s="17">
        <v>50</v>
      </c>
      <c r="W1264" s="17" t="s">
        <v>25</v>
      </c>
      <c r="X1264" s="17">
        <v>4</v>
      </c>
      <c r="Y1264" s="17">
        <f>data[[#This Row],[DeliveryDate]]-data[[#This Row],[ShipDate]]</f>
        <v>2</v>
      </c>
      <c r="Z1264" s="17" t="str">
        <f>IF(data[[#This Row],[Actual Delivery Days]]&gt;AD1265,"Yes","No")</f>
        <v>Yes</v>
      </c>
    </row>
    <row r="1265" spans="1:26">
      <c r="A1265" s="17">
        <v>10538</v>
      </c>
      <c r="B1265" s="17">
        <v>1</v>
      </c>
      <c r="C1265" s="17">
        <v>5</v>
      </c>
      <c r="D1265" s="17" t="s">
        <v>548</v>
      </c>
      <c r="E1265" s="17" t="s">
        <v>19</v>
      </c>
      <c r="F1265" s="17" t="str">
        <f>TEXT(data[[#This Row],[ShipDate]],"yyyy - mmmm")</f>
        <v>2016 - July</v>
      </c>
      <c r="G1265" s="17" t="str">
        <f>data[[#This Row],[OriginCity]] &amp; " - "  &amp; data[[#This Row],[DestinationCity]]</f>
        <v>Indianapolis - Northbrook</v>
      </c>
      <c r="H1265" s="17" t="s">
        <v>43</v>
      </c>
      <c r="I1265" s="17" t="s">
        <v>44</v>
      </c>
      <c r="J1265" s="17">
        <v>2</v>
      </c>
      <c r="K1265" s="17" t="s">
        <v>45</v>
      </c>
      <c r="L1265" s="17" t="s">
        <v>31</v>
      </c>
      <c r="M1265" s="17" t="s">
        <v>622</v>
      </c>
      <c r="N1265" s="17">
        <v>513</v>
      </c>
      <c r="O1265" s="17">
        <v>513</v>
      </c>
      <c r="P1265" s="26">
        <f>(data[[#This Row],[LoadedMiles]]/data[[#This Row],[TotalMiles]])*100</f>
        <v>100</v>
      </c>
      <c r="Q1265" s="25">
        <f>data[[#This Row],[ShippingCost]]/data[[#This Row],[TotalMiles]]</f>
        <v>2.4132553606237819</v>
      </c>
      <c r="R1265" s="17">
        <v>1238</v>
      </c>
      <c r="S1265" s="25">
        <f>data[[#This Row],[Revenue]]/data[[#This Row],[TotalMiles]]</f>
        <v>2.9083820662768032</v>
      </c>
      <c r="T1265" s="26">
        <f>data[[#This Row],[Revenue]]-data[[#This Row],[ShippingCost]]</f>
        <v>254</v>
      </c>
      <c r="U1265" s="17">
        <v>1492</v>
      </c>
      <c r="V1265" s="17">
        <v>81</v>
      </c>
      <c r="W1265" s="17" t="s">
        <v>25</v>
      </c>
      <c r="X1265" s="17">
        <v>7</v>
      </c>
      <c r="Y1265" s="17">
        <f>data[[#This Row],[DeliveryDate]]-data[[#This Row],[ShipDate]]</f>
        <v>2</v>
      </c>
      <c r="Z1265" s="17" t="str">
        <f>IF(data[[#This Row],[Actual Delivery Days]]&gt;AD1266,"Yes","No")</f>
        <v>Yes</v>
      </c>
    </row>
    <row r="1266" spans="1:26">
      <c r="A1266" s="17">
        <v>10544</v>
      </c>
      <c r="B1266" s="17">
        <v>2</v>
      </c>
      <c r="C1266" s="17">
        <v>8</v>
      </c>
      <c r="D1266" s="17" t="s">
        <v>559</v>
      </c>
      <c r="E1266" s="17" t="s">
        <v>209</v>
      </c>
      <c r="F1266" s="17" t="str">
        <f>TEXT(data[[#This Row],[ShipDate]],"yyyy - mmmm")</f>
        <v>2016 - March</v>
      </c>
      <c r="G1266" s="17" t="str">
        <f>data[[#This Row],[OriginCity]] &amp; " - "  &amp; data[[#This Row],[DestinationCity]]</f>
        <v>Appleton - Grand Rapids</v>
      </c>
      <c r="H1266" s="17" t="s">
        <v>85</v>
      </c>
      <c r="I1266" s="17" t="s">
        <v>29</v>
      </c>
      <c r="J1266" s="17">
        <v>2</v>
      </c>
      <c r="K1266" s="17" t="s">
        <v>20</v>
      </c>
      <c r="L1266" s="17" t="s">
        <v>21</v>
      </c>
      <c r="M1266" s="17" t="s">
        <v>352</v>
      </c>
      <c r="N1266" s="17">
        <v>1162</v>
      </c>
      <c r="O1266" s="17">
        <v>637</v>
      </c>
      <c r="P1266" s="26">
        <f>(data[[#This Row],[LoadedMiles]]/data[[#This Row],[TotalMiles]])*100</f>
        <v>54.819277108433738</v>
      </c>
      <c r="Q1266" s="25">
        <f>data[[#This Row],[ShippingCost]]/data[[#This Row],[TotalMiles]]</f>
        <v>8.2616179001721177E-2</v>
      </c>
      <c r="R1266" s="17">
        <v>96</v>
      </c>
      <c r="S1266" s="25">
        <f>data[[#This Row],[Revenue]]/data[[#This Row],[TotalMiles]]</f>
        <v>0.53872633390705682</v>
      </c>
      <c r="T1266" s="26">
        <f>data[[#This Row],[Revenue]]-data[[#This Row],[ShippingCost]]</f>
        <v>530</v>
      </c>
      <c r="U1266" s="17">
        <v>626</v>
      </c>
      <c r="V1266" s="17">
        <v>69</v>
      </c>
      <c r="W1266" s="17" t="s">
        <v>86</v>
      </c>
      <c r="X1266" s="17">
        <v>7</v>
      </c>
      <c r="Y1266" s="17">
        <f>data[[#This Row],[DeliveryDate]]-data[[#This Row],[ShipDate]]</f>
        <v>2</v>
      </c>
      <c r="Z1266" s="17" t="str">
        <f>IF(data[[#This Row],[Actual Delivery Days]]&gt;AD1267,"Yes","No")</f>
        <v>Yes</v>
      </c>
    </row>
    <row r="1267" spans="1:26">
      <c r="A1267" s="17">
        <v>10546</v>
      </c>
      <c r="B1267" s="17">
        <v>2</v>
      </c>
      <c r="C1267" s="17">
        <v>5</v>
      </c>
      <c r="D1267" s="17" t="s">
        <v>561</v>
      </c>
      <c r="E1267" s="17" t="s">
        <v>362</v>
      </c>
      <c r="F1267" s="17" t="str">
        <f>TEXT(data[[#This Row],[ShipDate]],"yyyy - mmmm")</f>
        <v>2016 - February</v>
      </c>
      <c r="G1267" s="17" t="str">
        <f>data[[#This Row],[OriginCity]] &amp; " - "  &amp; data[[#This Row],[DestinationCity]]</f>
        <v>Dayton - Elgin</v>
      </c>
      <c r="H1267" s="17" t="s">
        <v>93</v>
      </c>
      <c r="I1267" s="17" t="s">
        <v>23</v>
      </c>
      <c r="J1267" s="17">
        <v>2</v>
      </c>
      <c r="K1267" s="17" t="s">
        <v>94</v>
      </c>
      <c r="L1267" s="17" t="s">
        <v>31</v>
      </c>
      <c r="M1267" s="17" t="s">
        <v>435</v>
      </c>
      <c r="N1267" s="17">
        <v>1159</v>
      </c>
      <c r="O1267" s="17">
        <v>507</v>
      </c>
      <c r="P1267" s="26">
        <f>(data[[#This Row],[LoadedMiles]]/data[[#This Row],[TotalMiles]])*100</f>
        <v>43.744607420189816</v>
      </c>
      <c r="Q1267" s="25">
        <f>data[[#This Row],[ShippingCost]]/data[[#This Row],[TotalMiles]]</f>
        <v>5.7989646246764455</v>
      </c>
      <c r="R1267" s="17">
        <v>6721</v>
      </c>
      <c r="S1267" s="25">
        <f>data[[#This Row],[Revenue]]/data[[#This Row],[TotalMiles]]</f>
        <v>6.392579810181191</v>
      </c>
      <c r="T1267" s="26">
        <f>data[[#This Row],[Revenue]]-data[[#This Row],[ShippingCost]]</f>
        <v>688</v>
      </c>
      <c r="U1267" s="17">
        <v>7409</v>
      </c>
      <c r="V1267" s="17">
        <v>59</v>
      </c>
      <c r="W1267" s="17" t="s">
        <v>25</v>
      </c>
      <c r="X1267" s="17">
        <v>6</v>
      </c>
      <c r="Y1267" s="17">
        <f>data[[#This Row],[DeliveryDate]]-data[[#This Row],[ShipDate]]</f>
        <v>2</v>
      </c>
      <c r="Z1267" s="17" t="str">
        <f>IF(data[[#This Row],[Actual Delivery Days]]&gt;AD1268,"Yes","No")</f>
        <v>Yes</v>
      </c>
    </row>
    <row r="1268" spans="1:26">
      <c r="A1268" s="17">
        <v>10553</v>
      </c>
      <c r="B1268" s="17">
        <v>1</v>
      </c>
      <c r="C1268" s="17">
        <v>7</v>
      </c>
      <c r="D1268" s="17" t="s">
        <v>570</v>
      </c>
      <c r="E1268" s="17" t="s">
        <v>353</v>
      </c>
      <c r="F1268" s="17" t="str">
        <f>TEXT(data[[#This Row],[ShipDate]],"yyyy - mmmm")</f>
        <v>2016 - March</v>
      </c>
      <c r="G1268" s="17" t="str">
        <f>data[[#This Row],[OriginCity]] &amp; " - "  &amp; data[[#This Row],[DestinationCity]]</f>
        <v>Grand Rapids - Toledo</v>
      </c>
      <c r="H1268" s="17" t="s">
        <v>20</v>
      </c>
      <c r="I1268" s="17" t="s">
        <v>21</v>
      </c>
      <c r="J1268" s="17">
        <v>2</v>
      </c>
      <c r="K1268" s="17" t="s">
        <v>22</v>
      </c>
      <c r="L1268" s="17" t="s">
        <v>23</v>
      </c>
      <c r="M1268" s="17" t="s">
        <v>133</v>
      </c>
      <c r="N1268" s="17">
        <v>1179</v>
      </c>
      <c r="O1268" s="17">
        <v>658</v>
      </c>
      <c r="P1268" s="26">
        <f>(data[[#This Row],[LoadedMiles]]/data[[#This Row],[TotalMiles]])*100</f>
        <v>55.810008481764207</v>
      </c>
      <c r="Q1268" s="25">
        <f>data[[#This Row],[ShippingCost]]/data[[#This Row],[TotalMiles]]</f>
        <v>1.563189143341815</v>
      </c>
      <c r="R1268" s="17">
        <v>1843</v>
      </c>
      <c r="S1268" s="25">
        <f>data[[#This Row],[Revenue]]/data[[#This Row],[TotalMiles]]</f>
        <v>1.8956743002544529</v>
      </c>
      <c r="T1268" s="26">
        <f>data[[#This Row],[Revenue]]-data[[#This Row],[ShippingCost]]</f>
        <v>392</v>
      </c>
      <c r="U1268" s="17">
        <v>2235</v>
      </c>
      <c r="V1268" s="17">
        <v>50</v>
      </c>
      <c r="W1268" s="17" t="s">
        <v>25</v>
      </c>
      <c r="X1268" s="17">
        <v>8</v>
      </c>
      <c r="Y1268" s="17">
        <f>data[[#This Row],[DeliveryDate]]-data[[#This Row],[ShipDate]]</f>
        <v>2</v>
      </c>
      <c r="Z1268" s="17" t="str">
        <f>IF(data[[#This Row],[Actual Delivery Days]]&gt;AD1269,"Yes","No")</f>
        <v>Yes</v>
      </c>
    </row>
    <row r="1269" spans="1:26">
      <c r="A1269" s="17">
        <v>10557</v>
      </c>
      <c r="B1269" s="17">
        <v>1</v>
      </c>
      <c r="C1269" s="17">
        <v>5</v>
      </c>
      <c r="D1269" s="17" t="s">
        <v>575</v>
      </c>
      <c r="E1269" s="17" t="s">
        <v>197</v>
      </c>
      <c r="F1269" s="17" t="str">
        <f>TEXT(data[[#This Row],[ShipDate]],"yyyy - mmmm")</f>
        <v>2016 - May</v>
      </c>
      <c r="G1269" s="17" t="str">
        <f>data[[#This Row],[OriginCity]] &amp; " - "  &amp; data[[#This Row],[DestinationCity]]</f>
        <v>Indianapolis - Northbrook</v>
      </c>
      <c r="H1269" s="17" t="s">
        <v>43</v>
      </c>
      <c r="I1269" s="17" t="s">
        <v>44</v>
      </c>
      <c r="J1269" s="17">
        <v>2</v>
      </c>
      <c r="K1269" s="17" t="s">
        <v>45</v>
      </c>
      <c r="L1269" s="17" t="s">
        <v>31</v>
      </c>
      <c r="M1269" s="17" t="s">
        <v>226</v>
      </c>
      <c r="N1269" s="17">
        <v>953</v>
      </c>
      <c r="O1269" s="17">
        <v>507</v>
      </c>
      <c r="P1269" s="26">
        <f>(data[[#This Row],[LoadedMiles]]/data[[#This Row],[TotalMiles]])*100</f>
        <v>53.200419727177341</v>
      </c>
      <c r="Q1269" s="25">
        <f>data[[#This Row],[ShippingCost]]/data[[#This Row],[TotalMiles]]</f>
        <v>1.4407135362014691</v>
      </c>
      <c r="R1269" s="17">
        <v>1373</v>
      </c>
      <c r="S1269" s="25">
        <f>data[[#This Row],[Revenue]]/data[[#This Row],[TotalMiles]]</f>
        <v>1.5834207764952781</v>
      </c>
      <c r="T1269" s="26">
        <f>data[[#This Row],[Revenue]]-data[[#This Row],[ShippingCost]]</f>
        <v>136</v>
      </c>
      <c r="U1269" s="17">
        <v>1509</v>
      </c>
      <c r="V1269" s="17">
        <v>67</v>
      </c>
      <c r="W1269" s="17" t="s">
        <v>25</v>
      </c>
      <c r="X1269" s="17">
        <v>4</v>
      </c>
      <c r="Y1269" s="17">
        <f>data[[#This Row],[DeliveryDate]]-data[[#This Row],[ShipDate]]</f>
        <v>1</v>
      </c>
      <c r="Z1269" s="17" t="str">
        <f>IF(data[[#This Row],[Actual Delivery Days]]&gt;AD1270,"Yes","No")</f>
        <v>Yes</v>
      </c>
    </row>
    <row r="1270" spans="1:26">
      <c r="A1270" s="17">
        <v>10565</v>
      </c>
      <c r="B1270" s="17">
        <v>2</v>
      </c>
      <c r="C1270" s="17">
        <v>4</v>
      </c>
      <c r="D1270" s="17" t="s">
        <v>584</v>
      </c>
      <c r="E1270" s="17" t="s">
        <v>521</v>
      </c>
      <c r="F1270" s="17" t="str">
        <f>TEXT(data[[#This Row],[ShipDate]],"yyyy - mmmm")</f>
        <v>2016 - February</v>
      </c>
      <c r="G1270" s="17" t="str">
        <f>data[[#This Row],[OriginCity]] &amp; " - "  &amp; data[[#This Row],[DestinationCity]]</f>
        <v>Naperville - Indianapolis</v>
      </c>
      <c r="H1270" s="17" t="s">
        <v>48</v>
      </c>
      <c r="I1270" s="17" t="s">
        <v>31</v>
      </c>
      <c r="J1270" s="17">
        <v>2</v>
      </c>
      <c r="K1270" s="17" t="s">
        <v>43</v>
      </c>
      <c r="L1270" s="17" t="s">
        <v>44</v>
      </c>
      <c r="M1270" s="17" t="s">
        <v>290</v>
      </c>
      <c r="N1270" s="17">
        <v>1175</v>
      </c>
      <c r="O1270" s="17">
        <v>724</v>
      </c>
      <c r="P1270" s="26">
        <f>(data[[#This Row],[LoadedMiles]]/data[[#This Row],[TotalMiles]])*100</f>
        <v>61.617021276595743</v>
      </c>
      <c r="Q1270" s="25">
        <f>data[[#This Row],[ShippingCost]]/data[[#This Row],[TotalMiles]]</f>
        <v>6.869787234042553</v>
      </c>
      <c r="R1270" s="17">
        <v>8072</v>
      </c>
      <c r="S1270" s="25">
        <f>data[[#This Row],[Revenue]]/data[[#This Row],[TotalMiles]]</f>
        <v>5.0221276595744682</v>
      </c>
      <c r="T1270" s="26">
        <f>data[[#This Row],[Revenue]]-data[[#This Row],[ShippingCost]]</f>
        <v>-2171</v>
      </c>
      <c r="U1270" s="17">
        <v>5901</v>
      </c>
      <c r="V1270" s="17">
        <v>95</v>
      </c>
      <c r="W1270" s="17" t="s">
        <v>25</v>
      </c>
      <c r="X1270" s="17">
        <v>6</v>
      </c>
      <c r="Y1270" s="17">
        <f>data[[#This Row],[DeliveryDate]]-data[[#This Row],[ShipDate]]</f>
        <v>2</v>
      </c>
      <c r="Z1270" s="17" t="str">
        <f>IF(data[[#This Row],[Actual Delivery Days]]&gt;AD1271,"Yes","No")</f>
        <v>Yes</v>
      </c>
    </row>
    <row r="1271" spans="1:26">
      <c r="A1271" s="17">
        <v>10566</v>
      </c>
      <c r="B1271" s="17">
        <v>1</v>
      </c>
      <c r="C1271" s="17">
        <v>6</v>
      </c>
      <c r="D1271" s="17" t="s">
        <v>585</v>
      </c>
      <c r="E1271" s="17" t="s">
        <v>121</v>
      </c>
      <c r="F1271" s="17" t="str">
        <f>TEXT(data[[#This Row],[ShipDate]],"yyyy - mmmm")</f>
        <v>2016 - April</v>
      </c>
      <c r="G1271" s="17" t="str">
        <f>data[[#This Row],[OriginCity]] &amp; " - "  &amp; data[[#This Row],[DestinationCity]]</f>
        <v>Rockford - Green Bay</v>
      </c>
      <c r="H1271" s="17" t="s">
        <v>40</v>
      </c>
      <c r="I1271" s="17" t="s">
        <v>31</v>
      </c>
      <c r="J1271" s="17">
        <v>2</v>
      </c>
      <c r="K1271" s="17" t="s">
        <v>75</v>
      </c>
      <c r="L1271" s="17" t="s">
        <v>29</v>
      </c>
      <c r="M1271" s="17" t="s">
        <v>122</v>
      </c>
      <c r="N1271" s="17">
        <v>591</v>
      </c>
      <c r="O1271" s="17">
        <v>291</v>
      </c>
      <c r="P1271" s="26">
        <f>(data[[#This Row],[LoadedMiles]]/data[[#This Row],[TotalMiles]])*100</f>
        <v>49.238578680203041</v>
      </c>
      <c r="Q1271" s="25">
        <f>data[[#This Row],[ShippingCost]]/data[[#This Row],[TotalMiles]]</f>
        <v>0.38578680203045684</v>
      </c>
      <c r="R1271" s="17">
        <v>228</v>
      </c>
      <c r="S1271" s="25">
        <f>data[[#This Row],[Revenue]]/data[[#This Row],[TotalMiles]]</f>
        <v>1.2588832487309645</v>
      </c>
      <c r="T1271" s="26">
        <f>data[[#This Row],[Revenue]]-data[[#This Row],[ShippingCost]]</f>
        <v>516</v>
      </c>
      <c r="U1271" s="17">
        <v>744</v>
      </c>
      <c r="V1271" s="17">
        <v>61</v>
      </c>
      <c r="W1271" s="17" t="s">
        <v>25</v>
      </c>
      <c r="X1271" s="17">
        <v>7</v>
      </c>
      <c r="Y1271" s="17">
        <f>data[[#This Row],[DeliveryDate]]-data[[#This Row],[ShipDate]]</f>
        <v>2</v>
      </c>
      <c r="Z1271" s="17" t="str">
        <f>IF(data[[#This Row],[Actual Delivery Days]]&gt;AD1272,"Yes","No")</f>
        <v>Yes</v>
      </c>
    </row>
    <row r="1272" spans="1:26">
      <c r="A1272" s="17">
        <v>10571</v>
      </c>
      <c r="B1272" s="17">
        <v>2</v>
      </c>
      <c r="C1272" s="17">
        <v>8</v>
      </c>
      <c r="D1272" s="17" t="s">
        <v>591</v>
      </c>
      <c r="E1272" s="17" t="s">
        <v>133</v>
      </c>
      <c r="F1272" s="17" t="str">
        <f>TEXT(data[[#This Row],[ShipDate]],"yyyy - mmmm")</f>
        <v>2016 - March</v>
      </c>
      <c r="G1272" s="17" t="str">
        <f>data[[#This Row],[OriginCity]] &amp; " - "  &amp; data[[#This Row],[DestinationCity]]</f>
        <v>Lansing - Dayton</v>
      </c>
      <c r="H1272" s="17" t="s">
        <v>66</v>
      </c>
      <c r="I1272" s="17" t="s">
        <v>21</v>
      </c>
      <c r="J1272" s="17">
        <v>2</v>
      </c>
      <c r="K1272" s="17" t="s">
        <v>93</v>
      </c>
      <c r="L1272" s="17" t="s">
        <v>23</v>
      </c>
      <c r="M1272" s="17" t="s">
        <v>238</v>
      </c>
      <c r="N1272" s="17">
        <v>429</v>
      </c>
      <c r="O1272" s="17">
        <v>325</v>
      </c>
      <c r="P1272" s="26">
        <f>(data[[#This Row],[LoadedMiles]]/data[[#This Row],[TotalMiles]])*100</f>
        <v>75.757575757575751</v>
      </c>
      <c r="Q1272" s="25">
        <f>data[[#This Row],[ShippingCost]]/data[[#This Row],[TotalMiles]]</f>
        <v>4.3729603729603728</v>
      </c>
      <c r="R1272" s="17">
        <v>1876</v>
      </c>
      <c r="S1272" s="25">
        <f>data[[#This Row],[Revenue]]/data[[#This Row],[TotalMiles]]</f>
        <v>5.2657342657342658</v>
      </c>
      <c r="T1272" s="26">
        <f>data[[#This Row],[Revenue]]-data[[#This Row],[ShippingCost]]</f>
        <v>383</v>
      </c>
      <c r="U1272" s="17">
        <v>2259</v>
      </c>
      <c r="V1272" s="17">
        <v>86</v>
      </c>
      <c r="W1272" s="17" t="s">
        <v>25</v>
      </c>
      <c r="X1272" s="17">
        <v>8</v>
      </c>
      <c r="Y1272" s="17">
        <f>data[[#This Row],[DeliveryDate]]-data[[#This Row],[ShipDate]]</f>
        <v>2</v>
      </c>
      <c r="Z1272" s="17" t="str">
        <f>IF(data[[#This Row],[Actual Delivery Days]]&gt;AD1273,"Yes","No")</f>
        <v>Yes</v>
      </c>
    </row>
    <row r="1273" spans="1:26">
      <c r="A1273" s="17">
        <v>10573</v>
      </c>
      <c r="B1273" s="17">
        <v>2</v>
      </c>
      <c r="C1273" s="17">
        <v>6</v>
      </c>
      <c r="D1273" s="17" t="s">
        <v>593</v>
      </c>
      <c r="E1273" s="17" t="s">
        <v>616</v>
      </c>
      <c r="F1273" s="17" t="str">
        <f>TEXT(data[[#This Row],[ShipDate]],"yyyy - mmmm")</f>
        <v>2016 - May</v>
      </c>
      <c r="G1273" s="17" t="str">
        <f>data[[#This Row],[OriginCity]] &amp; " - "  &amp; data[[#This Row],[DestinationCity]]</f>
        <v>Elgin - Cincinnati</v>
      </c>
      <c r="H1273" s="17" t="s">
        <v>94</v>
      </c>
      <c r="I1273" s="17" t="s">
        <v>31</v>
      </c>
      <c r="J1273" s="17">
        <v>2</v>
      </c>
      <c r="K1273" s="17" t="s">
        <v>89</v>
      </c>
      <c r="L1273" s="17" t="s">
        <v>23</v>
      </c>
      <c r="M1273" s="17" t="s">
        <v>373</v>
      </c>
      <c r="N1273" s="17">
        <v>721</v>
      </c>
      <c r="O1273" s="17">
        <v>721</v>
      </c>
      <c r="P1273" s="26">
        <f>(data[[#This Row],[LoadedMiles]]/data[[#This Row],[TotalMiles]])*100</f>
        <v>100</v>
      </c>
      <c r="Q1273" s="25">
        <f>data[[#This Row],[ShippingCost]]/data[[#This Row],[TotalMiles]]</f>
        <v>11.876560332871012</v>
      </c>
      <c r="R1273" s="17">
        <v>8563</v>
      </c>
      <c r="S1273" s="25">
        <f>data[[#This Row],[Revenue]]/data[[#This Row],[TotalMiles]]</f>
        <v>12.368932038834952</v>
      </c>
      <c r="T1273" s="26">
        <f>data[[#This Row],[Revenue]]-data[[#This Row],[ShippingCost]]</f>
        <v>355</v>
      </c>
      <c r="U1273" s="17">
        <v>8918</v>
      </c>
      <c r="V1273" s="17">
        <v>50</v>
      </c>
      <c r="W1273" s="17" t="s">
        <v>25</v>
      </c>
      <c r="X1273" s="17">
        <v>8</v>
      </c>
      <c r="Y1273" s="17">
        <f>data[[#This Row],[DeliveryDate]]-data[[#This Row],[ShipDate]]</f>
        <v>2</v>
      </c>
      <c r="Z1273" s="17" t="str">
        <f>IF(data[[#This Row],[Actual Delivery Days]]&gt;AD1274,"Yes","No")</f>
        <v>Yes</v>
      </c>
    </row>
    <row r="1274" spans="1:26">
      <c r="A1274" s="17">
        <v>10574</v>
      </c>
      <c r="B1274" s="17">
        <v>2</v>
      </c>
      <c r="C1274" s="17">
        <v>5</v>
      </c>
      <c r="D1274" s="17" t="s">
        <v>594</v>
      </c>
      <c r="E1274" s="17" t="s">
        <v>424</v>
      </c>
      <c r="F1274" s="17" t="str">
        <f>TEXT(data[[#This Row],[ShipDate]],"yyyy - mmmm")</f>
        <v>2016 - January</v>
      </c>
      <c r="G1274" s="17" t="str">
        <f>data[[#This Row],[OriginCity]] &amp; " - "  &amp; data[[#This Row],[DestinationCity]]</f>
        <v>Skokie - Chicago</v>
      </c>
      <c r="H1274" s="17" t="s">
        <v>35</v>
      </c>
      <c r="I1274" s="17" t="s">
        <v>31</v>
      </c>
      <c r="J1274" s="17">
        <v>2</v>
      </c>
      <c r="K1274" s="17" t="s">
        <v>39</v>
      </c>
      <c r="L1274" s="17" t="s">
        <v>31</v>
      </c>
      <c r="M1274" s="17" t="s">
        <v>72</v>
      </c>
      <c r="N1274" s="17">
        <v>670</v>
      </c>
      <c r="O1274" s="17">
        <v>487</v>
      </c>
      <c r="P1274" s="26">
        <f>(data[[#This Row],[LoadedMiles]]/data[[#This Row],[TotalMiles]])*100</f>
        <v>72.68656716417911</v>
      </c>
      <c r="Q1274" s="25">
        <f>data[[#This Row],[ShippingCost]]/data[[#This Row],[TotalMiles]]</f>
        <v>9.4597014925373131</v>
      </c>
      <c r="R1274" s="17">
        <v>6338</v>
      </c>
      <c r="S1274" s="25">
        <f>data[[#This Row],[Revenue]]/data[[#This Row],[TotalMiles]]</f>
        <v>10.879104477611941</v>
      </c>
      <c r="T1274" s="26">
        <f>data[[#This Row],[Revenue]]-data[[#This Row],[ShippingCost]]</f>
        <v>951</v>
      </c>
      <c r="U1274" s="17">
        <v>7289</v>
      </c>
      <c r="V1274" s="17">
        <v>58</v>
      </c>
      <c r="W1274" s="17" t="s">
        <v>25</v>
      </c>
      <c r="X1274" s="17">
        <v>6</v>
      </c>
      <c r="Y1274" s="17">
        <f>data[[#This Row],[DeliveryDate]]-data[[#This Row],[ShipDate]]</f>
        <v>2</v>
      </c>
      <c r="Z1274" s="17" t="str">
        <f>IF(data[[#This Row],[Actual Delivery Days]]&gt;AD1275,"Yes","No")</f>
        <v>Yes</v>
      </c>
    </row>
    <row r="1275" spans="1:26">
      <c r="A1275" s="17">
        <v>10577</v>
      </c>
      <c r="B1275" s="17">
        <v>2</v>
      </c>
      <c r="C1275" s="17">
        <v>4</v>
      </c>
      <c r="D1275" s="17" t="s">
        <v>598</v>
      </c>
      <c r="E1275" s="17" t="s">
        <v>474</v>
      </c>
      <c r="F1275" s="17" t="str">
        <f>TEXT(data[[#This Row],[ShipDate]],"yyyy - mmmm")</f>
        <v>2016 - June</v>
      </c>
      <c r="G1275" s="17" t="str">
        <f>data[[#This Row],[OriginCity]] &amp; " - "  &amp; data[[#This Row],[DestinationCity]]</f>
        <v>Grand Rapids - Toledo</v>
      </c>
      <c r="H1275" s="17" t="s">
        <v>20</v>
      </c>
      <c r="I1275" s="17" t="s">
        <v>21</v>
      </c>
      <c r="J1275" s="17">
        <v>2</v>
      </c>
      <c r="K1275" s="17" t="s">
        <v>22</v>
      </c>
      <c r="L1275" s="17" t="s">
        <v>23</v>
      </c>
      <c r="M1275" s="17" t="s">
        <v>474</v>
      </c>
      <c r="N1275" s="17">
        <v>301</v>
      </c>
      <c r="O1275" s="17">
        <v>301</v>
      </c>
      <c r="P1275" s="26">
        <f>(data[[#This Row],[LoadedMiles]]/data[[#This Row],[TotalMiles]])*100</f>
        <v>100</v>
      </c>
      <c r="Q1275" s="25">
        <f>data[[#This Row],[ShippingCost]]/data[[#This Row],[TotalMiles]]</f>
        <v>22</v>
      </c>
      <c r="R1275" s="17">
        <v>6622</v>
      </c>
      <c r="S1275" s="25">
        <f>data[[#This Row],[Revenue]]/data[[#This Row],[TotalMiles]]</f>
        <v>15.315614617940199</v>
      </c>
      <c r="T1275" s="26">
        <f>data[[#This Row],[Revenue]]-data[[#This Row],[ShippingCost]]</f>
        <v>-2012</v>
      </c>
      <c r="U1275" s="17">
        <v>4610</v>
      </c>
      <c r="V1275" s="17">
        <v>67</v>
      </c>
      <c r="W1275" s="17" t="s">
        <v>25</v>
      </c>
      <c r="X1275" s="17">
        <v>5</v>
      </c>
      <c r="Y1275" s="17">
        <f>data[[#This Row],[DeliveryDate]]-data[[#This Row],[ShipDate]]</f>
        <v>0</v>
      </c>
      <c r="Z1275" s="17" t="str">
        <f>IF(data[[#This Row],[Actual Delivery Days]]&gt;AD1276,"Yes","No")</f>
        <v>No</v>
      </c>
    </row>
    <row r="1276" spans="1:26">
      <c r="A1276" s="17">
        <v>10585</v>
      </c>
      <c r="B1276" s="17">
        <v>1</v>
      </c>
      <c r="C1276" s="17">
        <v>8</v>
      </c>
      <c r="D1276" s="17" t="s">
        <v>26</v>
      </c>
      <c r="E1276" s="17" t="s">
        <v>319</v>
      </c>
      <c r="F1276" s="17" t="str">
        <f>TEXT(data[[#This Row],[ShipDate]],"yyyy - mmmm")</f>
        <v>2016 - June</v>
      </c>
      <c r="G1276" s="17" t="str">
        <f>data[[#This Row],[OriginCity]] &amp; " - "  &amp; data[[#This Row],[DestinationCity]]</f>
        <v>Monon - Lansing</v>
      </c>
      <c r="H1276" s="17" t="s">
        <v>53</v>
      </c>
      <c r="I1276" s="17" t="s">
        <v>44</v>
      </c>
      <c r="J1276" s="17">
        <v>2</v>
      </c>
      <c r="K1276" s="17" t="s">
        <v>66</v>
      </c>
      <c r="L1276" s="17" t="s">
        <v>21</v>
      </c>
      <c r="M1276" s="17" t="s">
        <v>399</v>
      </c>
      <c r="N1276" s="17">
        <v>985</v>
      </c>
      <c r="O1276" s="17">
        <v>626</v>
      </c>
      <c r="P1276" s="26">
        <f>(data[[#This Row],[LoadedMiles]]/data[[#This Row],[TotalMiles]])*100</f>
        <v>63.553299492385783</v>
      </c>
      <c r="Q1276" s="25">
        <f>data[[#This Row],[ShippingCost]]/data[[#This Row],[TotalMiles]]</f>
        <v>7.3634517766497458</v>
      </c>
      <c r="R1276" s="17">
        <v>7253</v>
      </c>
      <c r="S1276" s="25">
        <f>data[[#This Row],[Revenue]]/data[[#This Row],[TotalMiles]]</f>
        <v>7.7370558375634522</v>
      </c>
      <c r="T1276" s="26">
        <f>data[[#This Row],[Revenue]]-data[[#This Row],[ShippingCost]]</f>
        <v>368</v>
      </c>
      <c r="U1276" s="17">
        <v>7621</v>
      </c>
      <c r="V1276" s="17">
        <v>51</v>
      </c>
      <c r="W1276" s="17" t="s">
        <v>25</v>
      </c>
      <c r="X1276" s="17">
        <v>8</v>
      </c>
      <c r="Y1276" s="17">
        <f>data[[#This Row],[DeliveryDate]]-data[[#This Row],[ShipDate]]</f>
        <v>2</v>
      </c>
      <c r="Z1276" s="17" t="str">
        <f>IF(data[[#This Row],[Actual Delivery Days]]&gt;AD1277,"Yes","No")</f>
        <v>Yes</v>
      </c>
    </row>
    <row r="1277" spans="1:26">
      <c r="A1277" s="17">
        <v>10588</v>
      </c>
      <c r="B1277" s="17">
        <v>2</v>
      </c>
      <c r="C1277" s="17">
        <v>4</v>
      </c>
      <c r="D1277" s="17" t="s">
        <v>41</v>
      </c>
      <c r="E1277" s="17" t="s">
        <v>206</v>
      </c>
      <c r="F1277" s="17" t="str">
        <f>TEXT(data[[#This Row],[ShipDate]],"yyyy - mmmm")</f>
        <v>2016 - February</v>
      </c>
      <c r="G1277" s="17" t="str">
        <f>data[[#This Row],[OriginCity]] &amp; " - "  &amp; data[[#This Row],[DestinationCity]]</f>
        <v>Naperville - Indianapolis</v>
      </c>
      <c r="H1277" s="17" t="s">
        <v>48</v>
      </c>
      <c r="I1277" s="17" t="s">
        <v>31</v>
      </c>
      <c r="J1277" s="17">
        <v>2</v>
      </c>
      <c r="K1277" s="17" t="s">
        <v>43</v>
      </c>
      <c r="L1277" s="17" t="s">
        <v>44</v>
      </c>
      <c r="M1277" s="17" t="s">
        <v>462</v>
      </c>
      <c r="N1277" s="17">
        <v>947</v>
      </c>
      <c r="O1277" s="17">
        <v>744</v>
      </c>
      <c r="P1277" s="26">
        <f>(data[[#This Row],[LoadedMiles]]/data[[#This Row],[TotalMiles]])*100</f>
        <v>78.563885955649411</v>
      </c>
      <c r="Q1277" s="25">
        <f>data[[#This Row],[ShippingCost]]/data[[#This Row],[TotalMiles]]</f>
        <v>5.7444561774023235</v>
      </c>
      <c r="R1277" s="17">
        <v>5440</v>
      </c>
      <c r="S1277" s="25">
        <f>data[[#This Row],[Revenue]]/data[[#This Row],[TotalMiles]]</f>
        <v>3.5459345300950371</v>
      </c>
      <c r="T1277" s="26">
        <f>data[[#This Row],[Revenue]]-data[[#This Row],[ShippingCost]]</f>
        <v>-2082</v>
      </c>
      <c r="U1277" s="17">
        <v>3358</v>
      </c>
      <c r="V1277" s="17">
        <v>81</v>
      </c>
      <c r="W1277" s="17" t="s">
        <v>25</v>
      </c>
      <c r="X1277" s="17">
        <v>4</v>
      </c>
      <c r="Y1277" s="17">
        <f>data[[#This Row],[DeliveryDate]]-data[[#This Row],[ShipDate]]</f>
        <v>1</v>
      </c>
      <c r="Z1277" s="17" t="str">
        <f>IF(data[[#This Row],[Actual Delivery Days]]&gt;AD1278,"Yes","No")</f>
        <v>Yes</v>
      </c>
    </row>
    <row r="1278" spans="1:26">
      <c r="A1278" s="17">
        <v>10592</v>
      </c>
      <c r="B1278" s="17">
        <v>2</v>
      </c>
      <c r="C1278" s="17">
        <v>6</v>
      </c>
      <c r="D1278" s="17" t="s">
        <v>59</v>
      </c>
      <c r="E1278" s="17" t="s">
        <v>386</v>
      </c>
      <c r="F1278" s="17" t="str">
        <f>TEXT(data[[#This Row],[ShipDate]],"yyyy - mmmm")</f>
        <v>2016 - July</v>
      </c>
      <c r="G1278" s="17" t="str">
        <f>data[[#This Row],[OriginCity]] &amp; " - "  &amp; data[[#This Row],[DestinationCity]]</f>
        <v>Dayton - Elgin</v>
      </c>
      <c r="H1278" s="17" t="s">
        <v>93</v>
      </c>
      <c r="I1278" s="17" t="s">
        <v>23</v>
      </c>
      <c r="J1278" s="17">
        <v>2</v>
      </c>
      <c r="K1278" s="17" t="s">
        <v>94</v>
      </c>
      <c r="L1278" s="17" t="s">
        <v>31</v>
      </c>
      <c r="M1278" s="17" t="s">
        <v>405</v>
      </c>
      <c r="N1278" s="17">
        <v>946</v>
      </c>
      <c r="O1278" s="17">
        <v>623</v>
      </c>
      <c r="P1278" s="26">
        <f>(data[[#This Row],[LoadedMiles]]/data[[#This Row],[TotalMiles]])*100</f>
        <v>65.856236786469353</v>
      </c>
      <c r="Q1278" s="25">
        <f>data[[#This Row],[ShippingCost]]/data[[#This Row],[TotalMiles]]</f>
        <v>4.0221987315010574</v>
      </c>
      <c r="R1278" s="17">
        <v>3805</v>
      </c>
      <c r="S1278" s="25">
        <f>data[[#This Row],[Revenue]]/data[[#This Row],[TotalMiles]]</f>
        <v>4.3033826638477803</v>
      </c>
      <c r="T1278" s="26">
        <f>data[[#This Row],[Revenue]]-data[[#This Row],[ShippingCost]]</f>
        <v>266</v>
      </c>
      <c r="U1278" s="17">
        <v>4071</v>
      </c>
      <c r="V1278" s="17">
        <v>74</v>
      </c>
      <c r="W1278" s="17" t="s">
        <v>25</v>
      </c>
      <c r="X1278" s="17">
        <v>9</v>
      </c>
      <c r="Y1278" s="17">
        <f>data[[#This Row],[DeliveryDate]]-data[[#This Row],[ShipDate]]</f>
        <v>2</v>
      </c>
      <c r="Z1278" s="17" t="str">
        <f>IF(data[[#This Row],[Actual Delivery Days]]&gt;AD1279,"Yes","No")</f>
        <v>Yes</v>
      </c>
    </row>
    <row r="1279" spans="1:26">
      <c r="A1279" s="17">
        <v>10594</v>
      </c>
      <c r="B1279" s="17">
        <v>1</v>
      </c>
      <c r="C1279" s="17">
        <v>5</v>
      </c>
      <c r="D1279" s="17" t="s">
        <v>73</v>
      </c>
      <c r="E1279" s="17" t="s">
        <v>202</v>
      </c>
      <c r="F1279" s="17" t="str">
        <f>TEXT(data[[#This Row],[ShipDate]],"yyyy - mmmm")</f>
        <v>2016 - February</v>
      </c>
      <c r="G1279" s="17" t="str">
        <f>data[[#This Row],[OriginCity]] &amp; " - "  &amp; data[[#This Row],[DestinationCity]]</f>
        <v>Bangor - Davenport</v>
      </c>
      <c r="H1279" s="17" t="s">
        <v>104</v>
      </c>
      <c r="I1279" s="17" t="s">
        <v>21</v>
      </c>
      <c r="J1279" s="17">
        <v>2</v>
      </c>
      <c r="K1279" s="17" t="s">
        <v>105</v>
      </c>
      <c r="L1279" s="17" t="s">
        <v>106</v>
      </c>
      <c r="M1279" s="17" t="s">
        <v>168</v>
      </c>
      <c r="N1279" s="17">
        <v>425</v>
      </c>
      <c r="O1279" s="17">
        <v>425</v>
      </c>
      <c r="P1279" s="26">
        <f>(data[[#This Row],[LoadedMiles]]/data[[#This Row],[TotalMiles]])*100</f>
        <v>100</v>
      </c>
      <c r="Q1279" s="25">
        <f>data[[#This Row],[ShippingCost]]/data[[#This Row],[TotalMiles]]</f>
        <v>19.856470588235293</v>
      </c>
      <c r="R1279" s="17">
        <v>8439</v>
      </c>
      <c r="S1279" s="25">
        <f>data[[#This Row],[Revenue]]/data[[#This Row],[TotalMiles]]</f>
        <v>20.738823529411764</v>
      </c>
      <c r="T1279" s="26">
        <f>data[[#This Row],[Revenue]]-data[[#This Row],[ShippingCost]]</f>
        <v>375</v>
      </c>
      <c r="U1279" s="17">
        <v>8814</v>
      </c>
      <c r="V1279" s="17">
        <v>89</v>
      </c>
      <c r="W1279" s="17" t="s">
        <v>25</v>
      </c>
      <c r="X1279" s="17">
        <v>6</v>
      </c>
      <c r="Y1279" s="17">
        <f>data[[#This Row],[DeliveryDate]]-data[[#This Row],[ShipDate]]</f>
        <v>2</v>
      </c>
      <c r="Z1279" s="17" t="str">
        <f>IF(data[[#This Row],[Actual Delivery Days]]&gt;AD1280,"Yes","No")</f>
        <v>Yes</v>
      </c>
    </row>
    <row r="1280" spans="1:26">
      <c r="A1280" s="17">
        <v>10595</v>
      </c>
      <c r="B1280" s="17">
        <v>2</v>
      </c>
      <c r="C1280" s="17">
        <v>5</v>
      </c>
      <c r="D1280" s="17" t="s">
        <v>77</v>
      </c>
      <c r="E1280" s="17" t="s">
        <v>535</v>
      </c>
      <c r="F1280" s="17" t="str">
        <f>TEXT(data[[#This Row],[ShipDate]],"yyyy - mmmm")</f>
        <v>2016 - August</v>
      </c>
      <c r="G1280" s="17" t="str">
        <f>data[[#This Row],[OriginCity]] &amp; " - "  &amp; data[[#This Row],[DestinationCity]]</f>
        <v>Elgin - Cincinnati</v>
      </c>
      <c r="H1280" s="17" t="s">
        <v>94</v>
      </c>
      <c r="I1280" s="17" t="s">
        <v>31</v>
      </c>
      <c r="J1280" s="17">
        <v>2</v>
      </c>
      <c r="K1280" s="17" t="s">
        <v>89</v>
      </c>
      <c r="L1280" s="17" t="s">
        <v>23</v>
      </c>
      <c r="M1280" s="17" t="s">
        <v>470</v>
      </c>
      <c r="N1280" s="17">
        <v>470</v>
      </c>
      <c r="O1280" s="17">
        <v>470</v>
      </c>
      <c r="P1280" s="26">
        <f>(data[[#This Row],[LoadedMiles]]/data[[#This Row],[TotalMiles]])*100</f>
        <v>100</v>
      </c>
      <c r="Q1280" s="25">
        <f>data[[#This Row],[ShippingCost]]/data[[#This Row],[TotalMiles]]</f>
        <v>15.606382978723405</v>
      </c>
      <c r="R1280" s="17">
        <v>7335</v>
      </c>
      <c r="S1280" s="25">
        <f>data[[#This Row],[Revenue]]/data[[#This Row],[TotalMiles]]</f>
        <v>16.389361702127658</v>
      </c>
      <c r="T1280" s="26">
        <f>data[[#This Row],[Revenue]]-data[[#This Row],[ShippingCost]]</f>
        <v>368</v>
      </c>
      <c r="U1280" s="17">
        <v>7703</v>
      </c>
      <c r="V1280" s="17">
        <v>87</v>
      </c>
      <c r="W1280" s="17" t="s">
        <v>25</v>
      </c>
      <c r="X1280" s="17">
        <v>6</v>
      </c>
      <c r="Y1280" s="17">
        <f>data[[#This Row],[DeliveryDate]]-data[[#This Row],[ShipDate]]</f>
        <v>1</v>
      </c>
      <c r="Z1280" s="17" t="str">
        <f>IF(data[[#This Row],[Actual Delivery Days]]&gt;AD1281,"Yes","No")</f>
        <v>Yes</v>
      </c>
    </row>
    <row r="1281" spans="1:26">
      <c r="A1281" s="17">
        <v>10601</v>
      </c>
      <c r="B1281" s="17">
        <v>2</v>
      </c>
      <c r="C1281" s="17">
        <v>7</v>
      </c>
      <c r="D1281" s="17" t="s">
        <v>99</v>
      </c>
      <c r="E1281" s="17" t="s">
        <v>272</v>
      </c>
      <c r="F1281" s="17" t="str">
        <f>TEXT(data[[#This Row],[ShipDate]],"yyyy - mmmm")</f>
        <v>2016 - March</v>
      </c>
      <c r="G1281" s="17" t="str">
        <f>data[[#This Row],[OriginCity]] &amp; " - "  &amp; data[[#This Row],[DestinationCity]]</f>
        <v>Springfield - Skokie</v>
      </c>
      <c r="H1281" s="17" t="s">
        <v>30</v>
      </c>
      <c r="I1281" s="17" t="s">
        <v>31</v>
      </c>
      <c r="J1281" s="17">
        <v>2</v>
      </c>
      <c r="K1281" s="17" t="s">
        <v>35</v>
      </c>
      <c r="L1281" s="17" t="s">
        <v>31</v>
      </c>
      <c r="M1281" s="17" t="s">
        <v>199</v>
      </c>
      <c r="N1281" s="17">
        <v>210</v>
      </c>
      <c r="O1281" s="17">
        <v>210</v>
      </c>
      <c r="P1281" s="26">
        <f>(data[[#This Row],[LoadedMiles]]/data[[#This Row],[TotalMiles]])*100</f>
        <v>100</v>
      </c>
      <c r="Q1281" s="25">
        <f>data[[#This Row],[ShippingCost]]/data[[#This Row],[TotalMiles]]</f>
        <v>34.714285714285715</v>
      </c>
      <c r="R1281" s="17">
        <v>7290</v>
      </c>
      <c r="S1281" s="25">
        <f>data[[#This Row],[Revenue]]/data[[#This Row],[TotalMiles]]</f>
        <v>36.204761904761902</v>
      </c>
      <c r="T1281" s="26">
        <f>data[[#This Row],[Revenue]]-data[[#This Row],[ShippingCost]]</f>
        <v>313</v>
      </c>
      <c r="U1281" s="17">
        <v>7603</v>
      </c>
      <c r="V1281" s="17">
        <v>95</v>
      </c>
      <c r="W1281" s="17" t="s">
        <v>86</v>
      </c>
      <c r="X1281" s="17">
        <v>2</v>
      </c>
      <c r="Y1281" s="17">
        <f>data[[#This Row],[DeliveryDate]]-data[[#This Row],[ShipDate]]</f>
        <v>2</v>
      </c>
      <c r="Z1281" s="17" t="str">
        <f>IF(data[[#This Row],[Actual Delivery Days]]&gt;AD1282,"Yes","No")</f>
        <v>Yes</v>
      </c>
    </row>
    <row r="1282" spans="1:26">
      <c r="A1282" s="17">
        <v>10607</v>
      </c>
      <c r="B1282" s="17">
        <v>1</v>
      </c>
      <c r="C1282" s="17">
        <v>7</v>
      </c>
      <c r="D1282" s="17" t="s">
        <v>117</v>
      </c>
      <c r="E1282" s="17" t="s">
        <v>315</v>
      </c>
      <c r="F1282" s="17" t="str">
        <f>TEXT(data[[#This Row],[ShipDate]],"yyyy - mmmm")</f>
        <v>2016 - June</v>
      </c>
      <c r="G1282" s="17" t="str">
        <f>data[[#This Row],[OriginCity]] &amp; " - "  &amp; data[[#This Row],[DestinationCity]]</f>
        <v>Joliet - Madison</v>
      </c>
      <c r="H1282" s="17" t="s">
        <v>61</v>
      </c>
      <c r="I1282" s="17" t="s">
        <v>31</v>
      </c>
      <c r="J1282" s="17">
        <v>2</v>
      </c>
      <c r="K1282" s="17" t="s">
        <v>62</v>
      </c>
      <c r="L1282" s="17" t="s">
        <v>29</v>
      </c>
      <c r="M1282" s="17" t="s">
        <v>316</v>
      </c>
      <c r="N1282" s="17">
        <v>1160</v>
      </c>
      <c r="O1282" s="17">
        <v>650</v>
      </c>
      <c r="P1282" s="26">
        <f>(data[[#This Row],[LoadedMiles]]/data[[#This Row],[TotalMiles]])*100</f>
        <v>56.034482758620683</v>
      </c>
      <c r="Q1282" s="25">
        <f>data[[#This Row],[ShippingCost]]/data[[#This Row],[TotalMiles]]</f>
        <v>2.0120689655172415</v>
      </c>
      <c r="R1282" s="17">
        <v>2334</v>
      </c>
      <c r="S1282" s="25">
        <f>data[[#This Row],[Revenue]]/data[[#This Row],[TotalMiles]]</f>
        <v>2.6439655172413792</v>
      </c>
      <c r="T1282" s="26">
        <f>data[[#This Row],[Revenue]]-data[[#This Row],[ShippingCost]]</f>
        <v>733</v>
      </c>
      <c r="U1282" s="17">
        <v>3067</v>
      </c>
      <c r="V1282" s="17">
        <v>76</v>
      </c>
      <c r="W1282" s="17" t="s">
        <v>25</v>
      </c>
      <c r="X1282" s="17">
        <v>9</v>
      </c>
      <c r="Y1282" s="17">
        <f>data[[#This Row],[DeliveryDate]]-data[[#This Row],[ShipDate]]</f>
        <v>1</v>
      </c>
      <c r="Z1282" s="17" t="str">
        <f>IF(data[[#This Row],[Actual Delivery Days]]&gt;AD1283,"Yes","No")</f>
        <v>Yes</v>
      </c>
    </row>
    <row r="1283" spans="1:26">
      <c r="A1283" s="17">
        <v>10608</v>
      </c>
      <c r="B1283" s="17">
        <v>1</v>
      </c>
      <c r="C1283" s="17">
        <v>7</v>
      </c>
      <c r="D1283" s="17" t="s">
        <v>120</v>
      </c>
      <c r="E1283" s="17" t="s">
        <v>299</v>
      </c>
      <c r="F1283" s="17" t="str">
        <f>TEXT(data[[#This Row],[ShipDate]],"yyyy - mmmm")</f>
        <v>2016 - July</v>
      </c>
      <c r="G1283" s="17" t="str">
        <f>data[[#This Row],[OriginCity]] &amp; " - "  &amp; data[[#This Row],[DestinationCity]]</f>
        <v>Monon - Lansing</v>
      </c>
      <c r="H1283" s="17" t="s">
        <v>53</v>
      </c>
      <c r="I1283" s="17" t="s">
        <v>44</v>
      </c>
      <c r="J1283" s="17">
        <v>2</v>
      </c>
      <c r="K1283" s="17" t="s">
        <v>66</v>
      </c>
      <c r="L1283" s="17" t="s">
        <v>21</v>
      </c>
      <c r="M1283" s="17" t="s">
        <v>116</v>
      </c>
      <c r="N1283" s="17">
        <v>1013</v>
      </c>
      <c r="O1283" s="17">
        <v>396</v>
      </c>
      <c r="P1283" s="26">
        <f>(data[[#This Row],[LoadedMiles]]/data[[#This Row],[TotalMiles]])*100</f>
        <v>39.091806515301087</v>
      </c>
      <c r="Q1283" s="25">
        <f>data[[#This Row],[ShippingCost]]/data[[#This Row],[TotalMiles]]</f>
        <v>3.2685093780848962</v>
      </c>
      <c r="R1283" s="17">
        <v>3311</v>
      </c>
      <c r="S1283" s="25">
        <f>data[[#This Row],[Revenue]]/data[[#This Row],[TotalMiles]]</f>
        <v>3.6850937808489634</v>
      </c>
      <c r="T1283" s="26">
        <f>data[[#This Row],[Revenue]]-data[[#This Row],[ShippingCost]]</f>
        <v>422</v>
      </c>
      <c r="U1283" s="17">
        <v>3733</v>
      </c>
      <c r="V1283" s="17">
        <v>67</v>
      </c>
      <c r="W1283" s="17" t="s">
        <v>25</v>
      </c>
      <c r="X1283" s="17">
        <v>1</v>
      </c>
      <c r="Y1283" s="17">
        <f>data[[#This Row],[DeliveryDate]]-data[[#This Row],[ShipDate]]</f>
        <v>2</v>
      </c>
      <c r="Z1283" s="17" t="str">
        <f>IF(data[[#This Row],[Actual Delivery Days]]&gt;AD1284,"Yes","No")</f>
        <v>Yes</v>
      </c>
    </row>
    <row r="1284" spans="1:26">
      <c r="A1284" s="17">
        <v>10614</v>
      </c>
      <c r="B1284" s="17">
        <v>1</v>
      </c>
      <c r="C1284" s="17">
        <v>6</v>
      </c>
      <c r="D1284" s="17" t="s">
        <v>140</v>
      </c>
      <c r="E1284" s="17" t="s">
        <v>396</v>
      </c>
      <c r="F1284" s="17" t="str">
        <f>TEXT(data[[#This Row],[ShipDate]],"yyyy - mmmm")</f>
        <v>2016 - January</v>
      </c>
      <c r="G1284" s="17" t="str">
        <f>data[[#This Row],[OriginCity]] &amp; " - "  &amp; data[[#This Row],[DestinationCity]]</f>
        <v>Dayton - Elgin</v>
      </c>
      <c r="H1284" s="17" t="s">
        <v>93</v>
      </c>
      <c r="I1284" s="17" t="s">
        <v>23</v>
      </c>
      <c r="J1284" s="17">
        <v>2</v>
      </c>
      <c r="K1284" s="17" t="s">
        <v>94</v>
      </c>
      <c r="L1284" s="17" t="s">
        <v>31</v>
      </c>
      <c r="M1284" s="17" t="s">
        <v>152</v>
      </c>
      <c r="N1284" s="17">
        <v>1048</v>
      </c>
      <c r="O1284" s="17">
        <v>244</v>
      </c>
      <c r="P1284" s="26">
        <f>(data[[#This Row],[LoadedMiles]]/data[[#This Row],[TotalMiles]])*100</f>
        <v>23.282442748091604</v>
      </c>
      <c r="Q1284" s="25">
        <f>data[[#This Row],[ShippingCost]]/data[[#This Row],[TotalMiles]]</f>
        <v>3.3912213740458017</v>
      </c>
      <c r="R1284" s="17">
        <v>3554</v>
      </c>
      <c r="S1284" s="25">
        <f>data[[#This Row],[Revenue]]/data[[#This Row],[TotalMiles]]</f>
        <v>4.3196564885496187</v>
      </c>
      <c r="T1284" s="26">
        <f>data[[#This Row],[Revenue]]-data[[#This Row],[ShippingCost]]</f>
        <v>973</v>
      </c>
      <c r="U1284" s="17">
        <v>4527</v>
      </c>
      <c r="V1284" s="17">
        <v>71</v>
      </c>
      <c r="W1284" s="17" t="s">
        <v>25</v>
      </c>
      <c r="X1284" s="17">
        <v>9</v>
      </c>
      <c r="Y1284" s="17">
        <f>data[[#This Row],[DeliveryDate]]-data[[#This Row],[ShipDate]]</f>
        <v>1</v>
      </c>
      <c r="Z1284" s="17" t="str">
        <f>IF(data[[#This Row],[Actual Delivery Days]]&gt;AD1285,"Yes","No")</f>
        <v>Yes</v>
      </c>
    </row>
    <row r="1285" spans="1:26">
      <c r="A1285" s="17">
        <v>10626</v>
      </c>
      <c r="B1285" s="17">
        <v>1</v>
      </c>
      <c r="C1285" s="17">
        <v>6</v>
      </c>
      <c r="D1285" s="17" t="s">
        <v>173</v>
      </c>
      <c r="E1285" s="17" t="s">
        <v>319</v>
      </c>
      <c r="F1285" s="17" t="str">
        <f>TEXT(data[[#This Row],[ShipDate]],"yyyy - mmmm")</f>
        <v>2016 - June</v>
      </c>
      <c r="G1285" s="17" t="str">
        <f>data[[#This Row],[OriginCity]] &amp; " - "  &amp; data[[#This Row],[DestinationCity]]</f>
        <v>Northbrook - Naperville</v>
      </c>
      <c r="H1285" s="17" t="s">
        <v>45</v>
      </c>
      <c r="I1285" s="17" t="s">
        <v>31</v>
      </c>
      <c r="J1285" s="17">
        <v>2</v>
      </c>
      <c r="K1285" s="17" t="s">
        <v>48</v>
      </c>
      <c r="L1285" s="17" t="s">
        <v>31</v>
      </c>
      <c r="M1285" s="17" t="s">
        <v>399</v>
      </c>
      <c r="N1285" s="17">
        <v>866</v>
      </c>
      <c r="O1285" s="17">
        <v>563</v>
      </c>
      <c r="P1285" s="26">
        <f>(data[[#This Row],[LoadedMiles]]/data[[#This Row],[TotalMiles]])*100</f>
        <v>65.011547344110852</v>
      </c>
      <c r="Q1285" s="25">
        <f>data[[#This Row],[ShippingCost]]/data[[#This Row],[TotalMiles]]</f>
        <v>4.4399538106235568</v>
      </c>
      <c r="R1285" s="17">
        <v>3845</v>
      </c>
      <c r="S1285" s="25">
        <f>data[[#This Row],[Revenue]]/data[[#This Row],[TotalMiles]]</f>
        <v>4.8152424942263279</v>
      </c>
      <c r="T1285" s="26">
        <f>data[[#This Row],[Revenue]]-data[[#This Row],[ShippingCost]]</f>
        <v>325</v>
      </c>
      <c r="U1285" s="17">
        <v>4170</v>
      </c>
      <c r="V1285" s="17">
        <v>98</v>
      </c>
      <c r="W1285" s="17" t="s">
        <v>25</v>
      </c>
      <c r="X1285" s="17">
        <v>4</v>
      </c>
      <c r="Y1285" s="17">
        <f>data[[#This Row],[DeliveryDate]]-data[[#This Row],[ShipDate]]</f>
        <v>2</v>
      </c>
      <c r="Z1285" s="17" t="str">
        <f>IF(data[[#This Row],[Actual Delivery Days]]&gt;AD1286,"Yes","No")</f>
        <v>Yes</v>
      </c>
    </row>
    <row r="1286" spans="1:26">
      <c r="A1286" s="17">
        <v>10630</v>
      </c>
      <c r="B1286" s="17">
        <v>1</v>
      </c>
      <c r="C1286" s="17">
        <v>8</v>
      </c>
      <c r="D1286" s="17" t="s">
        <v>182</v>
      </c>
      <c r="E1286" s="17" t="s">
        <v>283</v>
      </c>
      <c r="F1286" s="17" t="str">
        <f>TEXT(data[[#This Row],[ShipDate]],"yyyy - mmmm")</f>
        <v>2016 - June</v>
      </c>
      <c r="G1286" s="17" t="str">
        <f>data[[#This Row],[OriginCity]] &amp; " - "  &amp; data[[#This Row],[DestinationCity]]</f>
        <v>Monon - Lansing</v>
      </c>
      <c r="H1286" s="17" t="s">
        <v>53</v>
      </c>
      <c r="I1286" s="17" t="s">
        <v>44</v>
      </c>
      <c r="J1286" s="17">
        <v>2</v>
      </c>
      <c r="K1286" s="17" t="s">
        <v>66</v>
      </c>
      <c r="L1286" s="17" t="s">
        <v>21</v>
      </c>
      <c r="M1286" s="17" t="s">
        <v>444</v>
      </c>
      <c r="N1286" s="17">
        <v>337</v>
      </c>
      <c r="O1286" s="17">
        <v>337</v>
      </c>
      <c r="P1286" s="26">
        <f>(data[[#This Row],[LoadedMiles]]/data[[#This Row],[TotalMiles]])*100</f>
        <v>100</v>
      </c>
      <c r="Q1286" s="25">
        <f>data[[#This Row],[ShippingCost]]/data[[#This Row],[TotalMiles]]</f>
        <v>19.427299703264094</v>
      </c>
      <c r="R1286" s="17">
        <v>6547</v>
      </c>
      <c r="S1286" s="25">
        <f>data[[#This Row],[Revenue]]/data[[#This Row],[TotalMiles]]</f>
        <v>21.857566765578635</v>
      </c>
      <c r="T1286" s="26">
        <f>data[[#This Row],[Revenue]]-data[[#This Row],[ShippingCost]]</f>
        <v>819</v>
      </c>
      <c r="U1286" s="17">
        <v>7366</v>
      </c>
      <c r="V1286" s="17">
        <v>64</v>
      </c>
      <c r="W1286" s="17" t="s">
        <v>25</v>
      </c>
      <c r="X1286" s="17">
        <v>9</v>
      </c>
      <c r="Y1286" s="17">
        <f>data[[#This Row],[DeliveryDate]]-data[[#This Row],[ShipDate]]</f>
        <v>2</v>
      </c>
      <c r="Z1286" s="17" t="str">
        <f>IF(data[[#This Row],[Actual Delivery Days]]&gt;AD1287,"Yes","No")</f>
        <v>Yes</v>
      </c>
    </row>
    <row r="1287" spans="1:26">
      <c r="A1287" s="17">
        <v>10633</v>
      </c>
      <c r="B1287" s="17">
        <v>2</v>
      </c>
      <c r="C1287" s="17">
        <v>6</v>
      </c>
      <c r="D1287" s="17" t="s">
        <v>189</v>
      </c>
      <c r="E1287" s="17" t="s">
        <v>391</v>
      </c>
      <c r="F1287" s="17" t="str">
        <f>TEXT(data[[#This Row],[ShipDate]],"yyyy - mmmm")</f>
        <v>2016 - March</v>
      </c>
      <c r="G1287" s="17" t="str">
        <f>data[[#This Row],[OriginCity]] &amp; " - "  &amp; data[[#This Row],[DestinationCity]]</f>
        <v>Naperville - Indianapolis</v>
      </c>
      <c r="H1287" s="17" t="s">
        <v>48</v>
      </c>
      <c r="I1287" s="17" t="s">
        <v>31</v>
      </c>
      <c r="J1287" s="17">
        <v>2</v>
      </c>
      <c r="K1287" s="17" t="s">
        <v>43</v>
      </c>
      <c r="L1287" s="17" t="s">
        <v>44</v>
      </c>
      <c r="M1287" s="17" t="s">
        <v>352</v>
      </c>
      <c r="N1287" s="17">
        <v>380</v>
      </c>
      <c r="O1287" s="17">
        <v>380</v>
      </c>
      <c r="P1287" s="26">
        <f>(data[[#This Row],[LoadedMiles]]/data[[#This Row],[TotalMiles]])*100</f>
        <v>100</v>
      </c>
      <c r="Q1287" s="25">
        <f>data[[#This Row],[ShippingCost]]/data[[#This Row],[TotalMiles]]</f>
        <v>5.0263157894736841</v>
      </c>
      <c r="R1287" s="17">
        <v>1910</v>
      </c>
      <c r="S1287" s="25">
        <f>data[[#This Row],[Revenue]]/data[[#This Row],[TotalMiles]]</f>
        <v>5.439473684210526</v>
      </c>
      <c r="T1287" s="26">
        <f>data[[#This Row],[Revenue]]-data[[#This Row],[ShippingCost]]</f>
        <v>157</v>
      </c>
      <c r="U1287" s="17">
        <v>2067</v>
      </c>
      <c r="V1287" s="17">
        <v>97</v>
      </c>
      <c r="W1287" s="17" t="s">
        <v>25</v>
      </c>
      <c r="X1287" s="17">
        <v>6</v>
      </c>
      <c r="Y1287" s="17">
        <f>data[[#This Row],[DeliveryDate]]-data[[#This Row],[ShipDate]]</f>
        <v>1</v>
      </c>
      <c r="Z1287" s="17" t="str">
        <f>IF(data[[#This Row],[Actual Delivery Days]]&gt;AD1288,"Yes","No")</f>
        <v>Yes</v>
      </c>
    </row>
    <row r="1288" spans="1:26">
      <c r="A1288" s="17">
        <v>10639</v>
      </c>
      <c r="B1288" s="17">
        <v>1</v>
      </c>
      <c r="C1288" s="17">
        <v>8</v>
      </c>
      <c r="D1288" s="17" t="s">
        <v>203</v>
      </c>
      <c r="E1288" s="17" t="s">
        <v>453</v>
      </c>
      <c r="F1288" s="17" t="str">
        <f>TEXT(data[[#This Row],[ShipDate]],"yyyy - mmmm")</f>
        <v>2016 - March</v>
      </c>
      <c r="G1288" s="17" t="str">
        <f>data[[#This Row],[OriginCity]] &amp; " - "  &amp; data[[#This Row],[DestinationCity]]</f>
        <v>Lansing - Dayton</v>
      </c>
      <c r="H1288" s="17" t="s">
        <v>66</v>
      </c>
      <c r="I1288" s="17" t="s">
        <v>21</v>
      </c>
      <c r="J1288" s="17">
        <v>2</v>
      </c>
      <c r="K1288" s="17" t="s">
        <v>93</v>
      </c>
      <c r="L1288" s="17" t="s">
        <v>23</v>
      </c>
      <c r="M1288" s="17" t="s">
        <v>272</v>
      </c>
      <c r="N1288" s="17">
        <v>392</v>
      </c>
      <c r="O1288" s="17">
        <v>392</v>
      </c>
      <c r="P1288" s="26">
        <f>(data[[#This Row],[LoadedMiles]]/data[[#This Row],[TotalMiles]])*100</f>
        <v>100</v>
      </c>
      <c r="Q1288" s="25">
        <f>data[[#This Row],[ShippingCost]]/data[[#This Row],[TotalMiles]]</f>
        <v>10.892857142857142</v>
      </c>
      <c r="R1288" s="17">
        <v>4270</v>
      </c>
      <c r="S1288" s="25">
        <f>data[[#This Row],[Revenue]]/data[[#This Row],[TotalMiles]]</f>
        <v>11.581632653061224</v>
      </c>
      <c r="T1288" s="26">
        <f>data[[#This Row],[Revenue]]-data[[#This Row],[ShippingCost]]</f>
        <v>270</v>
      </c>
      <c r="U1288" s="17">
        <v>4540</v>
      </c>
      <c r="V1288" s="17">
        <v>99</v>
      </c>
      <c r="W1288" s="17" t="s">
        <v>86</v>
      </c>
      <c r="X1288" s="17">
        <v>2</v>
      </c>
      <c r="Y1288" s="17">
        <f>data[[#This Row],[DeliveryDate]]-data[[#This Row],[ShipDate]]</f>
        <v>2</v>
      </c>
      <c r="Z1288" s="17" t="str">
        <f>IF(data[[#This Row],[Actual Delivery Days]]&gt;AD1289,"Yes","No")</f>
        <v>Yes</v>
      </c>
    </row>
    <row r="1289" spans="1:26">
      <c r="A1289" s="17">
        <v>10640</v>
      </c>
      <c r="B1289" s="17">
        <v>1</v>
      </c>
      <c r="C1289" s="17">
        <v>8</v>
      </c>
      <c r="D1289" s="17" t="s">
        <v>205</v>
      </c>
      <c r="E1289" s="17" t="s">
        <v>209</v>
      </c>
      <c r="F1289" s="17" t="str">
        <f>TEXT(data[[#This Row],[ShipDate]],"yyyy - mmmm")</f>
        <v>2016 - March</v>
      </c>
      <c r="G1289" s="17" t="str">
        <f>data[[#This Row],[OriginCity]] &amp; " - "  &amp; data[[#This Row],[DestinationCity]]</f>
        <v>Bangor - Davenport</v>
      </c>
      <c r="H1289" s="17" t="s">
        <v>104</v>
      </c>
      <c r="I1289" s="17" t="s">
        <v>21</v>
      </c>
      <c r="J1289" s="17">
        <v>2</v>
      </c>
      <c r="K1289" s="17" t="s">
        <v>105</v>
      </c>
      <c r="L1289" s="17" t="s">
        <v>106</v>
      </c>
      <c r="M1289" s="17" t="s">
        <v>352</v>
      </c>
      <c r="N1289" s="17">
        <v>390</v>
      </c>
      <c r="O1289" s="17">
        <v>390</v>
      </c>
      <c r="P1289" s="26">
        <f>(data[[#This Row],[LoadedMiles]]/data[[#This Row],[TotalMiles]])*100</f>
        <v>100</v>
      </c>
      <c r="Q1289" s="25">
        <f>data[[#This Row],[ShippingCost]]/data[[#This Row],[TotalMiles]]</f>
        <v>11.77948717948718</v>
      </c>
      <c r="R1289" s="17">
        <v>4594</v>
      </c>
      <c r="S1289" s="25">
        <f>data[[#This Row],[Revenue]]/data[[#This Row],[TotalMiles]]</f>
        <v>12.707692307692307</v>
      </c>
      <c r="T1289" s="26">
        <f>data[[#This Row],[Revenue]]-data[[#This Row],[ShippingCost]]</f>
        <v>362</v>
      </c>
      <c r="U1289" s="17">
        <v>4956</v>
      </c>
      <c r="V1289" s="17">
        <v>54</v>
      </c>
      <c r="W1289" s="17" t="s">
        <v>25</v>
      </c>
      <c r="X1289" s="17">
        <v>4</v>
      </c>
      <c r="Y1289" s="17">
        <f>data[[#This Row],[DeliveryDate]]-data[[#This Row],[ShipDate]]</f>
        <v>2</v>
      </c>
      <c r="Z1289" s="17" t="str">
        <f>IF(data[[#This Row],[Actual Delivery Days]]&gt;AD1290,"Yes","No")</f>
        <v>Yes</v>
      </c>
    </row>
    <row r="1290" spans="1:26">
      <c r="A1290" s="17">
        <v>10645</v>
      </c>
      <c r="B1290" s="17">
        <v>2</v>
      </c>
      <c r="C1290" s="17">
        <v>5</v>
      </c>
      <c r="D1290" s="17" t="s">
        <v>219</v>
      </c>
      <c r="E1290" s="17" t="s">
        <v>261</v>
      </c>
      <c r="F1290" s="17" t="str">
        <f>TEXT(data[[#This Row],[ShipDate]],"yyyy - mmmm")</f>
        <v>2016 - May</v>
      </c>
      <c r="G1290" s="17" t="str">
        <f>data[[#This Row],[OriginCity]] &amp; " - "  &amp; data[[#This Row],[DestinationCity]]</f>
        <v>Milwaukee - Springfield</v>
      </c>
      <c r="H1290" s="17" t="s">
        <v>28</v>
      </c>
      <c r="I1290" s="17" t="s">
        <v>29</v>
      </c>
      <c r="J1290" s="17">
        <v>2</v>
      </c>
      <c r="K1290" s="17" t="s">
        <v>30</v>
      </c>
      <c r="L1290" s="17" t="s">
        <v>31</v>
      </c>
      <c r="M1290" s="17" t="s">
        <v>248</v>
      </c>
      <c r="N1290" s="17">
        <v>295</v>
      </c>
      <c r="O1290" s="17">
        <v>295</v>
      </c>
      <c r="P1290" s="26">
        <f>(data[[#This Row],[LoadedMiles]]/data[[#This Row],[TotalMiles]])*100</f>
        <v>100</v>
      </c>
      <c r="Q1290" s="25">
        <f>data[[#This Row],[ShippingCost]]/data[[#This Row],[TotalMiles]]</f>
        <v>2.1898305084745764</v>
      </c>
      <c r="R1290" s="17">
        <v>646</v>
      </c>
      <c r="S1290" s="25">
        <f>data[[#This Row],[Revenue]]/data[[#This Row],[TotalMiles]]</f>
        <v>4.3694915254237285</v>
      </c>
      <c r="T1290" s="26">
        <f>data[[#This Row],[Revenue]]-data[[#This Row],[ShippingCost]]</f>
        <v>643</v>
      </c>
      <c r="U1290" s="17">
        <v>1289</v>
      </c>
      <c r="V1290" s="17">
        <v>83</v>
      </c>
      <c r="W1290" s="17" t="s">
        <v>25</v>
      </c>
      <c r="X1290" s="17">
        <v>1</v>
      </c>
      <c r="Y1290" s="17">
        <f>data[[#This Row],[DeliveryDate]]-data[[#This Row],[ShipDate]]</f>
        <v>2</v>
      </c>
      <c r="Z1290" s="17" t="str">
        <f>IF(data[[#This Row],[Actual Delivery Days]]&gt;AD1291,"Yes","No")</f>
        <v>Yes</v>
      </c>
    </row>
    <row r="1291" spans="1:26">
      <c r="A1291" s="17">
        <v>10650</v>
      </c>
      <c r="B1291" s="17">
        <v>1</v>
      </c>
      <c r="C1291" s="17">
        <v>6</v>
      </c>
      <c r="D1291" s="17" t="s">
        <v>230</v>
      </c>
      <c r="E1291" s="17" t="s">
        <v>352</v>
      </c>
      <c r="F1291" s="17" t="str">
        <f>TEXT(data[[#This Row],[ShipDate]],"yyyy - mmmm")</f>
        <v>2016 - March</v>
      </c>
      <c r="G1291" s="17" t="str">
        <f>data[[#This Row],[OriginCity]] &amp; " - "  &amp; data[[#This Row],[DestinationCity]]</f>
        <v>Detriot - Monon</v>
      </c>
      <c r="H1291" s="17" t="s">
        <v>52</v>
      </c>
      <c r="I1291" s="17" t="s">
        <v>21</v>
      </c>
      <c r="J1291" s="17">
        <v>2</v>
      </c>
      <c r="K1291" s="17" t="s">
        <v>53</v>
      </c>
      <c r="L1291" s="17" t="s">
        <v>44</v>
      </c>
      <c r="M1291" s="17" t="s">
        <v>353</v>
      </c>
      <c r="N1291" s="17">
        <v>1143</v>
      </c>
      <c r="O1291" s="17">
        <v>563</v>
      </c>
      <c r="P1291" s="26">
        <f>(data[[#This Row],[LoadedMiles]]/data[[#This Row],[TotalMiles]])*100</f>
        <v>49.256342957130364</v>
      </c>
      <c r="Q1291" s="25">
        <f>data[[#This Row],[ShippingCost]]/data[[#This Row],[TotalMiles]]</f>
        <v>6.8958880139982499</v>
      </c>
      <c r="R1291" s="17">
        <v>7882</v>
      </c>
      <c r="S1291" s="25">
        <f>data[[#This Row],[Revenue]]/data[[#This Row],[TotalMiles]]</f>
        <v>7.2327209098862646</v>
      </c>
      <c r="T1291" s="26">
        <f>data[[#This Row],[Revenue]]-data[[#This Row],[ShippingCost]]</f>
        <v>385</v>
      </c>
      <c r="U1291" s="17">
        <v>8267</v>
      </c>
      <c r="V1291" s="17">
        <v>61</v>
      </c>
      <c r="W1291" s="17" t="s">
        <v>25</v>
      </c>
      <c r="X1291" s="17">
        <v>2</v>
      </c>
      <c r="Y1291" s="17">
        <f>data[[#This Row],[DeliveryDate]]-data[[#This Row],[ShipDate]]</f>
        <v>2</v>
      </c>
      <c r="Z1291" s="17" t="str">
        <f>IF(data[[#This Row],[Actual Delivery Days]]&gt;AD1292,"Yes","No")</f>
        <v>Yes</v>
      </c>
    </row>
    <row r="1292" spans="1:26">
      <c r="A1292" s="17">
        <v>10658</v>
      </c>
      <c r="B1292" s="17">
        <v>2</v>
      </c>
      <c r="C1292" s="17">
        <v>6</v>
      </c>
      <c r="D1292" s="17" t="s">
        <v>249</v>
      </c>
      <c r="E1292" s="17" t="s">
        <v>212</v>
      </c>
      <c r="F1292" s="17" t="str">
        <f>TEXT(data[[#This Row],[ShipDate]],"yyyy - mmmm")</f>
        <v>2016 - August</v>
      </c>
      <c r="G1292" s="17" t="str">
        <f>data[[#This Row],[OriginCity]] &amp; " - "  &amp; data[[#This Row],[DestinationCity]]</f>
        <v>Cincinnati - Gary</v>
      </c>
      <c r="H1292" s="17" t="s">
        <v>89</v>
      </c>
      <c r="I1292" s="17" t="s">
        <v>23</v>
      </c>
      <c r="J1292" s="17">
        <v>2</v>
      </c>
      <c r="K1292" s="17" t="s">
        <v>57</v>
      </c>
      <c r="L1292" s="17" t="s">
        <v>44</v>
      </c>
      <c r="M1292" s="17" t="s">
        <v>214</v>
      </c>
      <c r="N1292" s="17">
        <v>1005</v>
      </c>
      <c r="O1292" s="17">
        <v>529</v>
      </c>
      <c r="P1292" s="26">
        <f>(data[[#This Row],[LoadedMiles]]/data[[#This Row],[TotalMiles]])*100</f>
        <v>52.636815920398007</v>
      </c>
      <c r="Q1292" s="25">
        <f>data[[#This Row],[ShippingCost]]/data[[#This Row],[TotalMiles]]</f>
        <v>6.9492537313432834</v>
      </c>
      <c r="R1292" s="17">
        <v>6984</v>
      </c>
      <c r="S1292" s="25">
        <f>data[[#This Row],[Revenue]]/data[[#This Row],[TotalMiles]]</f>
        <v>7.3233830845771148</v>
      </c>
      <c r="T1292" s="26">
        <f>data[[#This Row],[Revenue]]-data[[#This Row],[ShippingCost]]</f>
        <v>376</v>
      </c>
      <c r="U1292" s="17">
        <v>7360</v>
      </c>
      <c r="V1292" s="17">
        <v>81</v>
      </c>
      <c r="W1292" s="17" t="s">
        <v>25</v>
      </c>
      <c r="X1292" s="17">
        <v>2</v>
      </c>
      <c r="Y1292" s="17">
        <f>data[[#This Row],[DeliveryDate]]-data[[#This Row],[ShipDate]]</f>
        <v>2</v>
      </c>
      <c r="Z1292" s="17" t="str">
        <f>IF(data[[#This Row],[Actual Delivery Days]]&gt;AD1293,"Yes","No")</f>
        <v>Yes</v>
      </c>
    </row>
    <row r="1293" spans="1:26">
      <c r="A1293" s="17">
        <v>10659</v>
      </c>
      <c r="B1293" s="17">
        <v>1</v>
      </c>
      <c r="C1293" s="17">
        <v>4</v>
      </c>
      <c r="D1293" s="17" t="s">
        <v>250</v>
      </c>
      <c r="E1293" s="17" t="s">
        <v>350</v>
      </c>
      <c r="F1293" s="17" t="str">
        <f>TEXT(data[[#This Row],[ShipDate]],"yyyy - mmmm")</f>
        <v>2016 - May</v>
      </c>
      <c r="G1293" s="17" t="str">
        <f>data[[#This Row],[OriginCity]] &amp; " - "  &amp; data[[#This Row],[DestinationCity]]</f>
        <v>Dayton - Elgin</v>
      </c>
      <c r="H1293" s="17" t="s">
        <v>93</v>
      </c>
      <c r="I1293" s="17" t="s">
        <v>23</v>
      </c>
      <c r="J1293" s="17">
        <v>2</v>
      </c>
      <c r="K1293" s="17" t="s">
        <v>94</v>
      </c>
      <c r="L1293" s="17" t="s">
        <v>31</v>
      </c>
      <c r="M1293" s="17" t="s">
        <v>84</v>
      </c>
      <c r="N1293" s="17">
        <v>851</v>
      </c>
      <c r="O1293" s="17">
        <v>733</v>
      </c>
      <c r="P1293" s="26">
        <f>(data[[#This Row],[LoadedMiles]]/data[[#This Row],[TotalMiles]])*100</f>
        <v>86.133960047003526</v>
      </c>
      <c r="Q1293" s="25">
        <f>data[[#This Row],[ShippingCost]]/data[[#This Row],[TotalMiles]]</f>
        <v>3.2984723854289073</v>
      </c>
      <c r="R1293" s="17">
        <v>2807</v>
      </c>
      <c r="S1293" s="25">
        <f>data[[#This Row],[Revenue]]/data[[#This Row],[TotalMiles]]</f>
        <v>0.63102232667450053</v>
      </c>
      <c r="T1293" s="26">
        <f>data[[#This Row],[Revenue]]-data[[#This Row],[ShippingCost]]</f>
        <v>-2270</v>
      </c>
      <c r="U1293" s="17">
        <v>537</v>
      </c>
      <c r="V1293" s="17">
        <v>82</v>
      </c>
      <c r="W1293" s="17" t="s">
        <v>25</v>
      </c>
      <c r="X1293" s="17">
        <v>5</v>
      </c>
      <c r="Y1293" s="17">
        <f>data[[#This Row],[DeliveryDate]]-data[[#This Row],[ShipDate]]</f>
        <v>2</v>
      </c>
      <c r="Z1293" s="17" t="str">
        <f>IF(data[[#This Row],[Actual Delivery Days]]&gt;AD1294,"Yes","No")</f>
        <v>Yes</v>
      </c>
    </row>
    <row r="1294" spans="1:26">
      <c r="A1294" s="17">
        <v>10663</v>
      </c>
      <c r="B1294" s="17">
        <v>2</v>
      </c>
      <c r="C1294" s="17">
        <v>7</v>
      </c>
      <c r="D1294" s="17" t="s">
        <v>258</v>
      </c>
      <c r="E1294" s="17" t="s">
        <v>324</v>
      </c>
      <c r="F1294" s="17" t="str">
        <f>TEXT(data[[#This Row],[ShipDate]],"yyyy - mmmm")</f>
        <v>2016 - March</v>
      </c>
      <c r="G1294" s="17" t="str">
        <f>data[[#This Row],[OriginCity]] &amp; " - "  &amp; data[[#This Row],[DestinationCity]]</f>
        <v>Elgin - Cincinnati</v>
      </c>
      <c r="H1294" s="17" t="s">
        <v>94</v>
      </c>
      <c r="I1294" s="17" t="s">
        <v>31</v>
      </c>
      <c r="J1294" s="17">
        <v>2</v>
      </c>
      <c r="K1294" s="17" t="s">
        <v>89</v>
      </c>
      <c r="L1294" s="17" t="s">
        <v>23</v>
      </c>
      <c r="M1294" s="17" t="s">
        <v>324</v>
      </c>
      <c r="N1294" s="17">
        <v>1197</v>
      </c>
      <c r="O1294" s="17">
        <v>234</v>
      </c>
      <c r="P1294" s="26">
        <f>(data[[#This Row],[LoadedMiles]]/data[[#This Row],[TotalMiles]])*100</f>
        <v>19.548872180451127</v>
      </c>
      <c r="Q1294" s="25">
        <f>data[[#This Row],[ShippingCost]]/data[[#This Row],[TotalMiles]]</f>
        <v>5.0284043441938175</v>
      </c>
      <c r="R1294" s="17">
        <v>6019</v>
      </c>
      <c r="S1294" s="25">
        <f>data[[#This Row],[Revenue]]/data[[#This Row],[TotalMiles]]</f>
        <v>5.1712614870509608</v>
      </c>
      <c r="T1294" s="26">
        <f>data[[#This Row],[Revenue]]-data[[#This Row],[ShippingCost]]</f>
        <v>171</v>
      </c>
      <c r="U1294" s="17">
        <v>6190</v>
      </c>
      <c r="V1294" s="17">
        <v>58</v>
      </c>
      <c r="W1294" s="17" t="s">
        <v>25</v>
      </c>
      <c r="X1294" s="17">
        <v>2</v>
      </c>
      <c r="Y1294" s="17">
        <f>data[[#This Row],[DeliveryDate]]-data[[#This Row],[ShipDate]]</f>
        <v>0</v>
      </c>
      <c r="Z1294" s="17" t="str">
        <f>IF(data[[#This Row],[Actual Delivery Days]]&gt;AD1295,"Yes","No")</f>
        <v>No</v>
      </c>
    </row>
    <row r="1295" spans="1:26">
      <c r="A1295" s="17">
        <v>10671</v>
      </c>
      <c r="B1295" s="17">
        <v>1</v>
      </c>
      <c r="C1295" s="17">
        <v>7</v>
      </c>
      <c r="D1295" s="17" t="s">
        <v>273</v>
      </c>
      <c r="E1295" s="17" t="s">
        <v>293</v>
      </c>
      <c r="F1295" s="17" t="str">
        <f>TEXT(data[[#This Row],[ShipDate]],"yyyy - mmmm")</f>
        <v>2016 - June</v>
      </c>
      <c r="G1295" s="17" t="str">
        <f>data[[#This Row],[OriginCity]] &amp; " - "  &amp; data[[#This Row],[DestinationCity]]</f>
        <v>Indianapolis - Northbrook</v>
      </c>
      <c r="H1295" s="17" t="s">
        <v>43</v>
      </c>
      <c r="I1295" s="17" t="s">
        <v>44</v>
      </c>
      <c r="J1295" s="17">
        <v>2</v>
      </c>
      <c r="K1295" s="17" t="s">
        <v>45</v>
      </c>
      <c r="L1295" s="17" t="s">
        <v>31</v>
      </c>
      <c r="M1295" s="17" t="s">
        <v>293</v>
      </c>
      <c r="N1295" s="17">
        <v>785</v>
      </c>
      <c r="O1295" s="17">
        <v>712</v>
      </c>
      <c r="P1295" s="26">
        <f>(data[[#This Row],[LoadedMiles]]/data[[#This Row],[TotalMiles]])*100</f>
        <v>90.70063694267516</v>
      </c>
      <c r="Q1295" s="25">
        <f>data[[#This Row],[ShippingCost]]/data[[#This Row],[TotalMiles]]</f>
        <v>9.9961783439490439</v>
      </c>
      <c r="R1295" s="17">
        <v>7847</v>
      </c>
      <c r="S1295" s="25">
        <f>data[[#This Row],[Revenue]]/data[[#This Row],[TotalMiles]]</f>
        <v>10.686624203821657</v>
      </c>
      <c r="T1295" s="26">
        <f>data[[#This Row],[Revenue]]-data[[#This Row],[ShippingCost]]</f>
        <v>542</v>
      </c>
      <c r="U1295" s="17">
        <v>8389</v>
      </c>
      <c r="V1295" s="17">
        <v>61</v>
      </c>
      <c r="W1295" s="17" t="s">
        <v>25</v>
      </c>
      <c r="X1295" s="17">
        <v>8</v>
      </c>
      <c r="Y1295" s="17">
        <f>data[[#This Row],[DeliveryDate]]-data[[#This Row],[ShipDate]]</f>
        <v>0</v>
      </c>
      <c r="Z1295" s="17" t="str">
        <f>IF(data[[#This Row],[Actual Delivery Days]]&gt;AD1296,"Yes","No")</f>
        <v>No</v>
      </c>
    </row>
    <row r="1296" spans="1:26">
      <c r="A1296" s="17">
        <v>10675</v>
      </c>
      <c r="B1296" s="17">
        <v>2</v>
      </c>
      <c r="C1296" s="17">
        <v>8</v>
      </c>
      <c r="D1296" s="17" t="s">
        <v>284</v>
      </c>
      <c r="E1296" s="17" t="s">
        <v>422</v>
      </c>
      <c r="F1296" s="17" t="str">
        <f>TEXT(data[[#This Row],[ShipDate]],"yyyy - mmmm")</f>
        <v>2016 - August</v>
      </c>
      <c r="G1296" s="17" t="str">
        <f>data[[#This Row],[OriginCity]] &amp; " - "  &amp; data[[#This Row],[DestinationCity]]</f>
        <v>Madison - Kalamazoo</v>
      </c>
      <c r="H1296" s="17" t="s">
        <v>62</v>
      </c>
      <c r="I1296" s="17" t="s">
        <v>29</v>
      </c>
      <c r="J1296" s="17">
        <v>2</v>
      </c>
      <c r="K1296" s="17" t="s">
        <v>71</v>
      </c>
      <c r="L1296" s="17" t="s">
        <v>21</v>
      </c>
      <c r="M1296" s="17" t="s">
        <v>142</v>
      </c>
      <c r="N1296" s="17">
        <v>410</v>
      </c>
      <c r="O1296" s="17">
        <v>410</v>
      </c>
      <c r="P1296" s="26">
        <f>(data[[#This Row],[LoadedMiles]]/data[[#This Row],[TotalMiles]])*100</f>
        <v>100</v>
      </c>
      <c r="Q1296" s="25">
        <f>data[[#This Row],[ShippingCost]]/data[[#This Row],[TotalMiles]]</f>
        <v>18.131707317073172</v>
      </c>
      <c r="R1296" s="17">
        <v>7434</v>
      </c>
      <c r="S1296" s="25">
        <f>data[[#This Row],[Revenue]]/data[[#This Row],[TotalMiles]]</f>
        <v>18.746341463414634</v>
      </c>
      <c r="T1296" s="26">
        <f>data[[#This Row],[Revenue]]-data[[#This Row],[ShippingCost]]</f>
        <v>252</v>
      </c>
      <c r="U1296" s="17">
        <v>7686</v>
      </c>
      <c r="V1296" s="17">
        <v>55</v>
      </c>
      <c r="W1296" s="17" t="s">
        <v>86</v>
      </c>
      <c r="X1296" s="17">
        <v>9</v>
      </c>
      <c r="Y1296" s="17">
        <f>data[[#This Row],[DeliveryDate]]-data[[#This Row],[ShipDate]]</f>
        <v>2</v>
      </c>
      <c r="Z1296" s="17" t="str">
        <f>IF(data[[#This Row],[Actual Delivery Days]]&gt;AD1297,"Yes","No")</f>
        <v>Yes</v>
      </c>
    </row>
    <row r="1297" spans="1:26">
      <c r="A1297" s="17">
        <v>10676</v>
      </c>
      <c r="B1297" s="17">
        <v>1</v>
      </c>
      <c r="C1297" s="17">
        <v>8</v>
      </c>
      <c r="D1297" s="17" t="s">
        <v>287</v>
      </c>
      <c r="E1297" s="17" t="s">
        <v>146</v>
      </c>
      <c r="F1297" s="17" t="str">
        <f>TEXT(data[[#This Row],[ShipDate]],"yyyy - mmmm")</f>
        <v>2016 - June</v>
      </c>
      <c r="G1297" s="17" t="str">
        <f>data[[#This Row],[OriginCity]] &amp; " - "  &amp; data[[#This Row],[DestinationCity]]</f>
        <v>Green Bay - Joliet</v>
      </c>
      <c r="H1297" s="17" t="s">
        <v>75</v>
      </c>
      <c r="I1297" s="17" t="s">
        <v>29</v>
      </c>
      <c r="J1297" s="17">
        <v>2</v>
      </c>
      <c r="K1297" s="17" t="s">
        <v>61</v>
      </c>
      <c r="L1297" s="17" t="s">
        <v>31</v>
      </c>
      <c r="M1297" s="17" t="s">
        <v>315</v>
      </c>
      <c r="N1297" s="17">
        <v>955</v>
      </c>
      <c r="O1297" s="17">
        <v>234</v>
      </c>
      <c r="P1297" s="26">
        <f>(data[[#This Row],[LoadedMiles]]/data[[#This Row],[TotalMiles]])*100</f>
        <v>24.502617801047119</v>
      </c>
      <c r="Q1297" s="25">
        <f>data[[#This Row],[ShippingCost]]/data[[#This Row],[TotalMiles]]</f>
        <v>1.1612565445026177</v>
      </c>
      <c r="R1297" s="17">
        <v>1109</v>
      </c>
      <c r="S1297" s="25">
        <f>data[[#This Row],[Revenue]]/data[[#This Row],[TotalMiles]]</f>
        <v>2.0345549738219897</v>
      </c>
      <c r="T1297" s="26">
        <f>data[[#This Row],[Revenue]]-data[[#This Row],[ShippingCost]]</f>
        <v>834</v>
      </c>
      <c r="U1297" s="17">
        <v>1943</v>
      </c>
      <c r="V1297" s="17">
        <v>76</v>
      </c>
      <c r="W1297" s="17" t="s">
        <v>25</v>
      </c>
      <c r="X1297" s="17">
        <v>1</v>
      </c>
      <c r="Y1297" s="17">
        <f>data[[#This Row],[DeliveryDate]]-data[[#This Row],[ShipDate]]</f>
        <v>2</v>
      </c>
      <c r="Z1297" s="17" t="str">
        <f>IF(data[[#This Row],[Actual Delivery Days]]&gt;AD1298,"Yes","No")</f>
        <v>Yes</v>
      </c>
    </row>
    <row r="1298" spans="1:26">
      <c r="A1298" s="17">
        <v>10678</v>
      </c>
      <c r="B1298" s="17">
        <v>2</v>
      </c>
      <c r="C1298" s="17">
        <v>8</v>
      </c>
      <c r="D1298" s="17" t="s">
        <v>289</v>
      </c>
      <c r="E1298" s="17" t="s">
        <v>34</v>
      </c>
      <c r="F1298" s="17" t="str">
        <f>TEXT(data[[#This Row],[ShipDate]],"yyyy - mmmm")</f>
        <v>2016 - August</v>
      </c>
      <c r="G1298" s="17" t="str">
        <f>data[[#This Row],[OriginCity]] &amp; " - "  &amp; data[[#This Row],[DestinationCity]]</f>
        <v>Rockford - Green Bay</v>
      </c>
      <c r="H1298" s="17" t="s">
        <v>40</v>
      </c>
      <c r="I1298" s="17" t="s">
        <v>31</v>
      </c>
      <c r="J1298" s="17">
        <v>2</v>
      </c>
      <c r="K1298" s="17" t="s">
        <v>75</v>
      </c>
      <c r="L1298" s="17" t="s">
        <v>29</v>
      </c>
      <c r="M1298" s="17" t="s">
        <v>240</v>
      </c>
      <c r="N1298" s="17">
        <v>762</v>
      </c>
      <c r="O1298" s="17">
        <v>660</v>
      </c>
      <c r="P1298" s="26">
        <f>(data[[#This Row],[LoadedMiles]]/data[[#This Row],[TotalMiles]])*100</f>
        <v>86.614173228346459</v>
      </c>
      <c r="Q1298" s="25">
        <f>data[[#This Row],[ShippingCost]]/data[[#This Row],[TotalMiles]]</f>
        <v>9.3425196850393704</v>
      </c>
      <c r="R1298" s="17">
        <v>7119</v>
      </c>
      <c r="S1298" s="25">
        <f>data[[#This Row],[Revenue]]/data[[#This Row],[TotalMiles]]</f>
        <v>9.9356955380577432</v>
      </c>
      <c r="T1298" s="26">
        <f>data[[#This Row],[Revenue]]-data[[#This Row],[ShippingCost]]</f>
        <v>452</v>
      </c>
      <c r="U1298" s="17">
        <v>7571</v>
      </c>
      <c r="V1298" s="17">
        <v>99</v>
      </c>
      <c r="W1298" s="17" t="s">
        <v>25</v>
      </c>
      <c r="X1298" s="17">
        <v>8</v>
      </c>
      <c r="Y1298" s="17">
        <f>data[[#This Row],[DeliveryDate]]-data[[#This Row],[ShipDate]]</f>
        <v>2</v>
      </c>
      <c r="Z1298" s="17" t="str">
        <f>IF(data[[#This Row],[Actual Delivery Days]]&gt;AD1299,"Yes","No")</f>
        <v>Yes</v>
      </c>
    </row>
    <row r="1299" spans="1:26">
      <c r="A1299" s="17">
        <v>10681</v>
      </c>
      <c r="B1299" s="17">
        <v>1</v>
      </c>
      <c r="C1299" s="17">
        <v>8</v>
      </c>
      <c r="D1299" s="17" t="s">
        <v>295</v>
      </c>
      <c r="E1299" s="17" t="s">
        <v>152</v>
      </c>
      <c r="F1299" s="17" t="str">
        <f>TEXT(data[[#This Row],[ShipDate]],"yyyy - mmmm")</f>
        <v>2016 - January</v>
      </c>
      <c r="G1299" s="17" t="str">
        <f>data[[#This Row],[OriginCity]] &amp; " - "  &amp; data[[#This Row],[DestinationCity]]</f>
        <v>Dayton - Elgin</v>
      </c>
      <c r="H1299" s="17" t="s">
        <v>93</v>
      </c>
      <c r="I1299" s="17" t="s">
        <v>23</v>
      </c>
      <c r="J1299" s="17">
        <v>2</v>
      </c>
      <c r="K1299" s="17" t="s">
        <v>94</v>
      </c>
      <c r="L1299" s="17" t="s">
        <v>31</v>
      </c>
      <c r="M1299" s="17" t="s">
        <v>92</v>
      </c>
      <c r="N1299" s="17">
        <v>1070</v>
      </c>
      <c r="O1299" s="17">
        <v>738</v>
      </c>
      <c r="P1299" s="26">
        <f>(data[[#This Row],[LoadedMiles]]/data[[#This Row],[TotalMiles]])*100</f>
        <v>68.971962616822438</v>
      </c>
      <c r="Q1299" s="25">
        <f>data[[#This Row],[ShippingCost]]/data[[#This Row],[TotalMiles]]</f>
        <v>6.7663551401869162</v>
      </c>
      <c r="R1299" s="17">
        <v>7240</v>
      </c>
      <c r="S1299" s="25">
        <f>data[[#This Row],[Revenue]]/data[[#This Row],[TotalMiles]]</f>
        <v>7.0971962616822433</v>
      </c>
      <c r="T1299" s="26">
        <f>data[[#This Row],[Revenue]]-data[[#This Row],[ShippingCost]]</f>
        <v>354</v>
      </c>
      <c r="U1299" s="17">
        <v>7594</v>
      </c>
      <c r="V1299" s="17">
        <v>86</v>
      </c>
      <c r="W1299" s="17" t="s">
        <v>25</v>
      </c>
      <c r="X1299" s="17">
        <v>1</v>
      </c>
      <c r="Y1299" s="17">
        <f>data[[#This Row],[DeliveryDate]]-data[[#This Row],[ShipDate]]</f>
        <v>1</v>
      </c>
      <c r="Z1299" s="17" t="str">
        <f>IF(data[[#This Row],[Actual Delivery Days]]&gt;AD1300,"Yes","No")</f>
        <v>Yes</v>
      </c>
    </row>
    <row r="1300" spans="1:26">
      <c r="A1300" s="17">
        <v>10694</v>
      </c>
      <c r="B1300" s="17">
        <v>1</v>
      </c>
      <c r="C1300" s="17">
        <v>5</v>
      </c>
      <c r="D1300" s="17" t="s">
        <v>322</v>
      </c>
      <c r="E1300" s="17" t="s">
        <v>296</v>
      </c>
      <c r="F1300" s="17" t="str">
        <f>TEXT(data[[#This Row],[ShipDate]],"yyyy - mmmm")</f>
        <v>2016 - March</v>
      </c>
      <c r="G1300" s="17" t="str">
        <f>data[[#This Row],[OriginCity]] &amp; " - "  &amp; data[[#This Row],[DestinationCity]]</f>
        <v>Detriot - Monon</v>
      </c>
      <c r="H1300" s="17" t="s">
        <v>52</v>
      </c>
      <c r="I1300" s="17" t="s">
        <v>21</v>
      </c>
      <c r="J1300" s="17">
        <v>2</v>
      </c>
      <c r="K1300" s="17" t="s">
        <v>53</v>
      </c>
      <c r="L1300" s="17" t="s">
        <v>44</v>
      </c>
      <c r="M1300" s="17" t="s">
        <v>449</v>
      </c>
      <c r="N1300" s="17">
        <v>524</v>
      </c>
      <c r="O1300" s="17">
        <v>524</v>
      </c>
      <c r="P1300" s="26">
        <f>(data[[#This Row],[LoadedMiles]]/data[[#This Row],[TotalMiles]])*100</f>
        <v>100</v>
      </c>
      <c r="Q1300" s="25">
        <f>data[[#This Row],[ShippingCost]]/data[[#This Row],[TotalMiles]]</f>
        <v>13.064885496183207</v>
      </c>
      <c r="R1300" s="17">
        <v>6846</v>
      </c>
      <c r="S1300" s="25">
        <f>data[[#This Row],[Revenue]]/data[[#This Row],[TotalMiles]]</f>
        <v>14.431297709923664</v>
      </c>
      <c r="T1300" s="26">
        <f>data[[#This Row],[Revenue]]-data[[#This Row],[ShippingCost]]</f>
        <v>716</v>
      </c>
      <c r="U1300" s="17">
        <v>7562</v>
      </c>
      <c r="V1300" s="17">
        <v>74</v>
      </c>
      <c r="W1300" s="17" t="s">
        <v>86</v>
      </c>
      <c r="X1300" s="17">
        <v>2</v>
      </c>
      <c r="Y1300" s="17">
        <f>data[[#This Row],[DeliveryDate]]-data[[#This Row],[ShipDate]]</f>
        <v>2</v>
      </c>
      <c r="Z1300" s="17" t="str">
        <f>IF(data[[#This Row],[Actual Delivery Days]]&gt;AD1301,"Yes","No")</f>
        <v>Yes</v>
      </c>
    </row>
    <row r="1301" spans="1:26">
      <c r="A1301" s="17">
        <v>10696</v>
      </c>
      <c r="B1301" s="17">
        <v>1</v>
      </c>
      <c r="C1301" s="17">
        <v>8</v>
      </c>
      <c r="D1301" s="17" t="s">
        <v>326</v>
      </c>
      <c r="E1301" s="17" t="s">
        <v>97</v>
      </c>
      <c r="F1301" s="17" t="str">
        <f>TEXT(data[[#This Row],[ShipDate]],"yyyy - mmmm")</f>
        <v>2016 - April</v>
      </c>
      <c r="G1301" s="17" t="str">
        <f>data[[#This Row],[OriginCity]] &amp; " - "  &amp; data[[#This Row],[DestinationCity]]</f>
        <v>Monon - Lansing</v>
      </c>
      <c r="H1301" s="17" t="s">
        <v>53</v>
      </c>
      <c r="I1301" s="17" t="s">
        <v>44</v>
      </c>
      <c r="J1301" s="17">
        <v>2</v>
      </c>
      <c r="K1301" s="17" t="s">
        <v>66</v>
      </c>
      <c r="L1301" s="17" t="s">
        <v>21</v>
      </c>
      <c r="M1301" s="17" t="s">
        <v>98</v>
      </c>
      <c r="N1301" s="17">
        <v>463</v>
      </c>
      <c r="O1301" s="17">
        <v>384</v>
      </c>
      <c r="P1301" s="26">
        <f>(data[[#This Row],[LoadedMiles]]/data[[#This Row],[TotalMiles]])*100</f>
        <v>82.937365010799141</v>
      </c>
      <c r="Q1301" s="25">
        <f>data[[#This Row],[ShippingCost]]/data[[#This Row],[TotalMiles]]</f>
        <v>14.913606911447085</v>
      </c>
      <c r="R1301" s="17">
        <v>6905</v>
      </c>
      <c r="S1301" s="25">
        <f>data[[#This Row],[Revenue]]/data[[#This Row],[TotalMiles]]</f>
        <v>15.844492440604752</v>
      </c>
      <c r="T1301" s="26">
        <f>data[[#This Row],[Revenue]]-data[[#This Row],[ShippingCost]]</f>
        <v>431</v>
      </c>
      <c r="U1301" s="17">
        <v>7336</v>
      </c>
      <c r="V1301" s="17">
        <v>95</v>
      </c>
      <c r="W1301" s="17" t="s">
        <v>25</v>
      </c>
      <c r="X1301" s="17">
        <v>5</v>
      </c>
      <c r="Y1301" s="17">
        <f>data[[#This Row],[DeliveryDate]]-data[[#This Row],[ShipDate]]</f>
        <v>2</v>
      </c>
      <c r="Z1301" s="17" t="str">
        <f>IF(data[[#This Row],[Actual Delivery Days]]&gt;AD1302,"Yes","No")</f>
        <v>Yes</v>
      </c>
    </row>
    <row r="1302" spans="1:26">
      <c r="A1302" s="17">
        <v>10699</v>
      </c>
      <c r="B1302" s="17">
        <v>2</v>
      </c>
      <c r="C1302" s="17">
        <v>5</v>
      </c>
      <c r="D1302" s="17" t="s">
        <v>330</v>
      </c>
      <c r="E1302" s="17" t="s">
        <v>132</v>
      </c>
      <c r="F1302" s="17" t="str">
        <f>TEXT(data[[#This Row],[ShipDate]],"yyyy - mmmm")</f>
        <v>2016 - February</v>
      </c>
      <c r="G1302" s="17" t="str">
        <f>data[[#This Row],[OriginCity]] &amp; " - "  &amp; data[[#This Row],[DestinationCity]]</f>
        <v>Naperville - Indianapolis</v>
      </c>
      <c r="H1302" s="17" t="s">
        <v>48</v>
      </c>
      <c r="I1302" s="17" t="s">
        <v>31</v>
      </c>
      <c r="J1302" s="17">
        <v>2</v>
      </c>
      <c r="K1302" s="17" t="s">
        <v>43</v>
      </c>
      <c r="L1302" s="17" t="s">
        <v>44</v>
      </c>
      <c r="M1302" s="17" t="s">
        <v>206</v>
      </c>
      <c r="N1302" s="17">
        <v>1038</v>
      </c>
      <c r="O1302" s="17">
        <v>452</v>
      </c>
      <c r="P1302" s="26">
        <f>(data[[#This Row],[LoadedMiles]]/data[[#This Row],[TotalMiles]])*100</f>
        <v>43.545279383429673</v>
      </c>
      <c r="Q1302" s="25">
        <f>data[[#This Row],[ShippingCost]]/data[[#This Row],[TotalMiles]]</f>
        <v>2.4624277456647401</v>
      </c>
      <c r="R1302" s="17">
        <v>2556</v>
      </c>
      <c r="S1302" s="25">
        <f>data[[#This Row],[Revenue]]/data[[#This Row],[TotalMiles]]</f>
        <v>2.7533718689788054</v>
      </c>
      <c r="T1302" s="26">
        <f>data[[#This Row],[Revenue]]-data[[#This Row],[ShippingCost]]</f>
        <v>302</v>
      </c>
      <c r="U1302" s="17">
        <v>2858</v>
      </c>
      <c r="V1302" s="17">
        <v>73</v>
      </c>
      <c r="W1302" s="17" t="s">
        <v>25</v>
      </c>
      <c r="X1302" s="17">
        <v>10</v>
      </c>
      <c r="Y1302" s="17">
        <f>data[[#This Row],[DeliveryDate]]-data[[#This Row],[ShipDate]]</f>
        <v>1</v>
      </c>
      <c r="Z1302" s="17" t="str">
        <f>IF(data[[#This Row],[Actual Delivery Days]]&gt;AD1303,"Yes","No")</f>
        <v>Yes</v>
      </c>
    </row>
    <row r="1303" spans="1:26">
      <c r="A1303" s="17">
        <v>10704</v>
      </c>
      <c r="B1303" s="17">
        <v>1</v>
      </c>
      <c r="C1303" s="17">
        <v>6</v>
      </c>
      <c r="D1303" s="17" t="s">
        <v>338</v>
      </c>
      <c r="E1303" s="17" t="s">
        <v>100</v>
      </c>
      <c r="F1303" s="17" t="str">
        <f>TEXT(data[[#This Row],[ShipDate]],"yyyy - mmmm")</f>
        <v>2016 - April</v>
      </c>
      <c r="G1303" s="17" t="str">
        <f>data[[#This Row],[OriginCity]] &amp; " - "  &amp; data[[#This Row],[DestinationCity]]</f>
        <v>Toledo - Detriot</v>
      </c>
      <c r="H1303" s="17" t="s">
        <v>22</v>
      </c>
      <c r="I1303" s="17" t="s">
        <v>23</v>
      </c>
      <c r="J1303" s="17">
        <v>2</v>
      </c>
      <c r="K1303" s="17" t="s">
        <v>52</v>
      </c>
      <c r="L1303" s="17" t="s">
        <v>21</v>
      </c>
      <c r="M1303" s="17" t="s">
        <v>413</v>
      </c>
      <c r="N1303" s="17">
        <v>929</v>
      </c>
      <c r="O1303" s="17">
        <v>518</v>
      </c>
      <c r="P1303" s="26">
        <f>(data[[#This Row],[LoadedMiles]]/data[[#This Row],[TotalMiles]])*100</f>
        <v>55.758880516684606</v>
      </c>
      <c r="Q1303" s="25">
        <f>data[[#This Row],[ShippingCost]]/data[[#This Row],[TotalMiles]]</f>
        <v>0.98170075349838537</v>
      </c>
      <c r="R1303" s="17">
        <v>912</v>
      </c>
      <c r="S1303" s="25">
        <f>data[[#This Row],[Revenue]]/data[[#This Row],[TotalMiles]]</f>
        <v>1.4251883745963401</v>
      </c>
      <c r="T1303" s="26">
        <f>data[[#This Row],[Revenue]]-data[[#This Row],[ShippingCost]]</f>
        <v>412</v>
      </c>
      <c r="U1303" s="17">
        <v>1324</v>
      </c>
      <c r="V1303" s="17">
        <v>79</v>
      </c>
      <c r="W1303" s="17" t="s">
        <v>25</v>
      </c>
      <c r="X1303" s="17">
        <v>2</v>
      </c>
      <c r="Y1303" s="17">
        <f>data[[#This Row],[DeliveryDate]]-data[[#This Row],[ShipDate]]</f>
        <v>2</v>
      </c>
      <c r="Z1303" s="17" t="str">
        <f>IF(data[[#This Row],[Actual Delivery Days]]&gt;AD1304,"Yes","No")</f>
        <v>Yes</v>
      </c>
    </row>
    <row r="1304" spans="1:26">
      <c r="A1304" s="17">
        <v>10705</v>
      </c>
      <c r="B1304" s="17">
        <v>2</v>
      </c>
      <c r="C1304" s="17">
        <v>4</v>
      </c>
      <c r="D1304" s="17" t="s">
        <v>340</v>
      </c>
      <c r="E1304" s="17" t="s">
        <v>70</v>
      </c>
      <c r="F1304" s="17" t="str">
        <f>TEXT(data[[#This Row],[ShipDate]],"yyyy - mmmm")</f>
        <v>2016 - January</v>
      </c>
      <c r="G1304" s="17" t="str">
        <f>data[[#This Row],[OriginCity]] &amp; " - "  &amp; data[[#This Row],[DestinationCity]]</f>
        <v>Lansing - Dayton</v>
      </c>
      <c r="H1304" s="17" t="s">
        <v>66</v>
      </c>
      <c r="I1304" s="17" t="s">
        <v>21</v>
      </c>
      <c r="J1304" s="17">
        <v>2</v>
      </c>
      <c r="K1304" s="17" t="s">
        <v>93</v>
      </c>
      <c r="L1304" s="17" t="s">
        <v>23</v>
      </c>
      <c r="M1304" s="17" t="s">
        <v>263</v>
      </c>
      <c r="N1304" s="17">
        <v>1196</v>
      </c>
      <c r="O1304" s="17">
        <v>410</v>
      </c>
      <c r="P1304" s="26">
        <f>(data[[#This Row],[LoadedMiles]]/data[[#This Row],[TotalMiles]])*100</f>
        <v>34.280936454849495</v>
      </c>
      <c r="Q1304" s="25">
        <f>data[[#This Row],[ShippingCost]]/data[[#This Row],[TotalMiles]]</f>
        <v>6.8043478260869561</v>
      </c>
      <c r="R1304" s="17">
        <v>8138</v>
      </c>
      <c r="S1304" s="25">
        <f>data[[#This Row],[Revenue]]/data[[#This Row],[TotalMiles]]</f>
        <v>5.4648829431438131</v>
      </c>
      <c r="T1304" s="26">
        <f>data[[#This Row],[Revenue]]-data[[#This Row],[ShippingCost]]</f>
        <v>-1602</v>
      </c>
      <c r="U1304" s="17">
        <v>6536</v>
      </c>
      <c r="V1304" s="17">
        <v>89</v>
      </c>
      <c r="W1304" s="17" t="s">
        <v>25</v>
      </c>
      <c r="X1304" s="17">
        <v>8</v>
      </c>
      <c r="Y1304" s="17">
        <f>data[[#This Row],[DeliveryDate]]-data[[#This Row],[ShipDate]]</f>
        <v>2</v>
      </c>
      <c r="Z1304" s="17" t="str">
        <f>IF(data[[#This Row],[Actual Delivery Days]]&gt;AD1305,"Yes","No")</f>
        <v>Yes</v>
      </c>
    </row>
    <row r="1305" spans="1:26">
      <c r="A1305" s="17">
        <v>10706</v>
      </c>
      <c r="B1305" s="17">
        <v>2</v>
      </c>
      <c r="C1305" s="17">
        <v>6</v>
      </c>
      <c r="D1305" s="17" t="s">
        <v>342</v>
      </c>
      <c r="E1305" s="17" t="s">
        <v>574</v>
      </c>
      <c r="F1305" s="17" t="str">
        <f>TEXT(data[[#This Row],[ShipDate]],"yyyy - mmmm")</f>
        <v>2016 - January</v>
      </c>
      <c r="G1305" s="17" t="str">
        <f>data[[#This Row],[OriginCity]] &amp; " - "  &amp; data[[#This Row],[DestinationCity]]</f>
        <v>Bangor - Davenport</v>
      </c>
      <c r="H1305" s="17" t="s">
        <v>104</v>
      </c>
      <c r="I1305" s="17" t="s">
        <v>21</v>
      </c>
      <c r="J1305" s="17">
        <v>2</v>
      </c>
      <c r="K1305" s="17" t="s">
        <v>105</v>
      </c>
      <c r="L1305" s="17" t="s">
        <v>106</v>
      </c>
      <c r="M1305" s="17" t="s">
        <v>193</v>
      </c>
      <c r="N1305" s="17">
        <v>1035</v>
      </c>
      <c r="O1305" s="17">
        <v>220</v>
      </c>
      <c r="P1305" s="26">
        <f>(data[[#This Row],[LoadedMiles]]/data[[#This Row],[TotalMiles]])*100</f>
        <v>21.256038647342994</v>
      </c>
      <c r="Q1305" s="25">
        <f>data[[#This Row],[ShippingCost]]/data[[#This Row],[TotalMiles]]</f>
        <v>0.37874396135265703</v>
      </c>
      <c r="R1305" s="17">
        <v>392</v>
      </c>
      <c r="S1305" s="25">
        <f>data[[#This Row],[Revenue]]/data[[#This Row],[TotalMiles]]</f>
        <v>0.7169082125603865</v>
      </c>
      <c r="T1305" s="26">
        <f>data[[#This Row],[Revenue]]-data[[#This Row],[ShippingCost]]</f>
        <v>350</v>
      </c>
      <c r="U1305" s="17">
        <v>742</v>
      </c>
      <c r="V1305" s="17">
        <v>86</v>
      </c>
      <c r="W1305" s="17" t="s">
        <v>25</v>
      </c>
      <c r="X1305" s="17">
        <v>10</v>
      </c>
      <c r="Y1305" s="17">
        <f>data[[#This Row],[DeliveryDate]]-data[[#This Row],[ShipDate]]</f>
        <v>2</v>
      </c>
      <c r="Z1305" s="17" t="str">
        <f>IF(data[[#This Row],[Actual Delivery Days]]&gt;AD1306,"Yes","No")</f>
        <v>Yes</v>
      </c>
    </row>
    <row r="1306" spans="1:26">
      <c r="A1306" s="17">
        <v>10713</v>
      </c>
      <c r="B1306" s="17">
        <v>1</v>
      </c>
      <c r="C1306" s="17">
        <v>5</v>
      </c>
      <c r="D1306" s="17" t="s">
        <v>354</v>
      </c>
      <c r="E1306" s="17" t="s">
        <v>184</v>
      </c>
      <c r="F1306" s="17" t="str">
        <f>TEXT(data[[#This Row],[ShipDate]],"yyyy - mmmm")</f>
        <v>2016 - August</v>
      </c>
      <c r="G1306" s="17" t="str">
        <f>data[[#This Row],[OriginCity]] &amp; " - "  &amp; data[[#This Row],[DestinationCity]]</f>
        <v>Springfield - Skokie</v>
      </c>
      <c r="H1306" s="17" t="s">
        <v>30</v>
      </c>
      <c r="I1306" s="17" t="s">
        <v>31</v>
      </c>
      <c r="J1306" s="17">
        <v>2</v>
      </c>
      <c r="K1306" s="17" t="s">
        <v>35</v>
      </c>
      <c r="L1306" s="17" t="s">
        <v>31</v>
      </c>
      <c r="M1306" s="17" t="s">
        <v>416</v>
      </c>
      <c r="N1306" s="17">
        <v>431</v>
      </c>
      <c r="O1306" s="17">
        <v>431</v>
      </c>
      <c r="P1306" s="26">
        <f>(data[[#This Row],[LoadedMiles]]/data[[#This Row],[TotalMiles]])*100</f>
        <v>100</v>
      </c>
      <c r="Q1306" s="25">
        <f>data[[#This Row],[ShippingCost]]/data[[#This Row],[TotalMiles]]</f>
        <v>18.496519721577727</v>
      </c>
      <c r="R1306" s="17">
        <v>7972</v>
      </c>
      <c r="S1306" s="25">
        <f>data[[#This Row],[Revenue]]/data[[#This Row],[TotalMiles]]</f>
        <v>19.570765661252899</v>
      </c>
      <c r="T1306" s="26">
        <f>data[[#This Row],[Revenue]]-data[[#This Row],[ShippingCost]]</f>
        <v>463</v>
      </c>
      <c r="U1306" s="17">
        <v>8435</v>
      </c>
      <c r="V1306" s="17">
        <v>54</v>
      </c>
      <c r="W1306" s="17" t="s">
        <v>86</v>
      </c>
      <c r="X1306" s="17">
        <v>7</v>
      </c>
      <c r="Y1306" s="17">
        <f>data[[#This Row],[DeliveryDate]]-data[[#This Row],[ShipDate]]</f>
        <v>2</v>
      </c>
      <c r="Z1306" s="17" t="str">
        <f>IF(data[[#This Row],[Actual Delivery Days]]&gt;AD1307,"Yes","No")</f>
        <v>Yes</v>
      </c>
    </row>
    <row r="1307" spans="1:26">
      <c r="A1307" s="17">
        <v>10714</v>
      </c>
      <c r="B1307" s="17">
        <v>2</v>
      </c>
      <c r="C1307" s="17">
        <v>4</v>
      </c>
      <c r="D1307" s="17" t="s">
        <v>356</v>
      </c>
      <c r="E1307" s="17" t="s">
        <v>34</v>
      </c>
      <c r="F1307" s="17" t="str">
        <f>TEXT(data[[#This Row],[ShipDate]],"yyyy - mmmm")</f>
        <v>2016 - August</v>
      </c>
      <c r="G1307" s="17" t="str">
        <f>data[[#This Row],[OriginCity]] &amp; " - "  &amp; data[[#This Row],[DestinationCity]]</f>
        <v>Chicago - Rockford</v>
      </c>
      <c r="H1307" s="17" t="s">
        <v>39</v>
      </c>
      <c r="I1307" s="17" t="s">
        <v>31</v>
      </c>
      <c r="J1307" s="17">
        <v>2</v>
      </c>
      <c r="K1307" s="17" t="s">
        <v>40</v>
      </c>
      <c r="L1307" s="17" t="s">
        <v>31</v>
      </c>
      <c r="M1307" s="17" t="s">
        <v>240</v>
      </c>
      <c r="N1307" s="17">
        <v>390</v>
      </c>
      <c r="O1307" s="17">
        <v>390</v>
      </c>
      <c r="P1307" s="26">
        <f>(data[[#This Row],[LoadedMiles]]/data[[#This Row],[TotalMiles]])*100</f>
        <v>100</v>
      </c>
      <c r="Q1307" s="25">
        <f>data[[#This Row],[ShippingCost]]/data[[#This Row],[TotalMiles]]</f>
        <v>6.5948717948717945</v>
      </c>
      <c r="R1307" s="17">
        <v>2572</v>
      </c>
      <c r="S1307" s="25">
        <f>data[[#This Row],[Revenue]]/data[[#This Row],[TotalMiles]]</f>
        <v>2.2820512820512819</v>
      </c>
      <c r="T1307" s="26">
        <f>data[[#This Row],[Revenue]]-data[[#This Row],[ShippingCost]]</f>
        <v>-1682</v>
      </c>
      <c r="U1307" s="17">
        <v>890</v>
      </c>
      <c r="V1307" s="17">
        <v>84</v>
      </c>
      <c r="W1307" s="17" t="s">
        <v>25</v>
      </c>
      <c r="X1307" s="17">
        <v>5</v>
      </c>
      <c r="Y1307" s="17">
        <f>data[[#This Row],[DeliveryDate]]-data[[#This Row],[ShipDate]]</f>
        <v>2</v>
      </c>
      <c r="Z1307" s="17" t="str">
        <f>IF(data[[#This Row],[Actual Delivery Days]]&gt;AD1308,"Yes","No")</f>
        <v>Yes</v>
      </c>
    </row>
    <row r="1308" spans="1:26">
      <c r="A1308" s="17">
        <v>10724</v>
      </c>
      <c r="B1308" s="17">
        <v>1</v>
      </c>
      <c r="C1308" s="17">
        <v>5</v>
      </c>
      <c r="D1308" s="17" t="s">
        <v>372</v>
      </c>
      <c r="E1308" s="17" t="s">
        <v>190</v>
      </c>
      <c r="F1308" s="17" t="str">
        <f>TEXT(data[[#This Row],[ShipDate]],"yyyy - mmmm")</f>
        <v>2016 - July</v>
      </c>
      <c r="G1308" s="17" t="str">
        <f>data[[#This Row],[OriginCity]] &amp; " - "  &amp; data[[#This Row],[DestinationCity]]</f>
        <v>Appleton - Grand Rapids</v>
      </c>
      <c r="H1308" s="17" t="s">
        <v>85</v>
      </c>
      <c r="I1308" s="17" t="s">
        <v>29</v>
      </c>
      <c r="J1308" s="17">
        <v>2</v>
      </c>
      <c r="K1308" s="17" t="s">
        <v>20</v>
      </c>
      <c r="L1308" s="17" t="s">
        <v>21</v>
      </c>
      <c r="M1308" s="17" t="s">
        <v>499</v>
      </c>
      <c r="N1308" s="17">
        <v>762</v>
      </c>
      <c r="O1308" s="17">
        <v>740</v>
      </c>
      <c r="P1308" s="26">
        <f>(data[[#This Row],[LoadedMiles]]/data[[#This Row],[TotalMiles]])*100</f>
        <v>97.112860892388454</v>
      </c>
      <c r="Q1308" s="25">
        <f>data[[#This Row],[ShippingCost]]/data[[#This Row],[TotalMiles]]</f>
        <v>10.448818897637794</v>
      </c>
      <c r="R1308" s="17">
        <v>7962</v>
      </c>
      <c r="S1308" s="25">
        <f>data[[#This Row],[Revenue]]/data[[#This Row],[TotalMiles]]</f>
        <v>11.017060367454068</v>
      </c>
      <c r="T1308" s="26">
        <f>data[[#This Row],[Revenue]]-data[[#This Row],[ShippingCost]]</f>
        <v>433</v>
      </c>
      <c r="U1308" s="17">
        <v>8395</v>
      </c>
      <c r="V1308" s="17">
        <v>89</v>
      </c>
      <c r="W1308" s="17" t="s">
        <v>25</v>
      </c>
      <c r="X1308" s="17">
        <v>7</v>
      </c>
      <c r="Y1308" s="17">
        <f>data[[#This Row],[DeliveryDate]]-data[[#This Row],[ShipDate]]</f>
        <v>2</v>
      </c>
      <c r="Z1308" s="17" t="str">
        <f>IF(data[[#This Row],[Actual Delivery Days]]&gt;AD1309,"Yes","No")</f>
        <v>Yes</v>
      </c>
    </row>
    <row r="1309" spans="1:26">
      <c r="A1309" s="17">
        <v>10735</v>
      </c>
      <c r="B1309" s="17">
        <v>1</v>
      </c>
      <c r="C1309" s="17">
        <v>5</v>
      </c>
      <c r="D1309" s="17" t="s">
        <v>393</v>
      </c>
      <c r="E1309" s="17" t="s">
        <v>474</v>
      </c>
      <c r="F1309" s="17" t="str">
        <f>TEXT(data[[#This Row],[ShipDate]],"yyyy - mmmm")</f>
        <v>2016 - June</v>
      </c>
      <c r="G1309" s="17" t="str">
        <f>data[[#This Row],[OriginCity]] &amp; " - "  &amp; data[[#This Row],[DestinationCity]]</f>
        <v>Indianapolis - Northbrook</v>
      </c>
      <c r="H1309" s="17" t="s">
        <v>43</v>
      </c>
      <c r="I1309" s="17" t="s">
        <v>44</v>
      </c>
      <c r="J1309" s="17">
        <v>2</v>
      </c>
      <c r="K1309" s="17" t="s">
        <v>45</v>
      </c>
      <c r="L1309" s="17" t="s">
        <v>31</v>
      </c>
      <c r="M1309" s="17" t="s">
        <v>278</v>
      </c>
      <c r="N1309" s="17">
        <v>413</v>
      </c>
      <c r="O1309" s="17">
        <v>413</v>
      </c>
      <c r="P1309" s="26">
        <f>(data[[#This Row],[LoadedMiles]]/data[[#This Row],[TotalMiles]])*100</f>
        <v>100</v>
      </c>
      <c r="Q1309" s="25">
        <f>data[[#This Row],[ShippingCost]]/data[[#This Row],[TotalMiles]]</f>
        <v>13.583535108958838</v>
      </c>
      <c r="R1309" s="17">
        <v>5610</v>
      </c>
      <c r="S1309" s="25">
        <f>data[[#This Row],[Revenue]]/data[[#This Row],[TotalMiles]]</f>
        <v>15.162227602905569</v>
      </c>
      <c r="T1309" s="26">
        <f>data[[#This Row],[Revenue]]-data[[#This Row],[ShippingCost]]</f>
        <v>652</v>
      </c>
      <c r="U1309" s="17">
        <v>6262</v>
      </c>
      <c r="V1309" s="17">
        <v>79</v>
      </c>
      <c r="W1309" s="17" t="s">
        <v>25</v>
      </c>
      <c r="X1309" s="17">
        <v>7</v>
      </c>
      <c r="Y1309" s="17">
        <f>data[[#This Row],[DeliveryDate]]-data[[#This Row],[ShipDate]]</f>
        <v>1</v>
      </c>
      <c r="Z1309" s="17" t="str">
        <f>IF(data[[#This Row],[Actual Delivery Days]]&gt;AD1310,"Yes","No")</f>
        <v>Yes</v>
      </c>
    </row>
    <row r="1310" spans="1:26">
      <c r="A1310" s="17">
        <v>10736</v>
      </c>
      <c r="B1310" s="17">
        <v>1</v>
      </c>
      <c r="C1310" s="17">
        <v>6</v>
      </c>
      <c r="D1310" s="17" t="s">
        <v>395</v>
      </c>
      <c r="E1310" s="17" t="s">
        <v>332</v>
      </c>
      <c r="F1310" s="17" t="str">
        <f>TEXT(data[[#This Row],[ShipDate]],"yyyy - mmmm")</f>
        <v>2016 - February</v>
      </c>
      <c r="G1310" s="17" t="str">
        <f>data[[#This Row],[OriginCity]] &amp; " - "  &amp; data[[#This Row],[DestinationCity]]</f>
        <v>Northbrook - Naperville</v>
      </c>
      <c r="H1310" s="17" t="s">
        <v>45</v>
      </c>
      <c r="I1310" s="17" t="s">
        <v>31</v>
      </c>
      <c r="J1310" s="17">
        <v>2</v>
      </c>
      <c r="K1310" s="17" t="s">
        <v>48</v>
      </c>
      <c r="L1310" s="17" t="s">
        <v>31</v>
      </c>
      <c r="M1310" s="17" t="s">
        <v>611</v>
      </c>
      <c r="N1310" s="17">
        <v>1087</v>
      </c>
      <c r="O1310" s="17">
        <v>579</v>
      </c>
      <c r="P1310" s="26">
        <f>(data[[#This Row],[LoadedMiles]]/data[[#This Row],[TotalMiles]])*100</f>
        <v>53.265869365225392</v>
      </c>
      <c r="Q1310" s="25">
        <f>data[[#This Row],[ShippingCost]]/data[[#This Row],[TotalMiles]]</f>
        <v>2.4921803127874886</v>
      </c>
      <c r="R1310" s="17">
        <v>2709</v>
      </c>
      <c r="S1310" s="25">
        <f>data[[#This Row],[Revenue]]/data[[#This Row],[TotalMiles]]</f>
        <v>2.9668813247470101</v>
      </c>
      <c r="T1310" s="26">
        <f>data[[#This Row],[Revenue]]-data[[#This Row],[ShippingCost]]</f>
        <v>516</v>
      </c>
      <c r="U1310" s="17">
        <v>3225</v>
      </c>
      <c r="V1310" s="17">
        <v>87</v>
      </c>
      <c r="W1310" s="17" t="s">
        <v>25</v>
      </c>
      <c r="X1310" s="17">
        <v>5</v>
      </c>
      <c r="Y1310" s="17">
        <f>data[[#This Row],[DeliveryDate]]-data[[#This Row],[ShipDate]]</f>
        <v>2</v>
      </c>
      <c r="Z1310" s="17" t="str">
        <f>IF(data[[#This Row],[Actual Delivery Days]]&gt;AD1311,"Yes","No")</f>
        <v>Yes</v>
      </c>
    </row>
    <row r="1311" spans="1:26">
      <c r="A1311" s="17">
        <v>10740</v>
      </c>
      <c r="B1311" s="17">
        <v>1</v>
      </c>
      <c r="C1311" s="17">
        <v>5</v>
      </c>
      <c r="D1311" s="17" t="s">
        <v>403</v>
      </c>
      <c r="E1311" s="17" t="s">
        <v>344</v>
      </c>
      <c r="F1311" s="17" t="str">
        <f>TEXT(data[[#This Row],[ShipDate]],"yyyy - mmmm")</f>
        <v>2016 - May</v>
      </c>
      <c r="G1311" s="17" t="str">
        <f>data[[#This Row],[OriginCity]] &amp; " - "  &amp; data[[#This Row],[DestinationCity]]</f>
        <v>Green Bay - Joliet</v>
      </c>
      <c r="H1311" s="17" t="s">
        <v>75</v>
      </c>
      <c r="I1311" s="17" t="s">
        <v>29</v>
      </c>
      <c r="J1311" s="17">
        <v>2</v>
      </c>
      <c r="K1311" s="17" t="s">
        <v>61</v>
      </c>
      <c r="L1311" s="17" t="s">
        <v>31</v>
      </c>
      <c r="M1311" s="17" t="s">
        <v>283</v>
      </c>
      <c r="N1311" s="17">
        <v>1073</v>
      </c>
      <c r="O1311" s="17">
        <v>781</v>
      </c>
      <c r="P1311" s="26">
        <f>(data[[#This Row],[LoadedMiles]]/data[[#This Row],[TotalMiles]])*100</f>
        <v>72.786579683131407</v>
      </c>
      <c r="Q1311" s="25">
        <f>data[[#This Row],[ShippingCost]]/data[[#This Row],[TotalMiles]]</f>
        <v>6.417520969245107</v>
      </c>
      <c r="R1311" s="17">
        <v>6886</v>
      </c>
      <c r="S1311" s="25">
        <f>data[[#This Row],[Revenue]]/data[[#This Row],[TotalMiles]]</f>
        <v>7.1752096924510713</v>
      </c>
      <c r="T1311" s="26">
        <f>data[[#This Row],[Revenue]]-data[[#This Row],[ShippingCost]]</f>
        <v>813</v>
      </c>
      <c r="U1311" s="17">
        <v>7699</v>
      </c>
      <c r="V1311" s="17">
        <v>72</v>
      </c>
      <c r="W1311" s="17" t="s">
        <v>25</v>
      </c>
      <c r="X1311" s="17">
        <v>4</v>
      </c>
      <c r="Y1311" s="17">
        <f>data[[#This Row],[DeliveryDate]]-data[[#This Row],[ShipDate]]</f>
        <v>2</v>
      </c>
      <c r="Z1311" s="17" t="str">
        <f>IF(data[[#This Row],[Actual Delivery Days]]&gt;AD1312,"Yes","No")</f>
        <v>Yes</v>
      </c>
    </row>
    <row r="1312" spans="1:26">
      <c r="A1312" s="17">
        <v>10748</v>
      </c>
      <c r="B1312" s="17">
        <v>2</v>
      </c>
      <c r="C1312" s="17">
        <v>6</v>
      </c>
      <c r="D1312" s="17" t="s">
        <v>420</v>
      </c>
      <c r="E1312" s="17" t="s">
        <v>234</v>
      </c>
      <c r="F1312" s="17" t="str">
        <f>TEXT(data[[#This Row],[ShipDate]],"yyyy - mmmm")</f>
        <v>2016 - March</v>
      </c>
      <c r="G1312" s="17" t="str">
        <f>data[[#This Row],[OriginCity]] &amp; " - "  &amp; data[[#This Row],[DestinationCity]]</f>
        <v>Elgin - Cincinnati</v>
      </c>
      <c r="H1312" s="17" t="s">
        <v>94</v>
      </c>
      <c r="I1312" s="17" t="s">
        <v>31</v>
      </c>
      <c r="J1312" s="17">
        <v>2</v>
      </c>
      <c r="K1312" s="17" t="s">
        <v>89</v>
      </c>
      <c r="L1312" s="17" t="s">
        <v>23</v>
      </c>
      <c r="M1312" s="17" t="s">
        <v>186</v>
      </c>
      <c r="N1312" s="17">
        <v>586</v>
      </c>
      <c r="O1312" s="17">
        <v>413</v>
      </c>
      <c r="P1312" s="26">
        <f>(data[[#This Row],[LoadedMiles]]/data[[#This Row],[TotalMiles]])*100</f>
        <v>70.477815699658706</v>
      </c>
      <c r="Q1312" s="25">
        <f>data[[#This Row],[ShippingCost]]/data[[#This Row],[TotalMiles]]</f>
        <v>7.274744027303754</v>
      </c>
      <c r="R1312" s="17">
        <v>4263</v>
      </c>
      <c r="S1312" s="25">
        <f>data[[#This Row],[Revenue]]/data[[#This Row],[TotalMiles]]</f>
        <v>7.8515358361774741</v>
      </c>
      <c r="T1312" s="26">
        <f>data[[#This Row],[Revenue]]-data[[#This Row],[ShippingCost]]</f>
        <v>338</v>
      </c>
      <c r="U1312" s="17">
        <v>4601</v>
      </c>
      <c r="V1312" s="17">
        <v>100</v>
      </c>
      <c r="W1312" s="17" t="s">
        <v>25</v>
      </c>
      <c r="X1312" s="17">
        <v>4</v>
      </c>
      <c r="Y1312" s="17">
        <f>data[[#This Row],[DeliveryDate]]-data[[#This Row],[ShipDate]]</f>
        <v>2</v>
      </c>
      <c r="Z1312" s="17" t="str">
        <f>IF(data[[#This Row],[Actual Delivery Days]]&gt;AD1313,"Yes","No")</f>
        <v>Yes</v>
      </c>
    </row>
    <row r="1313" spans="1:26">
      <c r="A1313" s="17">
        <v>10752</v>
      </c>
      <c r="B1313" s="17">
        <v>1</v>
      </c>
      <c r="C1313" s="17">
        <v>5</v>
      </c>
      <c r="D1313" s="17" t="s">
        <v>428</v>
      </c>
      <c r="E1313" s="17" t="s">
        <v>149</v>
      </c>
      <c r="F1313" s="17" t="str">
        <f>TEXT(data[[#This Row],[ShipDate]],"yyyy - mmmm")</f>
        <v>2016 - July</v>
      </c>
      <c r="G1313" s="17" t="str">
        <f>data[[#This Row],[OriginCity]] &amp; " - "  &amp; data[[#This Row],[DestinationCity]]</f>
        <v>Milwaukee - Springfield</v>
      </c>
      <c r="H1313" s="17" t="s">
        <v>28</v>
      </c>
      <c r="I1313" s="17" t="s">
        <v>29</v>
      </c>
      <c r="J1313" s="17">
        <v>2</v>
      </c>
      <c r="K1313" s="17" t="s">
        <v>30</v>
      </c>
      <c r="L1313" s="17" t="s">
        <v>31</v>
      </c>
      <c r="M1313" s="17" t="s">
        <v>492</v>
      </c>
      <c r="N1313" s="17">
        <v>1139</v>
      </c>
      <c r="O1313" s="17">
        <v>248</v>
      </c>
      <c r="P1313" s="26">
        <f>(data[[#This Row],[LoadedMiles]]/data[[#This Row],[TotalMiles]])*100</f>
        <v>21.773485513608428</v>
      </c>
      <c r="Q1313" s="25">
        <f>data[[#This Row],[ShippingCost]]/data[[#This Row],[TotalMiles]]</f>
        <v>0.78138718173836696</v>
      </c>
      <c r="R1313" s="17">
        <v>890</v>
      </c>
      <c r="S1313" s="25">
        <f>data[[#This Row],[Revenue]]/data[[#This Row],[TotalMiles]]</f>
        <v>1.1553994732221247</v>
      </c>
      <c r="T1313" s="26">
        <f>data[[#This Row],[Revenue]]-data[[#This Row],[ShippingCost]]</f>
        <v>426</v>
      </c>
      <c r="U1313" s="17">
        <v>1316</v>
      </c>
      <c r="V1313" s="17">
        <v>100</v>
      </c>
      <c r="W1313" s="17" t="s">
        <v>25</v>
      </c>
      <c r="X1313" s="17">
        <v>10</v>
      </c>
      <c r="Y1313" s="17">
        <f>data[[#This Row],[DeliveryDate]]-data[[#This Row],[ShipDate]]</f>
        <v>2</v>
      </c>
      <c r="Z1313" s="17" t="str">
        <f>IF(data[[#This Row],[Actual Delivery Days]]&gt;AD1314,"Yes","No")</f>
        <v>Yes</v>
      </c>
    </row>
    <row r="1314" spans="1:26">
      <c r="A1314" s="17">
        <v>10758</v>
      </c>
      <c r="B1314" s="17">
        <v>1</v>
      </c>
      <c r="C1314" s="17">
        <v>7</v>
      </c>
      <c r="D1314" s="17" t="s">
        <v>438</v>
      </c>
      <c r="E1314" s="17" t="s">
        <v>521</v>
      </c>
      <c r="F1314" s="17" t="str">
        <f>TEXT(data[[#This Row],[ShipDate]],"yyyy - mmmm")</f>
        <v>2016 - February</v>
      </c>
      <c r="G1314" s="17" t="str">
        <f>data[[#This Row],[OriginCity]] &amp; " - "  &amp; data[[#This Row],[DestinationCity]]</f>
        <v>Joliet - Madison</v>
      </c>
      <c r="H1314" s="17" t="s">
        <v>61</v>
      </c>
      <c r="I1314" s="17" t="s">
        <v>31</v>
      </c>
      <c r="J1314" s="17">
        <v>2</v>
      </c>
      <c r="K1314" s="17" t="s">
        <v>62</v>
      </c>
      <c r="L1314" s="17" t="s">
        <v>29</v>
      </c>
      <c r="M1314" s="17" t="s">
        <v>310</v>
      </c>
      <c r="N1314" s="17">
        <v>746</v>
      </c>
      <c r="O1314" s="17">
        <v>377</v>
      </c>
      <c r="P1314" s="26">
        <f>(data[[#This Row],[LoadedMiles]]/data[[#This Row],[TotalMiles]])*100</f>
        <v>50.536193029490619</v>
      </c>
      <c r="Q1314" s="25">
        <f>data[[#This Row],[ShippingCost]]/data[[#This Row],[TotalMiles]]</f>
        <v>1.4745308310991957E-2</v>
      </c>
      <c r="R1314" s="17">
        <v>11</v>
      </c>
      <c r="S1314" s="25">
        <f>data[[#This Row],[Revenue]]/data[[#This Row],[TotalMiles]]</f>
        <v>0.9463806970509383</v>
      </c>
      <c r="T1314" s="26">
        <f>data[[#This Row],[Revenue]]-data[[#This Row],[ShippingCost]]</f>
        <v>695</v>
      </c>
      <c r="U1314" s="17">
        <v>706</v>
      </c>
      <c r="V1314" s="17">
        <v>50</v>
      </c>
      <c r="W1314" s="17" t="s">
        <v>25</v>
      </c>
      <c r="X1314" s="17">
        <v>2</v>
      </c>
      <c r="Y1314" s="17">
        <f>data[[#This Row],[DeliveryDate]]-data[[#This Row],[ShipDate]]</f>
        <v>1</v>
      </c>
      <c r="Z1314" s="17" t="str">
        <f>IF(data[[#This Row],[Actual Delivery Days]]&gt;AD1315,"Yes","No")</f>
        <v>Yes</v>
      </c>
    </row>
    <row r="1315" spans="1:26">
      <c r="A1315" s="17">
        <v>10765</v>
      </c>
      <c r="B1315" s="17">
        <v>2</v>
      </c>
      <c r="C1315" s="17">
        <v>6</v>
      </c>
      <c r="D1315" s="17" t="s">
        <v>448</v>
      </c>
      <c r="E1315" s="17" t="s">
        <v>358</v>
      </c>
      <c r="F1315" s="17" t="str">
        <f>TEXT(data[[#This Row],[ShipDate]],"yyyy - mmmm")</f>
        <v>2016 - January</v>
      </c>
      <c r="G1315" s="17" t="str">
        <f>data[[#This Row],[OriginCity]] &amp; " - "  &amp; data[[#This Row],[DestinationCity]]</f>
        <v>Cincinnati - Gary</v>
      </c>
      <c r="H1315" s="17" t="s">
        <v>89</v>
      </c>
      <c r="I1315" s="17" t="s">
        <v>23</v>
      </c>
      <c r="J1315" s="17">
        <v>2</v>
      </c>
      <c r="K1315" s="17" t="s">
        <v>57</v>
      </c>
      <c r="L1315" s="17" t="s">
        <v>44</v>
      </c>
      <c r="M1315" s="17" t="s">
        <v>424</v>
      </c>
      <c r="N1315" s="17">
        <v>1068</v>
      </c>
      <c r="O1315" s="17">
        <v>270</v>
      </c>
      <c r="P1315" s="26">
        <f>(data[[#This Row],[LoadedMiles]]/data[[#This Row],[TotalMiles]])*100</f>
        <v>25.280898876404496</v>
      </c>
      <c r="Q1315" s="25">
        <f>data[[#This Row],[ShippingCost]]/data[[#This Row],[TotalMiles]]</f>
        <v>6.2443820224719104</v>
      </c>
      <c r="R1315" s="17">
        <v>6669</v>
      </c>
      <c r="S1315" s="25">
        <f>data[[#This Row],[Revenue]]/data[[#This Row],[TotalMiles]]</f>
        <v>6.7359550561797752</v>
      </c>
      <c r="T1315" s="26">
        <f>data[[#This Row],[Revenue]]-data[[#This Row],[ShippingCost]]</f>
        <v>525</v>
      </c>
      <c r="U1315" s="17">
        <v>7194</v>
      </c>
      <c r="V1315" s="17">
        <v>85</v>
      </c>
      <c r="W1315" s="17" t="s">
        <v>25</v>
      </c>
      <c r="X1315" s="17">
        <v>3</v>
      </c>
      <c r="Y1315" s="17">
        <f>data[[#This Row],[DeliveryDate]]-data[[#This Row],[ShipDate]]</f>
        <v>2</v>
      </c>
      <c r="Z1315" s="17" t="str">
        <f>IF(data[[#This Row],[Actual Delivery Days]]&gt;AD1316,"Yes","No")</f>
        <v>Yes</v>
      </c>
    </row>
    <row r="1316" spans="1:26">
      <c r="A1316" s="17">
        <v>10774</v>
      </c>
      <c r="B1316" s="17">
        <v>1</v>
      </c>
      <c r="C1316" s="17">
        <v>8</v>
      </c>
      <c r="D1316" s="17" t="s">
        <v>461</v>
      </c>
      <c r="E1316" s="17" t="s">
        <v>226</v>
      </c>
      <c r="F1316" s="17" t="str">
        <f>TEXT(data[[#This Row],[ShipDate]],"yyyy - mmmm")</f>
        <v>2016 - May</v>
      </c>
      <c r="G1316" s="17" t="str">
        <f>data[[#This Row],[OriginCity]] &amp; " - "  &amp; data[[#This Row],[DestinationCity]]</f>
        <v>Grand Rapids - Toledo</v>
      </c>
      <c r="H1316" s="17" t="s">
        <v>20</v>
      </c>
      <c r="I1316" s="17" t="s">
        <v>21</v>
      </c>
      <c r="J1316" s="17">
        <v>2</v>
      </c>
      <c r="K1316" s="17" t="s">
        <v>22</v>
      </c>
      <c r="L1316" s="17" t="s">
        <v>23</v>
      </c>
      <c r="M1316" s="17" t="s">
        <v>218</v>
      </c>
      <c r="N1316" s="17">
        <v>475</v>
      </c>
      <c r="O1316" s="17">
        <v>475</v>
      </c>
      <c r="P1316" s="26">
        <f>(data[[#This Row],[LoadedMiles]]/data[[#This Row],[TotalMiles]])*100</f>
        <v>100</v>
      </c>
      <c r="Q1316" s="25">
        <f>data[[#This Row],[ShippingCost]]/data[[#This Row],[TotalMiles]]</f>
        <v>6.9284210526315793</v>
      </c>
      <c r="R1316" s="17">
        <v>3291</v>
      </c>
      <c r="S1316" s="25">
        <f>data[[#This Row],[Revenue]]/data[[#This Row],[TotalMiles]]</f>
        <v>7.3494736842105262</v>
      </c>
      <c r="T1316" s="26">
        <f>data[[#This Row],[Revenue]]-data[[#This Row],[ShippingCost]]</f>
        <v>200</v>
      </c>
      <c r="U1316" s="17">
        <v>3491</v>
      </c>
      <c r="V1316" s="17">
        <v>65</v>
      </c>
      <c r="W1316" s="17" t="s">
        <v>25</v>
      </c>
      <c r="X1316" s="17">
        <v>8</v>
      </c>
      <c r="Y1316" s="17">
        <f>data[[#This Row],[DeliveryDate]]-data[[#This Row],[ShipDate]]</f>
        <v>2</v>
      </c>
      <c r="Z1316" s="17" t="str">
        <f>IF(data[[#This Row],[Actual Delivery Days]]&gt;AD1317,"Yes","No")</f>
        <v>Yes</v>
      </c>
    </row>
    <row r="1317" spans="1:26">
      <c r="A1317" s="17">
        <v>10778</v>
      </c>
      <c r="B1317" s="17">
        <v>1</v>
      </c>
      <c r="C1317" s="17">
        <v>7</v>
      </c>
      <c r="D1317" s="17" t="s">
        <v>466</v>
      </c>
      <c r="E1317" s="17" t="s">
        <v>253</v>
      </c>
      <c r="F1317" s="17" t="str">
        <f>TEXT(data[[#This Row],[ShipDate]],"yyyy - mmmm")</f>
        <v>2016 - April</v>
      </c>
      <c r="G1317" s="17" t="str">
        <f>data[[#This Row],[OriginCity]] &amp; " - "  &amp; data[[#This Row],[DestinationCity]]</f>
        <v>Indianapolis - Northbrook</v>
      </c>
      <c r="H1317" s="17" t="s">
        <v>43</v>
      </c>
      <c r="I1317" s="17" t="s">
        <v>44</v>
      </c>
      <c r="J1317" s="17">
        <v>2</v>
      </c>
      <c r="K1317" s="17" t="s">
        <v>45</v>
      </c>
      <c r="L1317" s="17" t="s">
        <v>31</v>
      </c>
      <c r="M1317" s="17" t="s">
        <v>186</v>
      </c>
      <c r="N1317" s="17">
        <v>436</v>
      </c>
      <c r="O1317" s="17">
        <v>354</v>
      </c>
      <c r="P1317" s="26">
        <f>(data[[#This Row],[LoadedMiles]]/data[[#This Row],[TotalMiles]])*100</f>
        <v>81.192660550458712</v>
      </c>
      <c r="Q1317" s="25">
        <f>data[[#This Row],[ShippingCost]]/data[[#This Row],[TotalMiles]]</f>
        <v>6.3211009174311927</v>
      </c>
      <c r="R1317" s="17">
        <v>2756</v>
      </c>
      <c r="S1317" s="25">
        <f>data[[#This Row],[Revenue]]/data[[#This Row],[TotalMiles]]</f>
        <v>7.8050458715596331</v>
      </c>
      <c r="T1317" s="26">
        <f>data[[#This Row],[Revenue]]-data[[#This Row],[ShippingCost]]</f>
        <v>647</v>
      </c>
      <c r="U1317" s="17">
        <v>3403</v>
      </c>
      <c r="V1317" s="17">
        <v>71</v>
      </c>
      <c r="W1317" s="17" t="s">
        <v>25</v>
      </c>
      <c r="X1317" s="17">
        <v>2</v>
      </c>
      <c r="Y1317" s="17">
        <f>data[[#This Row],[DeliveryDate]]-data[[#This Row],[ShipDate]]</f>
        <v>1</v>
      </c>
      <c r="Z1317" s="17" t="str">
        <f>IF(data[[#This Row],[Actual Delivery Days]]&gt;AD1318,"Yes","No")</f>
        <v>Yes</v>
      </c>
    </row>
    <row r="1318" spans="1:26">
      <c r="A1318" s="17">
        <v>10783</v>
      </c>
      <c r="B1318" s="17">
        <v>1</v>
      </c>
      <c r="C1318" s="17">
        <v>6</v>
      </c>
      <c r="D1318" s="17" t="s">
        <v>476</v>
      </c>
      <c r="E1318" s="17" t="s">
        <v>111</v>
      </c>
      <c r="F1318" s="17" t="str">
        <f>TEXT(data[[#This Row],[ShipDate]],"yyyy - mmmm")</f>
        <v>2016 - January</v>
      </c>
      <c r="G1318" s="17" t="str">
        <f>data[[#This Row],[OriginCity]] &amp; " - "  &amp; data[[#This Row],[DestinationCity]]</f>
        <v>Madison - Kalamazoo</v>
      </c>
      <c r="H1318" s="17" t="s">
        <v>62</v>
      </c>
      <c r="I1318" s="17" t="s">
        <v>29</v>
      </c>
      <c r="J1318" s="17">
        <v>2</v>
      </c>
      <c r="K1318" s="17" t="s">
        <v>71</v>
      </c>
      <c r="L1318" s="17" t="s">
        <v>21</v>
      </c>
      <c r="M1318" s="17" t="s">
        <v>112</v>
      </c>
      <c r="N1318" s="17">
        <v>800</v>
      </c>
      <c r="O1318" s="17">
        <v>228</v>
      </c>
      <c r="P1318" s="26">
        <f>(data[[#This Row],[LoadedMiles]]/data[[#This Row],[TotalMiles]])*100</f>
        <v>28.499999999999996</v>
      </c>
      <c r="Q1318" s="25">
        <f>data[[#This Row],[ShippingCost]]/data[[#This Row],[TotalMiles]]</f>
        <v>5.5025000000000004</v>
      </c>
      <c r="R1318" s="17">
        <v>4402</v>
      </c>
      <c r="S1318" s="25">
        <f>data[[#This Row],[Revenue]]/data[[#This Row],[TotalMiles]]</f>
        <v>6.1937499999999996</v>
      </c>
      <c r="T1318" s="26">
        <f>data[[#This Row],[Revenue]]-data[[#This Row],[ShippingCost]]</f>
        <v>553</v>
      </c>
      <c r="U1318" s="17">
        <v>4955</v>
      </c>
      <c r="V1318" s="17">
        <v>61</v>
      </c>
      <c r="W1318" s="17" t="s">
        <v>86</v>
      </c>
      <c r="X1318" s="17">
        <v>4</v>
      </c>
      <c r="Y1318" s="17">
        <f>data[[#This Row],[DeliveryDate]]-data[[#This Row],[ShipDate]]</f>
        <v>2</v>
      </c>
      <c r="Z1318" s="17" t="str">
        <f>IF(data[[#This Row],[Actual Delivery Days]]&gt;AD1319,"Yes","No")</f>
        <v>Yes</v>
      </c>
    </row>
    <row r="1319" spans="1:26">
      <c r="A1319" s="17">
        <v>10786</v>
      </c>
      <c r="B1319" s="17">
        <v>1</v>
      </c>
      <c r="C1319" s="17">
        <v>8</v>
      </c>
      <c r="D1319" s="17" t="s">
        <v>479</v>
      </c>
      <c r="E1319" s="17" t="s">
        <v>310</v>
      </c>
      <c r="F1319" s="17" t="str">
        <f>TEXT(data[[#This Row],[ShipDate]],"yyyy - mmmm")</f>
        <v>2016 - February</v>
      </c>
      <c r="G1319" s="17" t="str">
        <f>data[[#This Row],[OriginCity]] &amp; " - "  &amp; data[[#This Row],[DestinationCity]]</f>
        <v>Rockford - Green Bay</v>
      </c>
      <c r="H1319" s="17" t="s">
        <v>40</v>
      </c>
      <c r="I1319" s="17" t="s">
        <v>31</v>
      </c>
      <c r="J1319" s="17">
        <v>2</v>
      </c>
      <c r="K1319" s="17" t="s">
        <v>75</v>
      </c>
      <c r="L1319" s="17" t="s">
        <v>29</v>
      </c>
      <c r="M1319" s="17" t="s">
        <v>268</v>
      </c>
      <c r="N1319" s="17">
        <v>1010</v>
      </c>
      <c r="O1319" s="17">
        <v>756</v>
      </c>
      <c r="P1319" s="26">
        <f>(data[[#This Row],[LoadedMiles]]/data[[#This Row],[TotalMiles]])*100</f>
        <v>74.851485148514854</v>
      </c>
      <c r="Q1319" s="25">
        <f>data[[#This Row],[ShippingCost]]/data[[#This Row],[TotalMiles]]</f>
        <v>4.4891089108910895</v>
      </c>
      <c r="R1319" s="17">
        <v>4534</v>
      </c>
      <c r="S1319" s="25">
        <f>data[[#This Row],[Revenue]]/data[[#This Row],[TotalMiles]]</f>
        <v>5.3613861386138613</v>
      </c>
      <c r="T1319" s="26">
        <f>data[[#This Row],[Revenue]]-data[[#This Row],[ShippingCost]]</f>
        <v>881</v>
      </c>
      <c r="U1319" s="17">
        <v>5415</v>
      </c>
      <c r="V1319" s="17">
        <v>60</v>
      </c>
      <c r="W1319" s="17" t="s">
        <v>25</v>
      </c>
      <c r="X1319" s="17">
        <v>8</v>
      </c>
      <c r="Y1319" s="17">
        <f>data[[#This Row],[DeliveryDate]]-data[[#This Row],[ShipDate]]</f>
        <v>2</v>
      </c>
      <c r="Z1319" s="17" t="str">
        <f>IF(data[[#This Row],[Actual Delivery Days]]&gt;AD1320,"Yes","No")</f>
        <v>Yes</v>
      </c>
    </row>
    <row r="1320" spans="1:26">
      <c r="A1320" s="17">
        <v>10795</v>
      </c>
      <c r="B1320" s="17">
        <v>1</v>
      </c>
      <c r="C1320" s="17">
        <v>5</v>
      </c>
      <c r="D1320" s="17" t="s">
        <v>491</v>
      </c>
      <c r="E1320" s="17" t="s">
        <v>298</v>
      </c>
      <c r="F1320" s="17" t="str">
        <f>TEXT(data[[#This Row],[ShipDate]],"yyyy - mmmm")</f>
        <v>2016 - July</v>
      </c>
      <c r="G1320" s="17" t="str">
        <f>data[[#This Row],[OriginCity]] &amp; " - "  &amp; data[[#This Row],[DestinationCity]]</f>
        <v>Grand Rapids - Toledo</v>
      </c>
      <c r="H1320" s="17" t="s">
        <v>20</v>
      </c>
      <c r="I1320" s="17" t="s">
        <v>21</v>
      </c>
      <c r="J1320" s="17">
        <v>2</v>
      </c>
      <c r="K1320" s="17" t="s">
        <v>22</v>
      </c>
      <c r="L1320" s="17" t="s">
        <v>23</v>
      </c>
      <c r="M1320" s="17" t="s">
        <v>298</v>
      </c>
      <c r="N1320" s="17">
        <v>243</v>
      </c>
      <c r="O1320" s="17">
        <v>243</v>
      </c>
      <c r="P1320" s="26">
        <f>(data[[#This Row],[LoadedMiles]]/data[[#This Row],[TotalMiles]])*100</f>
        <v>100</v>
      </c>
      <c r="Q1320" s="25">
        <f>data[[#This Row],[ShippingCost]]/data[[#This Row],[TotalMiles]]</f>
        <v>0.60082304526748975</v>
      </c>
      <c r="R1320" s="17">
        <v>146</v>
      </c>
      <c r="S1320" s="25">
        <f>data[[#This Row],[Revenue]]/data[[#This Row],[TotalMiles]]</f>
        <v>2.9176954732510287</v>
      </c>
      <c r="T1320" s="26">
        <f>data[[#This Row],[Revenue]]-data[[#This Row],[ShippingCost]]</f>
        <v>563</v>
      </c>
      <c r="U1320" s="17">
        <v>709</v>
      </c>
      <c r="V1320" s="17">
        <v>96</v>
      </c>
      <c r="W1320" s="17" t="s">
        <v>25</v>
      </c>
      <c r="X1320" s="17">
        <v>5</v>
      </c>
      <c r="Y1320" s="17">
        <f>data[[#This Row],[DeliveryDate]]-data[[#This Row],[ShipDate]]</f>
        <v>0</v>
      </c>
      <c r="Z1320" s="17" t="str">
        <f>IF(data[[#This Row],[Actual Delivery Days]]&gt;AD1321,"Yes","No")</f>
        <v>No</v>
      </c>
    </row>
    <row r="1321" spans="1:26">
      <c r="A1321" s="17">
        <v>10811</v>
      </c>
      <c r="B1321" s="17">
        <v>2</v>
      </c>
      <c r="C1321" s="17">
        <v>8</v>
      </c>
      <c r="D1321" s="17" t="s">
        <v>514</v>
      </c>
      <c r="E1321" s="17" t="s">
        <v>166</v>
      </c>
      <c r="F1321" s="17" t="str">
        <f>TEXT(data[[#This Row],[ShipDate]],"yyyy - mmmm")</f>
        <v>2016 - January</v>
      </c>
      <c r="G1321" s="17" t="str">
        <f>data[[#This Row],[OriginCity]] &amp; " - "  &amp; data[[#This Row],[DestinationCity]]</f>
        <v>Lansing - Dayton</v>
      </c>
      <c r="H1321" s="17" t="s">
        <v>66</v>
      </c>
      <c r="I1321" s="17" t="s">
        <v>21</v>
      </c>
      <c r="J1321" s="17">
        <v>2</v>
      </c>
      <c r="K1321" s="17" t="s">
        <v>93</v>
      </c>
      <c r="L1321" s="17" t="s">
        <v>23</v>
      </c>
      <c r="M1321" s="17" t="s">
        <v>152</v>
      </c>
      <c r="N1321" s="17">
        <v>658</v>
      </c>
      <c r="O1321" s="17">
        <v>658</v>
      </c>
      <c r="P1321" s="26">
        <f>(data[[#This Row],[LoadedMiles]]/data[[#This Row],[TotalMiles]])*100</f>
        <v>100</v>
      </c>
      <c r="Q1321" s="25">
        <f>data[[#This Row],[ShippingCost]]/data[[#This Row],[TotalMiles]]</f>
        <v>7.9741641337386016</v>
      </c>
      <c r="R1321" s="17">
        <v>5247</v>
      </c>
      <c r="S1321" s="25">
        <f>data[[#This Row],[Revenue]]/data[[#This Row],[TotalMiles]]</f>
        <v>8.2218844984802431</v>
      </c>
      <c r="T1321" s="26">
        <f>data[[#This Row],[Revenue]]-data[[#This Row],[ShippingCost]]</f>
        <v>163</v>
      </c>
      <c r="U1321" s="17">
        <v>5410</v>
      </c>
      <c r="V1321" s="17">
        <v>72</v>
      </c>
      <c r="W1321" s="17" t="s">
        <v>25</v>
      </c>
      <c r="X1321" s="17">
        <v>1</v>
      </c>
      <c r="Y1321" s="17">
        <f>data[[#This Row],[DeliveryDate]]-data[[#This Row],[ShipDate]]</f>
        <v>2</v>
      </c>
      <c r="Z1321" s="17" t="str">
        <f>IF(data[[#This Row],[Actual Delivery Days]]&gt;AD1322,"Yes","No")</f>
        <v>Yes</v>
      </c>
    </row>
    <row r="1322" spans="1:26">
      <c r="A1322" s="17">
        <v>10812</v>
      </c>
      <c r="B1322" s="17">
        <v>1</v>
      </c>
      <c r="C1322" s="17">
        <v>8</v>
      </c>
      <c r="D1322" s="17" t="s">
        <v>515</v>
      </c>
      <c r="E1322" s="17" t="s">
        <v>307</v>
      </c>
      <c r="F1322" s="17" t="str">
        <f>TEXT(data[[#This Row],[ShipDate]],"yyyy - mmmm")</f>
        <v>2016 - August</v>
      </c>
      <c r="G1322" s="17" t="str">
        <f>data[[#This Row],[OriginCity]] &amp; " - "  &amp; data[[#This Row],[DestinationCity]]</f>
        <v>Bangor - Davenport</v>
      </c>
      <c r="H1322" s="17" t="s">
        <v>104</v>
      </c>
      <c r="I1322" s="17" t="s">
        <v>21</v>
      </c>
      <c r="J1322" s="17">
        <v>2</v>
      </c>
      <c r="K1322" s="17" t="s">
        <v>105</v>
      </c>
      <c r="L1322" s="17" t="s">
        <v>106</v>
      </c>
      <c r="M1322" s="17" t="s">
        <v>301</v>
      </c>
      <c r="N1322" s="17">
        <v>1072</v>
      </c>
      <c r="O1322" s="17">
        <v>489</v>
      </c>
      <c r="P1322" s="26">
        <f>(data[[#This Row],[LoadedMiles]]/data[[#This Row],[TotalMiles]])*100</f>
        <v>45.615671641791046</v>
      </c>
      <c r="Q1322" s="25">
        <f>data[[#This Row],[ShippingCost]]/data[[#This Row],[TotalMiles]]</f>
        <v>3.5093283582089554</v>
      </c>
      <c r="R1322" s="17">
        <v>3762</v>
      </c>
      <c r="S1322" s="25">
        <f>data[[#This Row],[Revenue]]/data[[#This Row],[TotalMiles]]</f>
        <v>3.783582089552239</v>
      </c>
      <c r="T1322" s="26">
        <f>data[[#This Row],[Revenue]]-data[[#This Row],[ShippingCost]]</f>
        <v>294</v>
      </c>
      <c r="U1322" s="17">
        <v>4056</v>
      </c>
      <c r="V1322" s="17">
        <v>68</v>
      </c>
      <c r="W1322" s="17" t="s">
        <v>25</v>
      </c>
      <c r="X1322" s="17">
        <v>7</v>
      </c>
      <c r="Y1322" s="17">
        <f>data[[#This Row],[DeliveryDate]]-data[[#This Row],[ShipDate]]</f>
        <v>2</v>
      </c>
      <c r="Z1322" s="17" t="str">
        <f>IF(data[[#This Row],[Actual Delivery Days]]&gt;AD1323,"Yes","No")</f>
        <v>Yes</v>
      </c>
    </row>
    <row r="1323" spans="1:26">
      <c r="A1323" s="17">
        <v>10823</v>
      </c>
      <c r="B1323" s="17">
        <v>1</v>
      </c>
      <c r="C1323" s="17">
        <v>4</v>
      </c>
      <c r="D1323" s="17" t="s">
        <v>532</v>
      </c>
      <c r="E1323" s="17" t="s">
        <v>405</v>
      </c>
      <c r="F1323" s="17" t="str">
        <f>TEXT(data[[#This Row],[ShipDate]],"yyyy - mmmm")</f>
        <v>2016 - August</v>
      </c>
      <c r="G1323" s="17" t="str">
        <f>data[[#This Row],[OriginCity]] &amp; " - "  &amp; data[[#This Row],[DestinationCity]]</f>
        <v>Joliet - Madison</v>
      </c>
      <c r="H1323" s="17" t="s">
        <v>61</v>
      </c>
      <c r="I1323" s="17" t="s">
        <v>31</v>
      </c>
      <c r="J1323" s="17">
        <v>2</v>
      </c>
      <c r="K1323" s="17" t="s">
        <v>62</v>
      </c>
      <c r="L1323" s="17" t="s">
        <v>29</v>
      </c>
      <c r="M1323" s="17" t="s">
        <v>535</v>
      </c>
      <c r="N1323" s="17">
        <v>538</v>
      </c>
      <c r="O1323" s="17">
        <v>538</v>
      </c>
      <c r="P1323" s="26">
        <f>(data[[#This Row],[LoadedMiles]]/data[[#This Row],[TotalMiles]])*100</f>
        <v>100</v>
      </c>
      <c r="Q1323" s="25">
        <f>data[[#This Row],[ShippingCost]]/data[[#This Row],[TotalMiles]]</f>
        <v>10.66542750929368</v>
      </c>
      <c r="R1323" s="17">
        <v>5738</v>
      </c>
      <c r="S1323" s="25">
        <f>data[[#This Row],[Revenue]]/data[[#This Row],[TotalMiles]]</f>
        <v>6.5817843866171</v>
      </c>
      <c r="T1323" s="26">
        <f>data[[#This Row],[Revenue]]-data[[#This Row],[ShippingCost]]</f>
        <v>-2197</v>
      </c>
      <c r="U1323" s="17">
        <v>3541</v>
      </c>
      <c r="V1323" s="17">
        <v>84</v>
      </c>
      <c r="W1323" s="17" t="s">
        <v>25</v>
      </c>
      <c r="X1323" s="17">
        <v>3</v>
      </c>
      <c r="Y1323" s="17">
        <f>data[[#This Row],[DeliveryDate]]-data[[#This Row],[ShipDate]]</f>
        <v>1</v>
      </c>
      <c r="Z1323" s="17" t="str">
        <f>IF(data[[#This Row],[Actual Delivery Days]]&gt;AD1324,"Yes","No")</f>
        <v>Yes</v>
      </c>
    </row>
    <row r="1324" spans="1:26">
      <c r="A1324" s="17">
        <v>10824</v>
      </c>
      <c r="B1324" s="17">
        <v>2</v>
      </c>
      <c r="C1324" s="17">
        <v>7</v>
      </c>
      <c r="D1324" s="17" t="s">
        <v>533</v>
      </c>
      <c r="E1324" s="17" t="s">
        <v>353</v>
      </c>
      <c r="F1324" s="17" t="str">
        <f>TEXT(data[[#This Row],[ShipDate]],"yyyy - mmmm")</f>
        <v>2016 - March</v>
      </c>
      <c r="G1324" s="17" t="str">
        <f>data[[#This Row],[OriginCity]] &amp; " - "  &amp; data[[#This Row],[DestinationCity]]</f>
        <v>Monon - Lansing</v>
      </c>
      <c r="H1324" s="17" t="s">
        <v>53</v>
      </c>
      <c r="I1324" s="17" t="s">
        <v>44</v>
      </c>
      <c r="J1324" s="17">
        <v>2</v>
      </c>
      <c r="K1324" s="17" t="s">
        <v>66</v>
      </c>
      <c r="L1324" s="17" t="s">
        <v>21</v>
      </c>
      <c r="M1324" s="17" t="s">
        <v>133</v>
      </c>
      <c r="N1324" s="17">
        <v>568</v>
      </c>
      <c r="O1324" s="17">
        <v>509</v>
      </c>
      <c r="P1324" s="26">
        <f>(data[[#This Row],[LoadedMiles]]/data[[#This Row],[TotalMiles]])*100</f>
        <v>89.612676056338032</v>
      </c>
      <c r="Q1324" s="25">
        <f>data[[#This Row],[ShippingCost]]/data[[#This Row],[TotalMiles]]</f>
        <v>3.538732394366197</v>
      </c>
      <c r="R1324" s="17">
        <v>2010</v>
      </c>
      <c r="S1324" s="25">
        <f>data[[#This Row],[Revenue]]/data[[#This Row],[TotalMiles]]</f>
        <v>5.142605633802817</v>
      </c>
      <c r="T1324" s="26">
        <f>data[[#This Row],[Revenue]]-data[[#This Row],[ShippingCost]]</f>
        <v>911</v>
      </c>
      <c r="U1324" s="17">
        <v>2921</v>
      </c>
      <c r="V1324" s="17">
        <v>63</v>
      </c>
      <c r="W1324" s="17" t="s">
        <v>25</v>
      </c>
      <c r="X1324" s="17">
        <v>5</v>
      </c>
      <c r="Y1324" s="17">
        <f>data[[#This Row],[DeliveryDate]]-data[[#This Row],[ShipDate]]</f>
        <v>2</v>
      </c>
      <c r="Z1324" s="17" t="str">
        <f>IF(data[[#This Row],[Actual Delivery Days]]&gt;AD1325,"Yes","No")</f>
        <v>Yes</v>
      </c>
    </row>
    <row r="1325" spans="1:26">
      <c r="A1325" s="17">
        <v>10828</v>
      </c>
      <c r="B1325" s="17">
        <v>1</v>
      </c>
      <c r="C1325" s="17">
        <v>8</v>
      </c>
      <c r="D1325" s="17" t="s">
        <v>539</v>
      </c>
      <c r="E1325" s="17" t="s">
        <v>252</v>
      </c>
      <c r="F1325" s="17" t="str">
        <f>TEXT(data[[#This Row],[ShipDate]],"yyyy - mmmm")</f>
        <v>2016 - March</v>
      </c>
      <c r="G1325" s="17" t="str">
        <f>data[[#This Row],[OriginCity]] &amp; " - "  &amp; data[[#This Row],[DestinationCity]]</f>
        <v>Rockford - Green Bay</v>
      </c>
      <c r="H1325" s="17" t="s">
        <v>40</v>
      </c>
      <c r="I1325" s="17" t="s">
        <v>31</v>
      </c>
      <c r="J1325" s="17">
        <v>2</v>
      </c>
      <c r="K1325" s="17" t="s">
        <v>75</v>
      </c>
      <c r="L1325" s="17" t="s">
        <v>29</v>
      </c>
      <c r="M1325" s="17" t="s">
        <v>253</v>
      </c>
      <c r="N1325" s="17">
        <v>1022</v>
      </c>
      <c r="O1325" s="17">
        <v>447</v>
      </c>
      <c r="P1325" s="26">
        <f>(data[[#This Row],[LoadedMiles]]/data[[#This Row],[TotalMiles]])*100</f>
        <v>43.737769080234834</v>
      </c>
      <c r="Q1325" s="25">
        <f>data[[#This Row],[ShippingCost]]/data[[#This Row],[TotalMiles]]</f>
        <v>1.6291585127201567</v>
      </c>
      <c r="R1325" s="17">
        <v>1665</v>
      </c>
      <c r="S1325" s="25">
        <f>data[[#This Row],[Revenue]]/data[[#This Row],[TotalMiles]]</f>
        <v>2.216242661448141</v>
      </c>
      <c r="T1325" s="26">
        <f>data[[#This Row],[Revenue]]-data[[#This Row],[ShippingCost]]</f>
        <v>600</v>
      </c>
      <c r="U1325" s="17">
        <v>2265</v>
      </c>
      <c r="V1325" s="17">
        <v>95</v>
      </c>
      <c r="W1325" s="17" t="s">
        <v>25</v>
      </c>
      <c r="X1325" s="17">
        <v>5</v>
      </c>
      <c r="Y1325" s="17">
        <f>data[[#This Row],[DeliveryDate]]-data[[#This Row],[ShipDate]]</f>
        <v>2</v>
      </c>
      <c r="Z1325" s="17" t="str">
        <f>IF(data[[#This Row],[Actual Delivery Days]]&gt;AD1326,"Yes","No")</f>
        <v>Yes</v>
      </c>
    </row>
    <row r="1326" spans="1:26">
      <c r="A1326" s="17">
        <v>10848</v>
      </c>
      <c r="B1326" s="17">
        <v>2</v>
      </c>
      <c r="C1326" s="17">
        <v>6</v>
      </c>
      <c r="D1326" s="17" t="s">
        <v>562</v>
      </c>
      <c r="E1326" s="17" t="s">
        <v>166</v>
      </c>
      <c r="F1326" s="17" t="str">
        <f>TEXT(data[[#This Row],[ShipDate]],"yyyy - mmmm")</f>
        <v>2016 - January</v>
      </c>
      <c r="G1326" s="17" t="str">
        <f>data[[#This Row],[OriginCity]] &amp; " - "  &amp; data[[#This Row],[DestinationCity]]</f>
        <v>Monon - Lansing</v>
      </c>
      <c r="H1326" s="17" t="s">
        <v>53</v>
      </c>
      <c r="I1326" s="17" t="s">
        <v>44</v>
      </c>
      <c r="J1326" s="17">
        <v>2</v>
      </c>
      <c r="K1326" s="17" t="s">
        <v>66</v>
      </c>
      <c r="L1326" s="17" t="s">
        <v>21</v>
      </c>
      <c r="M1326" s="17" t="s">
        <v>152</v>
      </c>
      <c r="N1326" s="17">
        <v>1196</v>
      </c>
      <c r="O1326" s="17">
        <v>586</v>
      </c>
      <c r="P1326" s="26">
        <f>(data[[#This Row],[LoadedMiles]]/data[[#This Row],[TotalMiles]])*100</f>
        <v>48.996655518394647</v>
      </c>
      <c r="Q1326" s="25">
        <f>data[[#This Row],[ShippingCost]]/data[[#This Row],[TotalMiles]]</f>
        <v>3.801839464882943</v>
      </c>
      <c r="R1326" s="17">
        <v>4547</v>
      </c>
      <c r="S1326" s="25">
        <f>data[[#This Row],[Revenue]]/data[[#This Row],[TotalMiles]]</f>
        <v>4.0083612040133776</v>
      </c>
      <c r="T1326" s="26">
        <f>data[[#This Row],[Revenue]]-data[[#This Row],[ShippingCost]]</f>
        <v>247</v>
      </c>
      <c r="U1326" s="17">
        <v>4794</v>
      </c>
      <c r="V1326" s="17">
        <v>85</v>
      </c>
      <c r="W1326" s="17" t="s">
        <v>25</v>
      </c>
      <c r="X1326" s="17">
        <v>8</v>
      </c>
      <c r="Y1326" s="17">
        <f>data[[#This Row],[DeliveryDate]]-data[[#This Row],[ShipDate]]</f>
        <v>2</v>
      </c>
      <c r="Z1326" s="17" t="str">
        <f>IF(data[[#This Row],[Actual Delivery Days]]&gt;AD1327,"Yes","No")</f>
        <v>Yes</v>
      </c>
    </row>
    <row r="1327" spans="1:26">
      <c r="A1327" s="17">
        <v>10849</v>
      </c>
      <c r="B1327" s="17">
        <v>1</v>
      </c>
      <c r="C1327" s="17">
        <v>5</v>
      </c>
      <c r="D1327" s="17" t="s">
        <v>563</v>
      </c>
      <c r="E1327" s="17" t="s">
        <v>103</v>
      </c>
      <c r="F1327" s="17" t="str">
        <f>TEXT(data[[#This Row],[ShipDate]],"yyyy - mmmm")</f>
        <v>2016 - August</v>
      </c>
      <c r="G1327" s="17" t="str">
        <f>data[[#This Row],[OriginCity]] &amp; " - "  &amp; data[[#This Row],[DestinationCity]]</f>
        <v>Madison - Kalamazoo</v>
      </c>
      <c r="H1327" s="17" t="s">
        <v>62</v>
      </c>
      <c r="I1327" s="17" t="s">
        <v>29</v>
      </c>
      <c r="J1327" s="17">
        <v>2</v>
      </c>
      <c r="K1327" s="17" t="s">
        <v>71</v>
      </c>
      <c r="L1327" s="17" t="s">
        <v>21</v>
      </c>
      <c r="M1327" s="17" t="s">
        <v>587</v>
      </c>
      <c r="N1327" s="17">
        <v>885</v>
      </c>
      <c r="O1327" s="17">
        <v>527</v>
      </c>
      <c r="P1327" s="26">
        <f>(data[[#This Row],[LoadedMiles]]/data[[#This Row],[TotalMiles]])*100</f>
        <v>59.548022598870055</v>
      </c>
      <c r="Q1327" s="25">
        <f>data[[#This Row],[ShippingCost]]/data[[#This Row],[TotalMiles]]</f>
        <v>8.8723163841807917</v>
      </c>
      <c r="R1327" s="17">
        <v>7852</v>
      </c>
      <c r="S1327" s="25">
        <f>data[[#This Row],[Revenue]]/data[[#This Row],[TotalMiles]]</f>
        <v>9.5774011299435031</v>
      </c>
      <c r="T1327" s="26">
        <f>data[[#This Row],[Revenue]]-data[[#This Row],[ShippingCost]]</f>
        <v>624</v>
      </c>
      <c r="U1327" s="17">
        <v>8476</v>
      </c>
      <c r="V1327" s="17">
        <v>74</v>
      </c>
      <c r="W1327" s="17" t="s">
        <v>25</v>
      </c>
      <c r="X1327" s="17">
        <v>9</v>
      </c>
      <c r="Y1327" s="17">
        <f>data[[#This Row],[DeliveryDate]]-data[[#This Row],[ShipDate]]</f>
        <v>2</v>
      </c>
      <c r="Z1327" s="17" t="str">
        <f>IF(data[[#This Row],[Actual Delivery Days]]&gt;AD1328,"Yes","No")</f>
        <v>Yes</v>
      </c>
    </row>
    <row r="1328" spans="1:26">
      <c r="A1328" s="17">
        <v>10851</v>
      </c>
      <c r="B1328" s="17">
        <v>1</v>
      </c>
      <c r="C1328" s="17">
        <v>2</v>
      </c>
      <c r="D1328" s="17" t="s">
        <v>565</v>
      </c>
      <c r="E1328" s="17" t="s">
        <v>298</v>
      </c>
      <c r="F1328" s="17" t="str">
        <f>TEXT(data[[#This Row],[ShipDate]],"yyyy - mmmm")</f>
        <v>2016 - July</v>
      </c>
      <c r="G1328" s="17" t="str">
        <f>data[[#This Row],[OriginCity]] &amp; " - "  &amp; data[[#This Row],[DestinationCity]]</f>
        <v>Naperville - Indianapolis</v>
      </c>
      <c r="H1328" s="17" t="s">
        <v>48</v>
      </c>
      <c r="I1328" s="17" t="s">
        <v>31</v>
      </c>
      <c r="J1328" s="17">
        <v>2</v>
      </c>
      <c r="K1328" s="17" t="s">
        <v>43</v>
      </c>
      <c r="L1328" s="17" t="s">
        <v>44</v>
      </c>
      <c r="M1328" s="17" t="s">
        <v>498</v>
      </c>
      <c r="N1328" s="17">
        <v>823</v>
      </c>
      <c r="O1328" s="17">
        <v>501</v>
      </c>
      <c r="P1328" s="26">
        <f>(data[[#This Row],[LoadedMiles]]/data[[#This Row],[TotalMiles]])*100</f>
        <v>60.874848116646419</v>
      </c>
      <c r="Q1328" s="25">
        <f>data[[#This Row],[ShippingCost]]/data[[#This Row],[TotalMiles]]</f>
        <v>8.5662211421628189</v>
      </c>
      <c r="R1328" s="17">
        <v>7050</v>
      </c>
      <c r="S1328" s="25">
        <f>data[[#This Row],[Revenue]]/data[[#This Row],[TotalMiles]]</f>
        <v>9.1275820170109352</v>
      </c>
      <c r="T1328" s="26">
        <f>data[[#This Row],[Revenue]]-data[[#This Row],[ShippingCost]]</f>
        <v>462</v>
      </c>
      <c r="U1328" s="17">
        <v>7512</v>
      </c>
      <c r="V1328" s="17">
        <v>90</v>
      </c>
      <c r="W1328" s="17" t="s">
        <v>25</v>
      </c>
      <c r="X1328" s="17">
        <v>4</v>
      </c>
      <c r="Y1328" s="17">
        <f>data[[#This Row],[DeliveryDate]]-data[[#This Row],[ShipDate]]</f>
        <v>1</v>
      </c>
      <c r="Z1328" s="17" t="str">
        <f>IF(data[[#This Row],[Actual Delivery Days]]&gt;AD1329,"Yes","No")</f>
        <v>Yes</v>
      </c>
    </row>
    <row r="1329" spans="1:26">
      <c r="A1329" s="17">
        <v>10857</v>
      </c>
      <c r="B1329" s="17">
        <v>2</v>
      </c>
      <c r="C1329" s="17">
        <v>6</v>
      </c>
      <c r="D1329" s="17" t="s">
        <v>572</v>
      </c>
      <c r="E1329" s="17" t="s">
        <v>352</v>
      </c>
      <c r="F1329" s="17" t="str">
        <f>TEXT(data[[#This Row],[ShipDate]],"yyyy - mmmm")</f>
        <v>2016 - March</v>
      </c>
      <c r="G1329" s="17" t="str">
        <f>data[[#This Row],[OriginCity]] &amp; " - "  &amp; data[[#This Row],[DestinationCity]]</f>
        <v>Lansing - Dayton</v>
      </c>
      <c r="H1329" s="17" t="s">
        <v>66</v>
      </c>
      <c r="I1329" s="17" t="s">
        <v>21</v>
      </c>
      <c r="J1329" s="17">
        <v>2</v>
      </c>
      <c r="K1329" s="17" t="s">
        <v>93</v>
      </c>
      <c r="L1329" s="17" t="s">
        <v>23</v>
      </c>
      <c r="M1329" s="17" t="s">
        <v>353</v>
      </c>
      <c r="N1329" s="17">
        <v>274</v>
      </c>
      <c r="O1329" s="17">
        <v>274</v>
      </c>
      <c r="P1329" s="26">
        <f>(data[[#This Row],[LoadedMiles]]/data[[#This Row],[TotalMiles]])*100</f>
        <v>100</v>
      </c>
      <c r="Q1329" s="25">
        <f>data[[#This Row],[ShippingCost]]/data[[#This Row],[TotalMiles]]</f>
        <v>27.945255474452555</v>
      </c>
      <c r="R1329" s="17">
        <v>7657</v>
      </c>
      <c r="S1329" s="25">
        <f>data[[#This Row],[Revenue]]/data[[#This Row],[TotalMiles]]</f>
        <v>31.427007299270073</v>
      </c>
      <c r="T1329" s="26">
        <f>data[[#This Row],[Revenue]]-data[[#This Row],[ShippingCost]]</f>
        <v>954</v>
      </c>
      <c r="U1329" s="17">
        <v>8611</v>
      </c>
      <c r="V1329" s="17">
        <v>98</v>
      </c>
      <c r="W1329" s="17" t="s">
        <v>86</v>
      </c>
      <c r="X1329" s="17">
        <v>3</v>
      </c>
      <c r="Y1329" s="17">
        <f>data[[#This Row],[DeliveryDate]]-data[[#This Row],[ShipDate]]</f>
        <v>2</v>
      </c>
      <c r="Z1329" s="17" t="str">
        <f>IF(data[[#This Row],[Actual Delivery Days]]&gt;AD1330,"Yes","No")</f>
        <v>Yes</v>
      </c>
    </row>
    <row r="1330" spans="1:26">
      <c r="A1330" s="17">
        <v>10860</v>
      </c>
      <c r="B1330" s="17">
        <v>1</v>
      </c>
      <c r="C1330" s="17">
        <v>4</v>
      </c>
      <c r="D1330" s="17" t="s">
        <v>576</v>
      </c>
      <c r="E1330" s="17" t="s">
        <v>337</v>
      </c>
      <c r="F1330" s="17" t="str">
        <f>TEXT(data[[#This Row],[ShipDate]],"yyyy - mmmm")</f>
        <v>2016 - March</v>
      </c>
      <c r="G1330" s="17" t="str">
        <f>data[[#This Row],[OriginCity]] &amp; " - "  &amp; data[[#This Row],[DestinationCity]]</f>
        <v>Skokie - Chicago</v>
      </c>
      <c r="H1330" s="17" t="s">
        <v>35</v>
      </c>
      <c r="I1330" s="17" t="s">
        <v>31</v>
      </c>
      <c r="J1330" s="17">
        <v>2</v>
      </c>
      <c r="K1330" s="17" t="s">
        <v>39</v>
      </c>
      <c r="L1330" s="17" t="s">
        <v>31</v>
      </c>
      <c r="M1330" s="17" t="s">
        <v>430</v>
      </c>
      <c r="N1330" s="17">
        <v>1041</v>
      </c>
      <c r="O1330" s="17">
        <v>202</v>
      </c>
      <c r="P1330" s="26">
        <f>(data[[#This Row],[LoadedMiles]]/data[[#This Row],[TotalMiles]])*100</f>
        <v>19.404418828049952</v>
      </c>
      <c r="Q1330" s="25">
        <f>data[[#This Row],[ShippingCost]]/data[[#This Row],[TotalMiles]]</f>
        <v>7.5235350624399615</v>
      </c>
      <c r="R1330" s="17">
        <v>7832</v>
      </c>
      <c r="S1330" s="25">
        <f>data[[#This Row],[Revenue]]/data[[#This Row],[TotalMiles]]</f>
        <v>5.3554274735830933</v>
      </c>
      <c r="T1330" s="26">
        <f>data[[#This Row],[Revenue]]-data[[#This Row],[ShippingCost]]</f>
        <v>-2257</v>
      </c>
      <c r="U1330" s="17">
        <v>5575</v>
      </c>
      <c r="V1330" s="17">
        <v>94</v>
      </c>
      <c r="W1330" s="17" t="s">
        <v>25</v>
      </c>
      <c r="X1330" s="17">
        <v>2</v>
      </c>
      <c r="Y1330" s="17">
        <f>data[[#This Row],[DeliveryDate]]-data[[#This Row],[ShipDate]]</f>
        <v>2</v>
      </c>
      <c r="Z1330" s="17" t="str">
        <f>IF(data[[#This Row],[Actual Delivery Days]]&gt;AD1331,"Yes","No")</f>
        <v>Yes</v>
      </c>
    </row>
    <row r="1331" spans="1:26">
      <c r="A1331" s="17">
        <v>10863</v>
      </c>
      <c r="B1331" s="17">
        <v>2</v>
      </c>
      <c r="C1331" s="17">
        <v>3</v>
      </c>
      <c r="D1331" s="17" t="s">
        <v>580</v>
      </c>
      <c r="E1331" s="17" t="s">
        <v>614</v>
      </c>
      <c r="F1331" s="17" t="str">
        <f>TEXT(data[[#This Row],[ShipDate]],"yyyy - mmmm")</f>
        <v>2016 - July</v>
      </c>
      <c r="G1331" s="17" t="str">
        <f>data[[#This Row],[OriginCity]] &amp; " - "  &amp; data[[#This Row],[DestinationCity]]</f>
        <v>Milwaukee - Springfield</v>
      </c>
      <c r="H1331" s="17" t="s">
        <v>28</v>
      </c>
      <c r="I1331" s="17" t="s">
        <v>29</v>
      </c>
      <c r="J1331" s="17">
        <v>2</v>
      </c>
      <c r="K1331" s="17" t="s">
        <v>30</v>
      </c>
      <c r="L1331" s="17" t="s">
        <v>31</v>
      </c>
      <c r="M1331" s="17" t="s">
        <v>155</v>
      </c>
      <c r="N1331" s="17">
        <v>796</v>
      </c>
      <c r="O1331" s="17">
        <v>286</v>
      </c>
      <c r="P1331" s="26">
        <f>(data[[#This Row],[LoadedMiles]]/data[[#This Row],[TotalMiles]])*100</f>
        <v>35.929648241206031</v>
      </c>
      <c r="Q1331" s="25">
        <f>data[[#This Row],[ShippingCost]]/data[[#This Row],[TotalMiles]]</f>
        <v>3.5389447236180906</v>
      </c>
      <c r="R1331" s="17">
        <v>2817</v>
      </c>
      <c r="S1331" s="25">
        <f>data[[#This Row],[Revenue]]/data[[#This Row],[TotalMiles]]</f>
        <v>4.0879396984924625</v>
      </c>
      <c r="T1331" s="26">
        <f>data[[#This Row],[Revenue]]-data[[#This Row],[ShippingCost]]</f>
        <v>437</v>
      </c>
      <c r="U1331" s="17">
        <v>3254</v>
      </c>
      <c r="V1331" s="17">
        <v>54</v>
      </c>
      <c r="W1331" s="17" t="s">
        <v>25</v>
      </c>
      <c r="X1331" s="17">
        <v>7</v>
      </c>
      <c r="Y1331" s="17">
        <f>data[[#This Row],[DeliveryDate]]-data[[#This Row],[ShipDate]]</f>
        <v>2</v>
      </c>
      <c r="Z1331" s="17" t="str">
        <f>IF(data[[#This Row],[Actual Delivery Days]]&gt;AD1332,"Yes","No")</f>
        <v>Yes</v>
      </c>
    </row>
    <row r="1332" spans="1:26">
      <c r="A1332" s="17">
        <v>10867</v>
      </c>
      <c r="B1332" s="17">
        <v>1</v>
      </c>
      <c r="C1332" s="17">
        <v>5</v>
      </c>
      <c r="D1332" s="17" t="s">
        <v>585</v>
      </c>
      <c r="E1332" s="17" t="s">
        <v>125</v>
      </c>
      <c r="F1332" s="17" t="str">
        <f>TEXT(data[[#This Row],[ShipDate]],"yyyy - mmmm")</f>
        <v>2016 - March</v>
      </c>
      <c r="G1332" s="17" t="str">
        <f>data[[#This Row],[OriginCity]] &amp; " - "  &amp; data[[#This Row],[DestinationCity]]</f>
        <v>Northbrook - Naperville</v>
      </c>
      <c r="H1332" s="17" t="s">
        <v>45</v>
      </c>
      <c r="I1332" s="17" t="s">
        <v>31</v>
      </c>
      <c r="J1332" s="17">
        <v>2</v>
      </c>
      <c r="K1332" s="17" t="s">
        <v>48</v>
      </c>
      <c r="L1332" s="17" t="s">
        <v>31</v>
      </c>
      <c r="M1332" s="17" t="s">
        <v>274</v>
      </c>
      <c r="N1332" s="17">
        <v>288</v>
      </c>
      <c r="O1332" s="17">
        <v>288</v>
      </c>
      <c r="P1332" s="26">
        <f>(data[[#This Row],[LoadedMiles]]/data[[#This Row],[TotalMiles]])*100</f>
        <v>100</v>
      </c>
      <c r="Q1332" s="25">
        <f>data[[#This Row],[ShippingCost]]/data[[#This Row],[TotalMiles]]</f>
        <v>0.1736111111111111</v>
      </c>
      <c r="R1332" s="17">
        <v>50</v>
      </c>
      <c r="S1332" s="25">
        <f>data[[#This Row],[Revenue]]/data[[#This Row],[TotalMiles]]</f>
        <v>0.75694444444444442</v>
      </c>
      <c r="T1332" s="26">
        <f>data[[#This Row],[Revenue]]-data[[#This Row],[ShippingCost]]</f>
        <v>168</v>
      </c>
      <c r="U1332" s="17">
        <v>218</v>
      </c>
      <c r="V1332" s="17">
        <v>88</v>
      </c>
      <c r="W1332" s="17" t="s">
        <v>25</v>
      </c>
      <c r="X1332" s="17">
        <v>2</v>
      </c>
      <c r="Y1332" s="17">
        <f>data[[#This Row],[DeliveryDate]]-data[[#This Row],[ShipDate]]</f>
        <v>2</v>
      </c>
      <c r="Z1332" s="17" t="str">
        <f>IF(data[[#This Row],[Actual Delivery Days]]&gt;AD1333,"Yes","No")</f>
        <v>Yes</v>
      </c>
    </row>
    <row r="1333" spans="1:26">
      <c r="A1333" s="17">
        <v>10869</v>
      </c>
      <c r="B1333" s="17">
        <v>2</v>
      </c>
      <c r="C1333" s="17">
        <v>5</v>
      </c>
      <c r="D1333" s="17" t="s">
        <v>588</v>
      </c>
      <c r="E1333" s="17" t="s">
        <v>253</v>
      </c>
      <c r="F1333" s="17" t="str">
        <f>TEXT(data[[#This Row],[ShipDate]],"yyyy - mmmm")</f>
        <v>2016 - April</v>
      </c>
      <c r="G1333" s="17" t="str">
        <f>data[[#This Row],[OriginCity]] &amp; " - "  &amp; data[[#This Row],[DestinationCity]]</f>
        <v>Gary - Milwaukee</v>
      </c>
      <c r="H1333" s="17" t="s">
        <v>57</v>
      </c>
      <c r="I1333" s="17" t="s">
        <v>44</v>
      </c>
      <c r="J1333" s="17">
        <v>2</v>
      </c>
      <c r="K1333" s="17" t="s">
        <v>28</v>
      </c>
      <c r="L1333" s="17" t="s">
        <v>29</v>
      </c>
      <c r="M1333" s="17" t="s">
        <v>51</v>
      </c>
      <c r="N1333" s="17">
        <v>1166</v>
      </c>
      <c r="O1333" s="17">
        <v>321</v>
      </c>
      <c r="P1333" s="26">
        <f>(data[[#This Row],[LoadedMiles]]/data[[#This Row],[TotalMiles]])*100</f>
        <v>27.530017152658665</v>
      </c>
      <c r="Q1333" s="25">
        <f>data[[#This Row],[ShippingCost]]/data[[#This Row],[TotalMiles]]</f>
        <v>3.9245283018867925</v>
      </c>
      <c r="R1333" s="17">
        <v>4576</v>
      </c>
      <c r="S1333" s="25">
        <f>data[[#This Row],[Revenue]]/data[[#This Row],[TotalMiles]]</f>
        <v>4.0754716981132075</v>
      </c>
      <c r="T1333" s="26">
        <f>data[[#This Row],[Revenue]]-data[[#This Row],[ShippingCost]]</f>
        <v>176</v>
      </c>
      <c r="U1333" s="17">
        <v>4752</v>
      </c>
      <c r="V1333" s="17">
        <v>82</v>
      </c>
      <c r="W1333" s="17" t="s">
        <v>25</v>
      </c>
      <c r="X1333" s="17">
        <v>1</v>
      </c>
      <c r="Y1333" s="17">
        <f>data[[#This Row],[DeliveryDate]]-data[[#This Row],[ShipDate]]</f>
        <v>2</v>
      </c>
      <c r="Z1333" s="17" t="str">
        <f>IF(data[[#This Row],[Actual Delivery Days]]&gt;AD1334,"Yes","No")</f>
        <v>Yes</v>
      </c>
    </row>
    <row r="1334" spans="1:26">
      <c r="A1334" s="17">
        <v>10870</v>
      </c>
      <c r="B1334" s="17">
        <v>1</v>
      </c>
      <c r="C1334" s="17">
        <v>3</v>
      </c>
      <c r="D1334" s="17" t="s">
        <v>589</v>
      </c>
      <c r="E1334" s="17" t="s">
        <v>132</v>
      </c>
      <c r="F1334" s="17" t="str">
        <f>TEXT(data[[#This Row],[ShipDate]],"yyyy - mmmm")</f>
        <v>2016 - February</v>
      </c>
      <c r="G1334" s="17" t="str">
        <f>data[[#This Row],[OriginCity]] &amp; " - "  &amp; data[[#This Row],[DestinationCity]]</f>
        <v>Joliet - Madison</v>
      </c>
      <c r="H1334" s="17" t="s">
        <v>61</v>
      </c>
      <c r="I1334" s="17" t="s">
        <v>31</v>
      </c>
      <c r="J1334" s="17">
        <v>2</v>
      </c>
      <c r="K1334" s="17" t="s">
        <v>62</v>
      </c>
      <c r="L1334" s="17" t="s">
        <v>29</v>
      </c>
      <c r="M1334" s="17" t="s">
        <v>132</v>
      </c>
      <c r="N1334" s="17">
        <v>214</v>
      </c>
      <c r="O1334" s="17">
        <v>214</v>
      </c>
      <c r="P1334" s="26">
        <f>(data[[#This Row],[LoadedMiles]]/data[[#This Row],[TotalMiles]])*100</f>
        <v>100</v>
      </c>
      <c r="Q1334" s="25">
        <f>data[[#This Row],[ShippingCost]]/data[[#This Row],[TotalMiles]]</f>
        <v>17.135514018691588</v>
      </c>
      <c r="R1334" s="17">
        <v>3667</v>
      </c>
      <c r="S1334" s="25">
        <f>data[[#This Row],[Revenue]]/data[[#This Row],[TotalMiles]]</f>
        <v>17.906542056074766</v>
      </c>
      <c r="T1334" s="26">
        <f>data[[#This Row],[Revenue]]-data[[#This Row],[ShippingCost]]</f>
        <v>165</v>
      </c>
      <c r="U1334" s="17">
        <v>3832</v>
      </c>
      <c r="V1334" s="17">
        <v>64</v>
      </c>
      <c r="W1334" s="17" t="s">
        <v>25</v>
      </c>
      <c r="X1334" s="17">
        <v>6</v>
      </c>
      <c r="Y1334" s="17">
        <f>data[[#This Row],[DeliveryDate]]-data[[#This Row],[ShipDate]]</f>
        <v>0</v>
      </c>
      <c r="Z1334" s="17" t="str">
        <f>IF(data[[#This Row],[Actual Delivery Days]]&gt;AD1335,"Yes","No")</f>
        <v>No</v>
      </c>
    </row>
    <row r="1335" spans="1:26">
      <c r="A1335" s="17">
        <v>10876</v>
      </c>
      <c r="B1335" s="17">
        <v>1</v>
      </c>
      <c r="C1335" s="17">
        <v>1</v>
      </c>
      <c r="D1335" s="17" t="s">
        <v>596</v>
      </c>
      <c r="E1335" s="17" t="s">
        <v>38</v>
      </c>
      <c r="F1335" s="17" t="str">
        <f>TEXT(data[[#This Row],[ShipDate]],"yyyy - mmmm")</f>
        <v>2016 - August</v>
      </c>
      <c r="G1335" s="17" t="str">
        <f>data[[#This Row],[OriginCity]] &amp; " - "  &amp; data[[#This Row],[DestinationCity]]</f>
        <v>Cincinnati - Gary</v>
      </c>
      <c r="H1335" s="17" t="s">
        <v>89</v>
      </c>
      <c r="I1335" s="17" t="s">
        <v>23</v>
      </c>
      <c r="J1335" s="17">
        <v>2</v>
      </c>
      <c r="K1335" s="17" t="s">
        <v>57</v>
      </c>
      <c r="L1335" s="17" t="s">
        <v>44</v>
      </c>
      <c r="M1335" s="17" t="s">
        <v>139</v>
      </c>
      <c r="N1335" s="17">
        <v>696</v>
      </c>
      <c r="O1335" s="17">
        <v>671</v>
      </c>
      <c r="P1335" s="26">
        <f>(data[[#This Row],[LoadedMiles]]/data[[#This Row],[TotalMiles]])*100</f>
        <v>96.408045977011497</v>
      </c>
      <c r="Q1335" s="25">
        <f>data[[#This Row],[ShippingCost]]/data[[#This Row],[TotalMiles]]</f>
        <v>3.6594827586206895</v>
      </c>
      <c r="R1335" s="17">
        <v>2547</v>
      </c>
      <c r="S1335" s="25">
        <f>data[[#This Row],[Revenue]]/data[[#This Row],[TotalMiles]]</f>
        <v>11.441091954022989</v>
      </c>
      <c r="T1335" s="26">
        <f>data[[#This Row],[Revenue]]-data[[#This Row],[ShippingCost]]</f>
        <v>5416</v>
      </c>
      <c r="U1335" s="17">
        <v>7963</v>
      </c>
      <c r="V1335" s="17">
        <v>71</v>
      </c>
      <c r="W1335" s="17" t="s">
        <v>25</v>
      </c>
      <c r="X1335" s="17">
        <v>1</v>
      </c>
      <c r="Y1335" s="17">
        <f>data[[#This Row],[DeliveryDate]]-data[[#This Row],[ShipDate]]</f>
        <v>2</v>
      </c>
      <c r="Z1335" s="17" t="str">
        <f>IF(data[[#This Row],[Actual Delivery Days]]&gt;AD1336,"Yes","No")</f>
        <v>Yes</v>
      </c>
    </row>
    <row r="1336" spans="1:26">
      <c r="A1336" s="17">
        <v>10900</v>
      </c>
      <c r="B1336" s="17">
        <v>1</v>
      </c>
      <c r="C1336" s="17">
        <v>2</v>
      </c>
      <c r="D1336" s="17" t="s">
        <v>91</v>
      </c>
      <c r="E1336" s="17" t="s">
        <v>467</v>
      </c>
      <c r="F1336" s="17" t="str">
        <f>TEXT(data[[#This Row],[ShipDate]],"yyyy - mmmm")</f>
        <v>2016 - July</v>
      </c>
      <c r="G1336" s="17" t="str">
        <f>data[[#This Row],[OriginCity]] &amp; " - "  &amp; data[[#This Row],[DestinationCity]]</f>
        <v>Dayton - Elgin</v>
      </c>
      <c r="H1336" s="17" t="s">
        <v>93</v>
      </c>
      <c r="I1336" s="17" t="s">
        <v>23</v>
      </c>
      <c r="J1336" s="17">
        <v>2</v>
      </c>
      <c r="K1336" s="17" t="s">
        <v>94</v>
      </c>
      <c r="L1336" s="17" t="s">
        <v>31</v>
      </c>
      <c r="M1336" s="17" t="s">
        <v>144</v>
      </c>
      <c r="N1336" s="17">
        <v>881</v>
      </c>
      <c r="O1336" s="17">
        <v>760</v>
      </c>
      <c r="P1336" s="26">
        <f>(data[[#This Row],[LoadedMiles]]/data[[#This Row],[TotalMiles]])*100</f>
        <v>86.265607264472195</v>
      </c>
      <c r="Q1336" s="25">
        <f>data[[#This Row],[ShippingCost]]/data[[#This Row],[TotalMiles]]</f>
        <v>0.77185017026106695</v>
      </c>
      <c r="R1336" s="17">
        <v>680</v>
      </c>
      <c r="S1336" s="25">
        <f>data[[#This Row],[Revenue]]/data[[#This Row],[TotalMiles]]</f>
        <v>0.99205448354143022</v>
      </c>
      <c r="T1336" s="26">
        <f>data[[#This Row],[Revenue]]-data[[#This Row],[ShippingCost]]</f>
        <v>194</v>
      </c>
      <c r="U1336" s="17">
        <v>874</v>
      </c>
      <c r="V1336" s="17">
        <v>86</v>
      </c>
      <c r="W1336" s="17" t="s">
        <v>25</v>
      </c>
      <c r="X1336" s="17">
        <v>3</v>
      </c>
      <c r="Y1336" s="17">
        <f>data[[#This Row],[DeliveryDate]]-data[[#This Row],[ShipDate]]</f>
        <v>1</v>
      </c>
      <c r="Z1336" s="17" t="str">
        <f>IF(data[[#This Row],[Actual Delivery Days]]&gt;AD1337,"Yes","No")</f>
        <v>Yes</v>
      </c>
    </row>
    <row r="1337" spans="1:26">
      <c r="A1337" s="17">
        <v>10906</v>
      </c>
      <c r="B1337" s="17">
        <v>2</v>
      </c>
      <c r="C1337" s="17">
        <v>2</v>
      </c>
      <c r="D1337" s="17" t="s">
        <v>113</v>
      </c>
      <c r="E1337" s="17" t="s">
        <v>268</v>
      </c>
      <c r="F1337" s="17" t="str">
        <f>TEXT(data[[#This Row],[ShipDate]],"yyyy - mmmm")</f>
        <v>2016 - February</v>
      </c>
      <c r="G1337" s="17" t="str">
        <f>data[[#This Row],[OriginCity]] &amp; " - "  &amp; data[[#This Row],[DestinationCity]]</f>
        <v>Kalamazoo - Bangor</v>
      </c>
      <c r="H1337" s="17" t="s">
        <v>71</v>
      </c>
      <c r="I1337" s="17" t="s">
        <v>21</v>
      </c>
      <c r="J1337" s="17">
        <v>2</v>
      </c>
      <c r="K1337" s="17" t="s">
        <v>104</v>
      </c>
      <c r="L1337" s="17" t="s">
        <v>21</v>
      </c>
      <c r="M1337" s="17" t="s">
        <v>291</v>
      </c>
      <c r="N1337" s="17">
        <v>887</v>
      </c>
      <c r="O1337" s="17">
        <v>410</v>
      </c>
      <c r="P1337" s="26">
        <f>(data[[#This Row],[LoadedMiles]]/data[[#This Row],[TotalMiles]])*100</f>
        <v>46.223224351747469</v>
      </c>
      <c r="Q1337" s="25">
        <f>data[[#This Row],[ShippingCost]]/data[[#This Row],[TotalMiles]]</f>
        <v>5.3337091319052989</v>
      </c>
      <c r="R1337" s="17">
        <v>4731</v>
      </c>
      <c r="S1337" s="25">
        <f>data[[#This Row],[Revenue]]/data[[#This Row],[TotalMiles]]</f>
        <v>5.5997745208568208</v>
      </c>
      <c r="T1337" s="26">
        <f>data[[#This Row],[Revenue]]-data[[#This Row],[ShippingCost]]</f>
        <v>236</v>
      </c>
      <c r="U1337" s="17">
        <v>4967</v>
      </c>
      <c r="V1337" s="17">
        <v>55</v>
      </c>
      <c r="W1337" s="17" t="s">
        <v>25</v>
      </c>
      <c r="X1337" s="17">
        <v>8</v>
      </c>
      <c r="Y1337" s="17">
        <f>data[[#This Row],[DeliveryDate]]-data[[#This Row],[ShipDate]]</f>
        <v>2</v>
      </c>
      <c r="Z1337" s="17" t="str">
        <f>IF(data[[#This Row],[Actual Delivery Days]]&gt;AD1338,"Yes","No")</f>
        <v>Yes</v>
      </c>
    </row>
    <row r="1338" spans="1:26">
      <c r="A1338" s="17">
        <v>10908</v>
      </c>
      <c r="B1338" s="17">
        <v>1</v>
      </c>
      <c r="C1338" s="17">
        <v>6</v>
      </c>
      <c r="D1338" s="17" t="s">
        <v>117</v>
      </c>
      <c r="E1338" s="17" t="s">
        <v>363</v>
      </c>
      <c r="F1338" s="17" t="str">
        <f>TEXT(data[[#This Row],[ShipDate]],"yyyy - mmmm")</f>
        <v>2016 - February</v>
      </c>
      <c r="G1338" s="17" t="str">
        <f>data[[#This Row],[OriginCity]] &amp; " - "  &amp; data[[#This Row],[DestinationCity]]</f>
        <v>Grand Rapids - Toledo</v>
      </c>
      <c r="H1338" s="17" t="s">
        <v>20</v>
      </c>
      <c r="I1338" s="17" t="s">
        <v>21</v>
      </c>
      <c r="J1338" s="17">
        <v>2</v>
      </c>
      <c r="K1338" s="17" t="s">
        <v>22</v>
      </c>
      <c r="L1338" s="17" t="s">
        <v>23</v>
      </c>
      <c r="M1338" s="17" t="s">
        <v>333</v>
      </c>
      <c r="N1338" s="17">
        <v>772</v>
      </c>
      <c r="O1338" s="17">
        <v>217</v>
      </c>
      <c r="P1338" s="26">
        <f>(data[[#This Row],[LoadedMiles]]/data[[#This Row],[TotalMiles]])*100</f>
        <v>28.108808290155441</v>
      </c>
      <c r="Q1338" s="25">
        <f>data[[#This Row],[ShippingCost]]/data[[#This Row],[TotalMiles]]</f>
        <v>9.5207253886010363</v>
      </c>
      <c r="R1338" s="17">
        <v>7350</v>
      </c>
      <c r="S1338" s="25">
        <f>data[[#This Row],[Revenue]]/data[[#This Row],[TotalMiles]]</f>
        <v>10.810880829015543</v>
      </c>
      <c r="T1338" s="26">
        <f>data[[#This Row],[Revenue]]-data[[#This Row],[ShippingCost]]</f>
        <v>996</v>
      </c>
      <c r="U1338" s="17">
        <v>8346</v>
      </c>
      <c r="V1338" s="17">
        <v>79</v>
      </c>
      <c r="W1338" s="17" t="s">
        <v>25</v>
      </c>
      <c r="X1338" s="17">
        <v>3</v>
      </c>
      <c r="Y1338" s="17">
        <f>data[[#This Row],[DeliveryDate]]-data[[#This Row],[ShipDate]]</f>
        <v>1</v>
      </c>
      <c r="Z1338" s="17" t="str">
        <f>IF(data[[#This Row],[Actual Delivery Days]]&gt;AD1339,"Yes","No")</f>
        <v>Yes</v>
      </c>
    </row>
    <row r="1339" spans="1:26">
      <c r="A1339" s="17">
        <v>10914</v>
      </c>
      <c r="B1339" s="17">
        <v>2</v>
      </c>
      <c r="C1339" s="17">
        <v>3</v>
      </c>
      <c r="D1339" s="17" t="s">
        <v>134</v>
      </c>
      <c r="E1339" s="17" t="s">
        <v>196</v>
      </c>
      <c r="F1339" s="17" t="str">
        <f>TEXT(data[[#This Row],[ShipDate]],"yyyy - mmmm")</f>
        <v>2016 - May</v>
      </c>
      <c r="G1339" s="17" t="str">
        <f>data[[#This Row],[OriginCity]] &amp; " - "  &amp; data[[#This Row],[DestinationCity]]</f>
        <v>Detriot - Monon</v>
      </c>
      <c r="H1339" s="17" t="s">
        <v>52</v>
      </c>
      <c r="I1339" s="17" t="s">
        <v>21</v>
      </c>
      <c r="J1339" s="17">
        <v>2</v>
      </c>
      <c r="K1339" s="17" t="s">
        <v>53</v>
      </c>
      <c r="L1339" s="17" t="s">
        <v>44</v>
      </c>
      <c r="M1339" s="17" t="s">
        <v>286</v>
      </c>
      <c r="N1339" s="17">
        <v>1001</v>
      </c>
      <c r="O1339" s="17">
        <v>402</v>
      </c>
      <c r="P1339" s="26">
        <f>(data[[#This Row],[LoadedMiles]]/data[[#This Row],[TotalMiles]])*100</f>
        <v>40.159840159840158</v>
      </c>
      <c r="Q1339" s="25">
        <f>data[[#This Row],[ShippingCost]]/data[[#This Row],[TotalMiles]]</f>
        <v>2.8881118881118879</v>
      </c>
      <c r="R1339" s="17">
        <v>2891</v>
      </c>
      <c r="S1339" s="25">
        <f>data[[#This Row],[Revenue]]/data[[#This Row],[TotalMiles]]</f>
        <v>3.7362637362637363</v>
      </c>
      <c r="T1339" s="26">
        <f>data[[#This Row],[Revenue]]-data[[#This Row],[ShippingCost]]</f>
        <v>849</v>
      </c>
      <c r="U1339" s="17">
        <v>3740</v>
      </c>
      <c r="V1339" s="17">
        <v>59</v>
      </c>
      <c r="W1339" s="17" t="s">
        <v>86</v>
      </c>
      <c r="X1339" s="17">
        <v>7</v>
      </c>
      <c r="Y1339" s="17">
        <f>data[[#This Row],[DeliveryDate]]-data[[#This Row],[ShipDate]]</f>
        <v>2</v>
      </c>
      <c r="Z1339" s="17" t="str">
        <f>IF(data[[#This Row],[Actual Delivery Days]]&gt;AD1340,"Yes","No")</f>
        <v>Yes</v>
      </c>
    </row>
    <row r="1340" spans="1:26">
      <c r="A1340" s="17">
        <v>10915</v>
      </c>
      <c r="B1340" s="17">
        <v>3</v>
      </c>
      <c r="C1340" s="17">
        <v>3</v>
      </c>
      <c r="D1340" s="17" t="s">
        <v>137</v>
      </c>
      <c r="E1340" s="17" t="s">
        <v>619</v>
      </c>
      <c r="F1340" s="17" t="str">
        <f>TEXT(data[[#This Row],[ShipDate]],"yyyy - mmmm")</f>
        <v>2016 - June</v>
      </c>
      <c r="G1340" s="17" t="str">
        <f>data[[#This Row],[OriginCity]] &amp; " - "  &amp; data[[#This Row],[DestinationCity]]</f>
        <v>Gary - Milwaukee</v>
      </c>
      <c r="H1340" s="17" t="s">
        <v>57</v>
      </c>
      <c r="I1340" s="17" t="s">
        <v>44</v>
      </c>
      <c r="J1340" s="17">
        <v>2</v>
      </c>
      <c r="K1340" s="17" t="s">
        <v>28</v>
      </c>
      <c r="L1340" s="17" t="s">
        <v>29</v>
      </c>
      <c r="M1340" s="17" t="s">
        <v>537</v>
      </c>
      <c r="N1340" s="17">
        <v>1145</v>
      </c>
      <c r="O1340" s="17">
        <v>400</v>
      </c>
      <c r="P1340" s="26">
        <f>(data[[#This Row],[LoadedMiles]]/data[[#This Row],[TotalMiles]])*100</f>
        <v>34.934497816593883</v>
      </c>
      <c r="Q1340" s="25">
        <f>data[[#This Row],[ShippingCost]]/data[[#This Row],[TotalMiles]]</f>
        <v>5.8454148471615719</v>
      </c>
      <c r="R1340" s="17">
        <v>6693</v>
      </c>
      <c r="S1340" s="25">
        <f>data[[#This Row],[Revenue]]/data[[#This Row],[TotalMiles]]</f>
        <v>5.9685589519650657</v>
      </c>
      <c r="T1340" s="26">
        <f>data[[#This Row],[Revenue]]-data[[#This Row],[ShippingCost]]</f>
        <v>141</v>
      </c>
      <c r="U1340" s="17">
        <v>6834</v>
      </c>
      <c r="V1340" s="17">
        <v>80</v>
      </c>
      <c r="W1340" s="17" t="s">
        <v>25</v>
      </c>
      <c r="X1340" s="17">
        <v>2</v>
      </c>
      <c r="Y1340" s="17">
        <f>data[[#This Row],[DeliveryDate]]-data[[#This Row],[ShipDate]]</f>
        <v>2</v>
      </c>
      <c r="Z1340" s="17" t="str">
        <f>IF(data[[#This Row],[Actual Delivery Days]]&gt;AD1341,"Yes","No")</f>
        <v>Yes</v>
      </c>
    </row>
    <row r="1341" spans="1:26">
      <c r="A1341" s="17">
        <v>10917</v>
      </c>
      <c r="B1341" s="17">
        <v>3</v>
      </c>
      <c r="C1341" s="17">
        <v>5</v>
      </c>
      <c r="D1341" s="17" t="s">
        <v>143</v>
      </c>
      <c r="E1341" s="17" t="s">
        <v>255</v>
      </c>
      <c r="F1341" s="17" t="str">
        <f>TEXT(data[[#This Row],[ShipDate]],"yyyy - mmmm")</f>
        <v>2016 - February</v>
      </c>
      <c r="G1341" s="17" t="str">
        <f>data[[#This Row],[OriginCity]] &amp; " - "  &amp; data[[#This Row],[DestinationCity]]</f>
        <v>Monon - Lansing</v>
      </c>
      <c r="H1341" s="17" t="s">
        <v>53</v>
      </c>
      <c r="I1341" s="17" t="s">
        <v>44</v>
      </c>
      <c r="J1341" s="17">
        <v>2</v>
      </c>
      <c r="K1341" s="17" t="s">
        <v>66</v>
      </c>
      <c r="L1341" s="17" t="s">
        <v>21</v>
      </c>
      <c r="M1341" s="17" t="s">
        <v>206</v>
      </c>
      <c r="N1341" s="17">
        <v>755</v>
      </c>
      <c r="O1341" s="17">
        <v>693</v>
      </c>
      <c r="P1341" s="26">
        <f>(data[[#This Row],[LoadedMiles]]/data[[#This Row],[TotalMiles]])*100</f>
        <v>91.788079470198682</v>
      </c>
      <c r="Q1341" s="25">
        <f>data[[#This Row],[ShippingCost]]/data[[#This Row],[TotalMiles]]</f>
        <v>8.4662251655629142</v>
      </c>
      <c r="R1341" s="17">
        <v>6392</v>
      </c>
      <c r="S1341" s="25">
        <f>data[[#This Row],[Revenue]]/data[[#This Row],[TotalMiles]]</f>
        <v>9.4304635761589406</v>
      </c>
      <c r="T1341" s="26">
        <f>data[[#This Row],[Revenue]]-data[[#This Row],[ShippingCost]]</f>
        <v>728</v>
      </c>
      <c r="U1341" s="17">
        <v>7120</v>
      </c>
      <c r="V1341" s="17">
        <v>93</v>
      </c>
      <c r="W1341" s="17" t="s">
        <v>25</v>
      </c>
      <c r="X1341" s="17">
        <v>3</v>
      </c>
      <c r="Y1341" s="17">
        <f>data[[#This Row],[DeliveryDate]]-data[[#This Row],[ShipDate]]</f>
        <v>2</v>
      </c>
      <c r="Z1341" s="17" t="str">
        <f>IF(data[[#This Row],[Actual Delivery Days]]&gt;AD1342,"Yes","No")</f>
        <v>Yes</v>
      </c>
    </row>
    <row r="1342" spans="1:26">
      <c r="A1342" s="17">
        <v>10920</v>
      </c>
      <c r="B1342" s="17">
        <v>3</v>
      </c>
      <c r="C1342" s="17">
        <v>2</v>
      </c>
      <c r="D1342" s="17" t="s">
        <v>151</v>
      </c>
      <c r="E1342" s="17" t="s">
        <v>312</v>
      </c>
      <c r="F1342" s="17" t="str">
        <f>TEXT(data[[#This Row],[ShipDate]],"yyyy - mmmm")</f>
        <v>2016 - May</v>
      </c>
      <c r="G1342" s="17" t="str">
        <f>data[[#This Row],[OriginCity]] &amp; " - "  &amp; data[[#This Row],[DestinationCity]]</f>
        <v>Naperville - Indianapolis</v>
      </c>
      <c r="H1342" s="17" t="s">
        <v>48</v>
      </c>
      <c r="I1342" s="17" t="s">
        <v>31</v>
      </c>
      <c r="J1342" s="17">
        <v>2</v>
      </c>
      <c r="K1342" s="17" t="s">
        <v>43</v>
      </c>
      <c r="L1342" s="17" t="s">
        <v>44</v>
      </c>
      <c r="M1342" s="17" t="s">
        <v>231</v>
      </c>
      <c r="N1342" s="17">
        <v>980</v>
      </c>
      <c r="O1342" s="17">
        <v>736</v>
      </c>
      <c r="P1342" s="26">
        <f>(data[[#This Row],[LoadedMiles]]/data[[#This Row],[TotalMiles]])*100</f>
        <v>75.102040816326536</v>
      </c>
      <c r="Q1342" s="25">
        <f>data[[#This Row],[ShippingCost]]/data[[#This Row],[TotalMiles]]</f>
        <v>5.0775510204081629</v>
      </c>
      <c r="R1342" s="17">
        <v>4976</v>
      </c>
      <c r="S1342" s="25">
        <f>data[[#This Row],[Revenue]]/data[[#This Row],[TotalMiles]]</f>
        <v>5.5571428571428569</v>
      </c>
      <c r="T1342" s="26">
        <f>data[[#This Row],[Revenue]]-data[[#This Row],[ShippingCost]]</f>
        <v>470</v>
      </c>
      <c r="U1342" s="17">
        <v>5446</v>
      </c>
      <c r="V1342" s="17">
        <v>96</v>
      </c>
      <c r="W1342" s="17" t="s">
        <v>25</v>
      </c>
      <c r="X1342" s="17">
        <v>8</v>
      </c>
      <c r="Y1342" s="17">
        <f>data[[#This Row],[DeliveryDate]]-data[[#This Row],[ShipDate]]</f>
        <v>1</v>
      </c>
      <c r="Z1342" s="17" t="str">
        <f>IF(data[[#This Row],[Actual Delivery Days]]&gt;AD1343,"Yes","No")</f>
        <v>Yes</v>
      </c>
    </row>
    <row r="1343" spans="1:26">
      <c r="A1343" s="17">
        <v>10923</v>
      </c>
      <c r="B1343" s="17">
        <v>2</v>
      </c>
      <c r="C1343" s="17">
        <v>4</v>
      </c>
      <c r="D1343" s="17" t="s">
        <v>159</v>
      </c>
      <c r="E1343" s="17" t="s">
        <v>373</v>
      </c>
      <c r="F1343" s="17" t="str">
        <f>TEXT(data[[#This Row],[ShipDate]],"yyyy - mmmm")</f>
        <v>2016 - May</v>
      </c>
      <c r="G1343" s="17" t="str">
        <f>data[[#This Row],[OriginCity]] &amp; " - "  &amp; data[[#This Row],[DestinationCity]]</f>
        <v>Cincinnati - Gary</v>
      </c>
      <c r="H1343" s="17" t="s">
        <v>89</v>
      </c>
      <c r="I1343" s="17" t="s">
        <v>23</v>
      </c>
      <c r="J1343" s="17">
        <v>2</v>
      </c>
      <c r="K1343" s="17" t="s">
        <v>57</v>
      </c>
      <c r="L1343" s="17" t="s">
        <v>44</v>
      </c>
      <c r="M1343" s="17" t="s">
        <v>344</v>
      </c>
      <c r="N1343" s="17">
        <v>771</v>
      </c>
      <c r="O1343" s="17">
        <v>475</v>
      </c>
      <c r="P1343" s="26">
        <f>(data[[#This Row],[LoadedMiles]]/data[[#This Row],[TotalMiles]])*100</f>
        <v>61.608300907911804</v>
      </c>
      <c r="Q1343" s="25">
        <f>data[[#This Row],[ShippingCost]]/data[[#This Row],[TotalMiles]]</f>
        <v>6.2529182879377432</v>
      </c>
      <c r="R1343" s="17">
        <v>4821</v>
      </c>
      <c r="S1343" s="25">
        <f>data[[#This Row],[Revenue]]/data[[#This Row],[TotalMiles]]</f>
        <v>3.588845654993515</v>
      </c>
      <c r="T1343" s="26">
        <f>data[[#This Row],[Revenue]]-data[[#This Row],[ShippingCost]]</f>
        <v>-2054</v>
      </c>
      <c r="U1343" s="17">
        <v>2767</v>
      </c>
      <c r="V1343" s="17">
        <v>67</v>
      </c>
      <c r="W1343" s="17" t="s">
        <v>25</v>
      </c>
      <c r="X1343" s="17">
        <v>1</v>
      </c>
      <c r="Y1343" s="17">
        <f>data[[#This Row],[DeliveryDate]]-data[[#This Row],[ShipDate]]</f>
        <v>2</v>
      </c>
      <c r="Z1343" s="17" t="str">
        <f>IF(data[[#This Row],[Actual Delivery Days]]&gt;AD1344,"Yes","No")</f>
        <v>Yes</v>
      </c>
    </row>
    <row r="1344" spans="1:26">
      <c r="A1344" s="17">
        <v>10927</v>
      </c>
      <c r="B1344" s="17">
        <v>2</v>
      </c>
      <c r="C1344" s="17">
        <v>3</v>
      </c>
      <c r="D1344" s="17" t="s">
        <v>169</v>
      </c>
      <c r="E1344" s="17" t="s">
        <v>368</v>
      </c>
      <c r="F1344" s="17" t="str">
        <f>TEXT(data[[#This Row],[ShipDate]],"yyyy - mmmm")</f>
        <v>2016 - May</v>
      </c>
      <c r="G1344" s="17" t="str">
        <f>data[[#This Row],[OriginCity]] &amp; " - "  &amp; data[[#This Row],[DestinationCity]]</f>
        <v>Bangor - Davenport</v>
      </c>
      <c r="H1344" s="17" t="s">
        <v>104</v>
      </c>
      <c r="I1344" s="17" t="s">
        <v>21</v>
      </c>
      <c r="J1344" s="17">
        <v>2</v>
      </c>
      <c r="K1344" s="17" t="s">
        <v>105</v>
      </c>
      <c r="L1344" s="17" t="s">
        <v>106</v>
      </c>
      <c r="M1344" s="17" t="s">
        <v>509</v>
      </c>
      <c r="N1344" s="17">
        <v>279</v>
      </c>
      <c r="O1344" s="17">
        <v>279</v>
      </c>
      <c r="P1344" s="26">
        <f>(data[[#This Row],[LoadedMiles]]/data[[#This Row],[TotalMiles]])*100</f>
        <v>100</v>
      </c>
      <c r="Q1344" s="25">
        <f>data[[#This Row],[ShippingCost]]/data[[#This Row],[TotalMiles]]</f>
        <v>9.6093189964157713</v>
      </c>
      <c r="R1344" s="17">
        <v>2681</v>
      </c>
      <c r="S1344" s="25">
        <f>data[[#This Row],[Revenue]]/data[[#This Row],[TotalMiles]]</f>
        <v>11.899641577060931</v>
      </c>
      <c r="T1344" s="26">
        <f>data[[#This Row],[Revenue]]-data[[#This Row],[ShippingCost]]</f>
        <v>639</v>
      </c>
      <c r="U1344" s="17">
        <v>3320</v>
      </c>
      <c r="V1344" s="17">
        <v>73</v>
      </c>
      <c r="W1344" s="17" t="s">
        <v>25</v>
      </c>
      <c r="X1344" s="17">
        <v>9</v>
      </c>
      <c r="Y1344" s="17">
        <f>data[[#This Row],[DeliveryDate]]-data[[#This Row],[ShipDate]]</f>
        <v>2</v>
      </c>
      <c r="Z1344" s="17" t="str">
        <f>IF(data[[#This Row],[Actual Delivery Days]]&gt;AD1345,"Yes","No")</f>
        <v>Yes</v>
      </c>
    </row>
    <row r="1345" spans="1:26">
      <c r="A1345" s="17">
        <v>10932</v>
      </c>
      <c r="B1345" s="17">
        <v>3</v>
      </c>
      <c r="C1345" s="17">
        <v>2</v>
      </c>
      <c r="D1345" s="17" t="s">
        <v>185</v>
      </c>
      <c r="E1345" s="17" t="s">
        <v>49</v>
      </c>
      <c r="F1345" s="17" t="str">
        <f>TEXT(data[[#This Row],[ShipDate]],"yyyy - mmmm")</f>
        <v>2016 - April</v>
      </c>
      <c r="G1345" s="17" t="str">
        <f>data[[#This Row],[OriginCity]] &amp; " - "  &amp; data[[#This Row],[DestinationCity]]</f>
        <v>Springfield - Skokie</v>
      </c>
      <c r="H1345" s="17" t="s">
        <v>30</v>
      </c>
      <c r="I1345" s="17" t="s">
        <v>31</v>
      </c>
      <c r="J1345" s="17">
        <v>2</v>
      </c>
      <c r="K1345" s="17" t="s">
        <v>35</v>
      </c>
      <c r="L1345" s="17" t="s">
        <v>31</v>
      </c>
      <c r="M1345" s="17" t="s">
        <v>624</v>
      </c>
      <c r="N1345" s="17">
        <v>685</v>
      </c>
      <c r="O1345" s="17">
        <v>524</v>
      </c>
      <c r="P1345" s="26">
        <f>(data[[#This Row],[LoadedMiles]]/data[[#This Row],[TotalMiles]])*100</f>
        <v>76.496350364963504</v>
      </c>
      <c r="Q1345" s="25">
        <f>data[[#This Row],[ShippingCost]]/data[[#This Row],[TotalMiles]]</f>
        <v>10.437956204379562</v>
      </c>
      <c r="R1345" s="17">
        <v>7150</v>
      </c>
      <c r="S1345" s="25">
        <f>data[[#This Row],[Revenue]]/data[[#This Row],[TotalMiles]]</f>
        <v>11.378102189781021</v>
      </c>
      <c r="T1345" s="26">
        <f>data[[#This Row],[Revenue]]-data[[#This Row],[ShippingCost]]</f>
        <v>644</v>
      </c>
      <c r="U1345" s="17">
        <v>7794</v>
      </c>
      <c r="V1345" s="17">
        <v>60</v>
      </c>
      <c r="W1345" s="17" t="s">
        <v>86</v>
      </c>
      <c r="X1345" s="17">
        <v>2</v>
      </c>
      <c r="Y1345" s="17">
        <f>data[[#This Row],[DeliveryDate]]-data[[#This Row],[ShipDate]]</f>
        <v>2</v>
      </c>
      <c r="Z1345" s="17" t="str">
        <f>IF(data[[#This Row],[Actual Delivery Days]]&gt;AD1346,"Yes","No")</f>
        <v>Yes</v>
      </c>
    </row>
    <row r="1346" spans="1:26">
      <c r="A1346" s="17">
        <v>10937</v>
      </c>
      <c r="B1346" s="17">
        <v>3</v>
      </c>
      <c r="C1346" s="17">
        <v>2</v>
      </c>
      <c r="D1346" s="17" t="s">
        <v>198</v>
      </c>
      <c r="E1346" s="17" t="s">
        <v>32</v>
      </c>
      <c r="F1346" s="17" t="str">
        <f>TEXT(data[[#This Row],[ShipDate]],"yyyy - mmmm")</f>
        <v>2016 - May</v>
      </c>
      <c r="G1346" s="17" t="str">
        <f>data[[#This Row],[OriginCity]] &amp; " - "  &amp; data[[#This Row],[DestinationCity]]</f>
        <v>Joliet - Madison</v>
      </c>
      <c r="H1346" s="17" t="s">
        <v>61</v>
      </c>
      <c r="I1346" s="17" t="s">
        <v>31</v>
      </c>
      <c r="J1346" s="17">
        <v>2</v>
      </c>
      <c r="K1346" s="17" t="s">
        <v>62</v>
      </c>
      <c r="L1346" s="17" t="s">
        <v>29</v>
      </c>
      <c r="M1346" s="17" t="s">
        <v>108</v>
      </c>
      <c r="N1346" s="17">
        <v>993</v>
      </c>
      <c r="O1346" s="17">
        <v>449</v>
      </c>
      <c r="P1346" s="26">
        <f>(data[[#This Row],[LoadedMiles]]/data[[#This Row],[TotalMiles]])*100</f>
        <v>45.216515609264853</v>
      </c>
      <c r="Q1346" s="25">
        <f>data[[#This Row],[ShippingCost]]/data[[#This Row],[TotalMiles]]</f>
        <v>7.0654582074521652</v>
      </c>
      <c r="R1346" s="17">
        <v>7016</v>
      </c>
      <c r="S1346" s="25">
        <f>data[[#This Row],[Revenue]]/data[[#This Row],[TotalMiles]]</f>
        <v>7.6676737160120849</v>
      </c>
      <c r="T1346" s="26">
        <f>data[[#This Row],[Revenue]]-data[[#This Row],[ShippingCost]]</f>
        <v>598</v>
      </c>
      <c r="U1346" s="17">
        <v>7614</v>
      </c>
      <c r="V1346" s="17">
        <v>52</v>
      </c>
      <c r="W1346" s="17" t="s">
        <v>25</v>
      </c>
      <c r="X1346" s="17">
        <v>5</v>
      </c>
      <c r="Y1346" s="17">
        <f>data[[#This Row],[DeliveryDate]]-data[[#This Row],[ShipDate]]</f>
        <v>1</v>
      </c>
      <c r="Z1346" s="17" t="str">
        <f>IF(data[[#This Row],[Actual Delivery Days]]&gt;AD1347,"Yes","No")</f>
        <v>Yes</v>
      </c>
    </row>
    <row r="1347" spans="1:26">
      <c r="A1347" s="17">
        <v>10938</v>
      </c>
      <c r="B1347" s="17">
        <v>3</v>
      </c>
      <c r="C1347" s="17">
        <v>5</v>
      </c>
      <c r="D1347" s="17" t="s">
        <v>201</v>
      </c>
      <c r="E1347" s="17" t="s">
        <v>610</v>
      </c>
      <c r="F1347" s="17" t="str">
        <f>TEXT(data[[#This Row],[ShipDate]],"yyyy - mmmm")</f>
        <v>2016 - June</v>
      </c>
      <c r="G1347" s="17" t="str">
        <f>data[[#This Row],[OriginCity]] &amp; " - "  &amp; data[[#This Row],[DestinationCity]]</f>
        <v>Monon - Lansing</v>
      </c>
      <c r="H1347" s="17" t="s">
        <v>53</v>
      </c>
      <c r="I1347" s="17" t="s">
        <v>44</v>
      </c>
      <c r="J1347" s="17">
        <v>2</v>
      </c>
      <c r="K1347" s="17" t="s">
        <v>66</v>
      </c>
      <c r="L1347" s="17" t="s">
        <v>21</v>
      </c>
      <c r="M1347" s="17" t="s">
        <v>617</v>
      </c>
      <c r="N1347" s="17">
        <v>912</v>
      </c>
      <c r="O1347" s="17">
        <v>785</v>
      </c>
      <c r="P1347" s="26">
        <f>(data[[#This Row],[LoadedMiles]]/data[[#This Row],[TotalMiles]])*100</f>
        <v>86.074561403508781</v>
      </c>
      <c r="Q1347" s="25">
        <f>data[[#This Row],[ShippingCost]]/data[[#This Row],[TotalMiles]]</f>
        <v>7.9923245614035086</v>
      </c>
      <c r="R1347" s="17">
        <v>7289</v>
      </c>
      <c r="S1347" s="25">
        <f>data[[#This Row],[Revenue]]/data[[#This Row],[TotalMiles]]</f>
        <v>8.9758771929824555</v>
      </c>
      <c r="T1347" s="26">
        <f>data[[#This Row],[Revenue]]-data[[#This Row],[ShippingCost]]</f>
        <v>897</v>
      </c>
      <c r="U1347" s="17">
        <v>8186</v>
      </c>
      <c r="V1347" s="17">
        <v>94</v>
      </c>
      <c r="W1347" s="17" t="s">
        <v>25</v>
      </c>
      <c r="X1347" s="17">
        <v>4</v>
      </c>
      <c r="Y1347" s="17">
        <f>data[[#This Row],[DeliveryDate]]-data[[#This Row],[ShipDate]]</f>
        <v>2</v>
      </c>
      <c r="Z1347" s="17" t="str">
        <f>IF(data[[#This Row],[Actual Delivery Days]]&gt;AD1348,"Yes","No")</f>
        <v>Yes</v>
      </c>
    </row>
    <row r="1348" spans="1:26">
      <c r="A1348" s="17">
        <v>10949</v>
      </c>
      <c r="B1348" s="17">
        <v>2</v>
      </c>
      <c r="C1348" s="17">
        <v>2</v>
      </c>
      <c r="D1348" s="17" t="s">
        <v>230</v>
      </c>
      <c r="E1348" s="17" t="s">
        <v>118</v>
      </c>
      <c r="F1348" s="17" t="str">
        <f>TEXT(data[[#This Row],[ShipDate]],"yyyy - mmmm")</f>
        <v>2016 - August</v>
      </c>
      <c r="G1348" s="17" t="str">
        <f>data[[#This Row],[OriginCity]] &amp; " - "  &amp; data[[#This Row],[DestinationCity]]</f>
        <v>Kalamazoo - Bangor</v>
      </c>
      <c r="H1348" s="17" t="s">
        <v>71</v>
      </c>
      <c r="I1348" s="17" t="s">
        <v>21</v>
      </c>
      <c r="J1348" s="17">
        <v>2</v>
      </c>
      <c r="K1348" s="17" t="s">
        <v>104</v>
      </c>
      <c r="L1348" s="17" t="s">
        <v>21</v>
      </c>
      <c r="M1348" s="17" t="s">
        <v>119</v>
      </c>
      <c r="N1348" s="17">
        <v>275</v>
      </c>
      <c r="O1348" s="17">
        <v>275</v>
      </c>
      <c r="P1348" s="26">
        <f>(data[[#This Row],[LoadedMiles]]/data[[#This Row],[TotalMiles]])*100</f>
        <v>100</v>
      </c>
      <c r="Q1348" s="25">
        <f>data[[#This Row],[ShippingCost]]/data[[#This Row],[TotalMiles]]</f>
        <v>8.3636363636363634E-2</v>
      </c>
      <c r="R1348" s="17">
        <v>23</v>
      </c>
      <c r="S1348" s="25">
        <f>data[[#This Row],[Revenue]]/data[[#This Row],[TotalMiles]]</f>
        <v>3.44</v>
      </c>
      <c r="T1348" s="26">
        <f>data[[#This Row],[Revenue]]-data[[#This Row],[ShippingCost]]</f>
        <v>923</v>
      </c>
      <c r="U1348" s="17">
        <v>946</v>
      </c>
      <c r="V1348" s="17">
        <v>50</v>
      </c>
      <c r="W1348" s="17" t="s">
        <v>86</v>
      </c>
      <c r="X1348" s="17">
        <v>9</v>
      </c>
      <c r="Y1348" s="17">
        <f>data[[#This Row],[DeliveryDate]]-data[[#This Row],[ShipDate]]</f>
        <v>2</v>
      </c>
      <c r="Z1348" s="17" t="str">
        <f>IF(data[[#This Row],[Actual Delivery Days]]&gt;AD1349,"Yes","No")</f>
        <v>Yes</v>
      </c>
    </row>
    <row r="1349" spans="1:26">
      <c r="A1349" s="17">
        <v>10958</v>
      </c>
      <c r="B1349" s="17">
        <v>2</v>
      </c>
      <c r="C1349" s="17">
        <v>3</v>
      </c>
      <c r="D1349" s="17" t="s">
        <v>254</v>
      </c>
      <c r="E1349" s="17" t="s">
        <v>537</v>
      </c>
      <c r="F1349" s="17" t="str">
        <f>TEXT(data[[#This Row],[ShipDate]],"yyyy - mmmm")</f>
        <v>2016 - June</v>
      </c>
      <c r="G1349" s="17" t="str">
        <f>data[[#This Row],[OriginCity]] &amp; " - "  &amp; data[[#This Row],[DestinationCity]]</f>
        <v>Madison - Kalamazoo</v>
      </c>
      <c r="H1349" s="17" t="s">
        <v>62</v>
      </c>
      <c r="I1349" s="17" t="s">
        <v>29</v>
      </c>
      <c r="J1349" s="17">
        <v>2</v>
      </c>
      <c r="K1349" s="17" t="s">
        <v>71</v>
      </c>
      <c r="L1349" s="17" t="s">
        <v>21</v>
      </c>
      <c r="M1349" s="17" t="s">
        <v>542</v>
      </c>
      <c r="N1349" s="17">
        <v>331</v>
      </c>
      <c r="O1349" s="17">
        <v>331</v>
      </c>
      <c r="P1349" s="26">
        <f>(data[[#This Row],[LoadedMiles]]/data[[#This Row],[TotalMiles]])*100</f>
        <v>100</v>
      </c>
      <c r="Q1349" s="25">
        <f>data[[#This Row],[ShippingCost]]/data[[#This Row],[TotalMiles]]</f>
        <v>21.957703927492446</v>
      </c>
      <c r="R1349" s="17">
        <v>7268</v>
      </c>
      <c r="S1349" s="25">
        <f>data[[#This Row],[Revenue]]/data[[#This Row],[TotalMiles]]</f>
        <v>23.021148036253777</v>
      </c>
      <c r="T1349" s="26">
        <f>data[[#This Row],[Revenue]]-data[[#This Row],[ShippingCost]]</f>
        <v>352</v>
      </c>
      <c r="U1349" s="17">
        <v>7620</v>
      </c>
      <c r="V1349" s="17">
        <v>52</v>
      </c>
      <c r="W1349" s="17" t="s">
        <v>25</v>
      </c>
      <c r="X1349" s="17">
        <v>4</v>
      </c>
      <c r="Y1349" s="17">
        <f>data[[#This Row],[DeliveryDate]]-data[[#This Row],[ShipDate]]</f>
        <v>2</v>
      </c>
      <c r="Z1349" s="17" t="str">
        <f>IF(data[[#This Row],[Actual Delivery Days]]&gt;AD1350,"Yes","No")</f>
        <v>Yes</v>
      </c>
    </row>
    <row r="1350" spans="1:26">
      <c r="A1350" s="17">
        <v>10970</v>
      </c>
      <c r="B1350" s="17">
        <v>2</v>
      </c>
      <c r="C1350" s="17">
        <v>2</v>
      </c>
      <c r="D1350" s="17" t="s">
        <v>281</v>
      </c>
      <c r="E1350" s="17" t="s">
        <v>74</v>
      </c>
      <c r="F1350" s="17" t="str">
        <f>TEXT(data[[#This Row],[ShipDate]],"yyyy - mmmm")</f>
        <v>2016 - March</v>
      </c>
      <c r="G1350" s="17" t="str">
        <f>data[[#This Row],[OriginCity]] &amp; " - "  &amp; data[[#This Row],[DestinationCity]]</f>
        <v>Milwaukee - Springfield</v>
      </c>
      <c r="H1350" s="17" t="s">
        <v>28</v>
      </c>
      <c r="I1350" s="17" t="s">
        <v>29</v>
      </c>
      <c r="J1350" s="17">
        <v>2</v>
      </c>
      <c r="K1350" s="17" t="s">
        <v>30</v>
      </c>
      <c r="L1350" s="17" t="s">
        <v>31</v>
      </c>
      <c r="M1350" s="17" t="s">
        <v>391</v>
      </c>
      <c r="N1350" s="17">
        <v>524</v>
      </c>
      <c r="O1350" s="17">
        <v>524</v>
      </c>
      <c r="P1350" s="26">
        <f>(data[[#This Row],[LoadedMiles]]/data[[#This Row],[TotalMiles]])*100</f>
        <v>100</v>
      </c>
      <c r="Q1350" s="25">
        <f>data[[#This Row],[ShippingCost]]/data[[#This Row],[TotalMiles]]</f>
        <v>10.864503816793894</v>
      </c>
      <c r="R1350" s="17">
        <v>5693</v>
      </c>
      <c r="S1350" s="25">
        <f>data[[#This Row],[Revenue]]/data[[#This Row],[TotalMiles]]</f>
        <v>11.370229007633588</v>
      </c>
      <c r="T1350" s="26">
        <f>data[[#This Row],[Revenue]]-data[[#This Row],[ShippingCost]]</f>
        <v>265</v>
      </c>
      <c r="U1350" s="17">
        <v>5958</v>
      </c>
      <c r="V1350" s="17">
        <v>99</v>
      </c>
      <c r="W1350" s="17" t="s">
        <v>25</v>
      </c>
      <c r="X1350" s="17">
        <v>1</v>
      </c>
      <c r="Y1350" s="17">
        <f>data[[#This Row],[DeliveryDate]]-data[[#This Row],[ShipDate]]</f>
        <v>2</v>
      </c>
      <c r="Z1350" s="17" t="str">
        <f>IF(data[[#This Row],[Actual Delivery Days]]&gt;AD1351,"Yes","No")</f>
        <v>Yes</v>
      </c>
    </row>
    <row r="1351" spans="1:26">
      <c r="A1351" s="17">
        <v>10971</v>
      </c>
      <c r="B1351" s="17">
        <v>2</v>
      </c>
      <c r="C1351" s="17">
        <v>3</v>
      </c>
      <c r="D1351" s="17" t="s">
        <v>284</v>
      </c>
      <c r="E1351" s="17" t="s">
        <v>612</v>
      </c>
      <c r="F1351" s="17" t="str">
        <f>TEXT(data[[#This Row],[ShipDate]],"yyyy - mmmm")</f>
        <v>2016 - January</v>
      </c>
      <c r="G1351" s="17" t="str">
        <f>data[[#This Row],[OriginCity]] &amp; " - "  &amp; data[[#This Row],[DestinationCity]]</f>
        <v>Springfield - Skokie</v>
      </c>
      <c r="H1351" s="17" t="s">
        <v>30</v>
      </c>
      <c r="I1351" s="17" t="s">
        <v>31</v>
      </c>
      <c r="J1351" s="17">
        <v>2</v>
      </c>
      <c r="K1351" s="17" t="s">
        <v>35</v>
      </c>
      <c r="L1351" s="17" t="s">
        <v>31</v>
      </c>
      <c r="M1351" s="17" t="s">
        <v>111</v>
      </c>
      <c r="N1351" s="17">
        <v>710</v>
      </c>
      <c r="O1351" s="17">
        <v>710</v>
      </c>
      <c r="P1351" s="26">
        <f>(data[[#This Row],[LoadedMiles]]/data[[#This Row],[TotalMiles]])*100</f>
        <v>100</v>
      </c>
      <c r="Q1351" s="25">
        <f>data[[#This Row],[ShippingCost]]/data[[#This Row],[TotalMiles]]</f>
        <v>1.580281690140845</v>
      </c>
      <c r="R1351" s="17">
        <v>1122</v>
      </c>
      <c r="S1351" s="25">
        <f>data[[#This Row],[Revenue]]/data[[#This Row],[TotalMiles]]</f>
        <v>2.5788732394366196</v>
      </c>
      <c r="T1351" s="26">
        <f>data[[#This Row],[Revenue]]-data[[#This Row],[ShippingCost]]</f>
        <v>709</v>
      </c>
      <c r="U1351" s="17">
        <v>1831</v>
      </c>
      <c r="V1351" s="17">
        <v>78</v>
      </c>
      <c r="W1351" s="17" t="s">
        <v>25</v>
      </c>
      <c r="X1351" s="17">
        <v>1</v>
      </c>
      <c r="Y1351" s="17">
        <f>data[[#This Row],[DeliveryDate]]-data[[#This Row],[ShipDate]]</f>
        <v>2</v>
      </c>
      <c r="Z1351" s="17" t="str">
        <f>IF(data[[#This Row],[Actual Delivery Days]]&gt;AD1352,"Yes","No")</f>
        <v>Yes</v>
      </c>
    </row>
    <row r="1352" spans="1:26">
      <c r="A1352" s="17">
        <v>10974</v>
      </c>
      <c r="B1352" s="17">
        <v>2</v>
      </c>
      <c r="C1352" s="17">
        <v>4</v>
      </c>
      <c r="D1352" s="17" t="s">
        <v>289</v>
      </c>
      <c r="E1352" s="17" t="s">
        <v>252</v>
      </c>
      <c r="F1352" s="17" t="str">
        <f>TEXT(data[[#This Row],[ShipDate]],"yyyy - mmmm")</f>
        <v>2016 - March</v>
      </c>
      <c r="G1352" s="17" t="str">
        <f>data[[#This Row],[OriginCity]] &amp; " - "  &amp; data[[#This Row],[DestinationCity]]</f>
        <v>Northbrook - Naperville</v>
      </c>
      <c r="H1352" s="17" t="s">
        <v>45</v>
      </c>
      <c r="I1352" s="17" t="s">
        <v>31</v>
      </c>
      <c r="J1352" s="17">
        <v>2</v>
      </c>
      <c r="K1352" s="17" t="s">
        <v>48</v>
      </c>
      <c r="L1352" s="17" t="s">
        <v>31</v>
      </c>
      <c r="M1352" s="17" t="s">
        <v>253</v>
      </c>
      <c r="N1352" s="17">
        <v>1090</v>
      </c>
      <c r="O1352" s="17">
        <v>370</v>
      </c>
      <c r="P1352" s="26">
        <f>(data[[#This Row],[LoadedMiles]]/data[[#This Row],[TotalMiles]])*100</f>
        <v>33.944954128440372</v>
      </c>
      <c r="Q1352" s="25">
        <f>data[[#This Row],[ShippingCost]]/data[[#This Row],[TotalMiles]]</f>
        <v>5.4871559633027527</v>
      </c>
      <c r="R1352" s="17">
        <v>5981</v>
      </c>
      <c r="S1352" s="25">
        <f>data[[#This Row],[Revenue]]/data[[#This Row],[TotalMiles]]</f>
        <v>3.8165137614678901</v>
      </c>
      <c r="T1352" s="26">
        <f>data[[#This Row],[Revenue]]-data[[#This Row],[ShippingCost]]</f>
        <v>-1821</v>
      </c>
      <c r="U1352" s="17">
        <v>4160</v>
      </c>
      <c r="V1352" s="17">
        <v>73</v>
      </c>
      <c r="W1352" s="17" t="s">
        <v>25</v>
      </c>
      <c r="X1352" s="17">
        <v>1</v>
      </c>
      <c r="Y1352" s="17">
        <f>data[[#This Row],[DeliveryDate]]-data[[#This Row],[ShipDate]]</f>
        <v>2</v>
      </c>
      <c r="Z1352" s="17" t="str">
        <f>IF(data[[#This Row],[Actual Delivery Days]]&gt;AD1353,"Yes","No")</f>
        <v>Yes</v>
      </c>
    </row>
    <row r="1353" spans="1:26">
      <c r="A1353" s="17">
        <v>10976</v>
      </c>
      <c r="B1353" s="17">
        <v>2</v>
      </c>
      <c r="C1353" s="17">
        <v>1</v>
      </c>
      <c r="D1353" s="17" t="s">
        <v>294</v>
      </c>
      <c r="E1353" s="17" t="s">
        <v>293</v>
      </c>
      <c r="F1353" s="17" t="str">
        <f>TEXT(data[[#This Row],[ShipDate]],"yyyy - mmmm")</f>
        <v>2016 - June</v>
      </c>
      <c r="G1353" s="17" t="str">
        <f>data[[#This Row],[OriginCity]] &amp; " - "  &amp; data[[#This Row],[DestinationCity]]</f>
        <v>Gary - Milwaukee</v>
      </c>
      <c r="H1353" s="17" t="s">
        <v>57</v>
      </c>
      <c r="I1353" s="17" t="s">
        <v>44</v>
      </c>
      <c r="J1353" s="17">
        <v>2</v>
      </c>
      <c r="K1353" s="17" t="s">
        <v>28</v>
      </c>
      <c r="L1353" s="17" t="s">
        <v>29</v>
      </c>
      <c r="M1353" s="17" t="s">
        <v>619</v>
      </c>
      <c r="N1353" s="17">
        <v>295</v>
      </c>
      <c r="O1353" s="17">
        <v>295</v>
      </c>
      <c r="P1353" s="26">
        <f>(data[[#This Row],[LoadedMiles]]/data[[#This Row],[TotalMiles]])*100</f>
        <v>100</v>
      </c>
      <c r="Q1353" s="25">
        <f>data[[#This Row],[ShippingCost]]/data[[#This Row],[TotalMiles]]</f>
        <v>5.3966101694915256</v>
      </c>
      <c r="R1353" s="17">
        <v>1592</v>
      </c>
      <c r="S1353" s="25">
        <f>data[[#This Row],[Revenue]]/data[[#This Row],[TotalMiles]]</f>
        <v>22.955932203389832</v>
      </c>
      <c r="T1353" s="26">
        <f>data[[#This Row],[Revenue]]-data[[#This Row],[ShippingCost]]</f>
        <v>5180</v>
      </c>
      <c r="U1353" s="17">
        <v>6772</v>
      </c>
      <c r="V1353" s="17">
        <v>89</v>
      </c>
      <c r="W1353" s="17" t="s">
        <v>25</v>
      </c>
      <c r="X1353" s="17">
        <v>5</v>
      </c>
      <c r="Y1353" s="17">
        <f>data[[#This Row],[DeliveryDate]]-data[[#This Row],[ShipDate]]</f>
        <v>2</v>
      </c>
      <c r="Z1353" s="17" t="str">
        <f>IF(data[[#This Row],[Actual Delivery Days]]&gt;AD1354,"Yes","No")</f>
        <v>Yes</v>
      </c>
    </row>
    <row r="1354" spans="1:26">
      <c r="A1354" s="17">
        <v>10989</v>
      </c>
      <c r="B1354" s="17">
        <v>2</v>
      </c>
      <c r="C1354" s="17">
        <v>3</v>
      </c>
      <c r="D1354" s="17" t="s">
        <v>320</v>
      </c>
      <c r="E1354" s="17" t="s">
        <v>416</v>
      </c>
      <c r="F1354" s="17" t="str">
        <f>TEXT(data[[#This Row],[ShipDate]],"yyyy - mmmm")</f>
        <v>2016 - August</v>
      </c>
      <c r="G1354" s="17" t="str">
        <f>data[[#This Row],[OriginCity]] &amp; " - "  &amp; data[[#This Row],[DestinationCity]]</f>
        <v>Elgin - Cincinnati</v>
      </c>
      <c r="H1354" s="17" t="s">
        <v>94</v>
      </c>
      <c r="I1354" s="17" t="s">
        <v>31</v>
      </c>
      <c r="J1354" s="17">
        <v>2</v>
      </c>
      <c r="K1354" s="17" t="s">
        <v>89</v>
      </c>
      <c r="L1354" s="17" t="s">
        <v>23</v>
      </c>
      <c r="M1354" s="17" t="s">
        <v>416</v>
      </c>
      <c r="N1354" s="17">
        <v>716</v>
      </c>
      <c r="O1354" s="17">
        <v>235</v>
      </c>
      <c r="P1354" s="26">
        <f>(data[[#This Row],[LoadedMiles]]/data[[#This Row],[TotalMiles]])*100</f>
        <v>32.821229050279328</v>
      </c>
      <c r="Q1354" s="25">
        <f>data[[#This Row],[ShippingCost]]/data[[#This Row],[TotalMiles]]</f>
        <v>8.2527932960893846</v>
      </c>
      <c r="R1354" s="17">
        <v>5909</v>
      </c>
      <c r="S1354" s="25">
        <f>data[[#This Row],[Revenue]]/data[[#This Row],[TotalMiles]]</f>
        <v>8.4148044692737436</v>
      </c>
      <c r="T1354" s="26">
        <f>data[[#This Row],[Revenue]]-data[[#This Row],[ShippingCost]]</f>
        <v>116</v>
      </c>
      <c r="U1354" s="17">
        <v>6025</v>
      </c>
      <c r="V1354" s="17">
        <v>66</v>
      </c>
      <c r="W1354" s="17" t="s">
        <v>25</v>
      </c>
      <c r="X1354" s="17">
        <v>7</v>
      </c>
      <c r="Y1354" s="17">
        <f>data[[#This Row],[DeliveryDate]]-data[[#This Row],[ShipDate]]</f>
        <v>0</v>
      </c>
      <c r="Z1354" s="17" t="str">
        <f>IF(data[[#This Row],[Actual Delivery Days]]&gt;AD1355,"Yes","No")</f>
        <v>No</v>
      </c>
    </row>
    <row r="1355" spans="1:26">
      <c r="A1355" s="17">
        <v>10992</v>
      </c>
      <c r="B1355" s="17">
        <v>3</v>
      </c>
      <c r="C1355" s="17">
        <v>5</v>
      </c>
      <c r="D1355" s="17" t="s">
        <v>326</v>
      </c>
      <c r="E1355" s="17" t="s">
        <v>567</v>
      </c>
      <c r="F1355" s="17" t="str">
        <f>TEXT(data[[#This Row],[ShipDate]],"yyyy - mmmm")</f>
        <v>2016 - February</v>
      </c>
      <c r="G1355" s="17" t="str">
        <f>data[[#This Row],[OriginCity]] &amp; " - "  &amp; data[[#This Row],[DestinationCity]]</f>
        <v>Milwaukee - Springfield</v>
      </c>
      <c r="H1355" s="17" t="s">
        <v>28</v>
      </c>
      <c r="I1355" s="17" t="s">
        <v>29</v>
      </c>
      <c r="J1355" s="17">
        <v>2</v>
      </c>
      <c r="K1355" s="17" t="s">
        <v>30</v>
      </c>
      <c r="L1355" s="17" t="s">
        <v>31</v>
      </c>
      <c r="M1355" s="17" t="s">
        <v>90</v>
      </c>
      <c r="N1355" s="17">
        <v>583</v>
      </c>
      <c r="O1355" s="17">
        <v>214</v>
      </c>
      <c r="P1355" s="26">
        <f>(data[[#This Row],[LoadedMiles]]/data[[#This Row],[TotalMiles]])*100</f>
        <v>36.706689536878216</v>
      </c>
      <c r="Q1355" s="25">
        <f>data[[#This Row],[ShippingCost]]/data[[#This Row],[TotalMiles]]</f>
        <v>3.3173241852487134</v>
      </c>
      <c r="R1355" s="17">
        <v>1934</v>
      </c>
      <c r="S1355" s="25">
        <f>data[[#This Row],[Revenue]]/data[[#This Row],[TotalMiles]]</f>
        <v>4.9433962264150946</v>
      </c>
      <c r="T1355" s="26">
        <f>data[[#This Row],[Revenue]]-data[[#This Row],[ShippingCost]]</f>
        <v>948</v>
      </c>
      <c r="U1355" s="17">
        <v>2882</v>
      </c>
      <c r="V1355" s="17">
        <v>83</v>
      </c>
      <c r="W1355" s="17" t="s">
        <v>25</v>
      </c>
      <c r="X1355" s="17">
        <v>5</v>
      </c>
      <c r="Y1355" s="17">
        <f>data[[#This Row],[DeliveryDate]]-data[[#This Row],[ShipDate]]</f>
        <v>2</v>
      </c>
      <c r="Z1355" s="17" t="str">
        <f>IF(data[[#This Row],[Actual Delivery Days]]&gt;AD1356,"Yes","No")</f>
        <v>Yes</v>
      </c>
    </row>
    <row r="1356" spans="1:26">
      <c r="A1356" s="17">
        <v>10995</v>
      </c>
      <c r="B1356" s="17">
        <v>3</v>
      </c>
      <c r="C1356" s="17">
        <v>1</v>
      </c>
      <c r="D1356" s="17" t="s">
        <v>330</v>
      </c>
      <c r="E1356" s="17" t="s">
        <v>619</v>
      </c>
      <c r="F1356" s="17" t="str">
        <f>TEXT(data[[#This Row],[ShipDate]],"yyyy - mmmm")</f>
        <v>2016 - June</v>
      </c>
      <c r="G1356" s="17" t="str">
        <f>data[[#This Row],[OriginCity]] &amp; " - "  &amp; data[[#This Row],[DestinationCity]]</f>
        <v>Indianapolis - Northbrook</v>
      </c>
      <c r="H1356" s="17" t="s">
        <v>43</v>
      </c>
      <c r="I1356" s="17" t="s">
        <v>44</v>
      </c>
      <c r="J1356" s="17">
        <v>2</v>
      </c>
      <c r="K1356" s="17" t="s">
        <v>45</v>
      </c>
      <c r="L1356" s="17" t="s">
        <v>31</v>
      </c>
      <c r="M1356" s="17" t="s">
        <v>177</v>
      </c>
      <c r="N1356" s="17">
        <v>1108</v>
      </c>
      <c r="O1356" s="17">
        <v>792</v>
      </c>
      <c r="P1356" s="26">
        <f>(data[[#This Row],[LoadedMiles]]/data[[#This Row],[TotalMiles]])*100</f>
        <v>71.480144404332137</v>
      </c>
      <c r="Q1356" s="25">
        <f>data[[#This Row],[ShippingCost]]/data[[#This Row],[TotalMiles]]</f>
        <v>6.2274368231046928</v>
      </c>
      <c r="R1356" s="17">
        <v>6900</v>
      </c>
      <c r="S1356" s="25">
        <f>data[[#This Row],[Revenue]]/data[[#This Row],[TotalMiles]]</f>
        <v>10.447653429602887</v>
      </c>
      <c r="T1356" s="26">
        <f>data[[#This Row],[Revenue]]-data[[#This Row],[ShippingCost]]</f>
        <v>4676</v>
      </c>
      <c r="U1356" s="17">
        <v>11576</v>
      </c>
      <c r="V1356" s="17">
        <v>96</v>
      </c>
      <c r="W1356" s="17" t="s">
        <v>25</v>
      </c>
      <c r="X1356" s="17">
        <v>6</v>
      </c>
      <c r="Y1356" s="17">
        <f>data[[#This Row],[DeliveryDate]]-data[[#This Row],[ShipDate]]</f>
        <v>1</v>
      </c>
      <c r="Z1356" s="17" t="str">
        <f>IF(data[[#This Row],[Actual Delivery Days]]&gt;AD1357,"Yes","No")</f>
        <v>Yes</v>
      </c>
    </row>
    <row r="1357" spans="1:26">
      <c r="A1357" s="17">
        <v>11001</v>
      </c>
      <c r="B1357" s="17">
        <v>2</v>
      </c>
      <c r="C1357" s="17">
        <v>3</v>
      </c>
      <c r="D1357" s="17" t="s">
        <v>342</v>
      </c>
      <c r="E1357" s="17" t="s">
        <v>42</v>
      </c>
      <c r="F1357" s="17" t="str">
        <f>TEXT(data[[#This Row],[ShipDate]],"yyyy - mmmm")</f>
        <v>2016 - May</v>
      </c>
      <c r="G1357" s="17" t="str">
        <f>data[[#This Row],[OriginCity]] &amp; " - "  &amp; data[[#This Row],[DestinationCity]]</f>
        <v>Green Bay - Joliet</v>
      </c>
      <c r="H1357" s="17" t="s">
        <v>75</v>
      </c>
      <c r="I1357" s="17" t="s">
        <v>29</v>
      </c>
      <c r="J1357" s="17">
        <v>2</v>
      </c>
      <c r="K1357" s="17" t="s">
        <v>61</v>
      </c>
      <c r="L1357" s="17" t="s">
        <v>31</v>
      </c>
      <c r="M1357" s="17" t="s">
        <v>367</v>
      </c>
      <c r="N1357" s="17">
        <v>1003</v>
      </c>
      <c r="O1357" s="17">
        <v>668</v>
      </c>
      <c r="P1357" s="26">
        <f>(data[[#This Row],[LoadedMiles]]/data[[#This Row],[TotalMiles]])*100</f>
        <v>66.600199401794612</v>
      </c>
      <c r="Q1357" s="25">
        <f>data[[#This Row],[ShippingCost]]/data[[#This Row],[TotalMiles]]</f>
        <v>0.10667996011964108</v>
      </c>
      <c r="R1357" s="17">
        <v>107</v>
      </c>
      <c r="S1357" s="25">
        <f>data[[#This Row],[Revenue]]/data[[#This Row],[TotalMiles]]</f>
        <v>0.34396809571286141</v>
      </c>
      <c r="T1357" s="26">
        <f>data[[#This Row],[Revenue]]-data[[#This Row],[ShippingCost]]</f>
        <v>238</v>
      </c>
      <c r="U1357" s="17">
        <v>345</v>
      </c>
      <c r="V1357" s="17">
        <v>75</v>
      </c>
      <c r="W1357" s="17" t="s">
        <v>25</v>
      </c>
      <c r="X1357" s="17">
        <v>3</v>
      </c>
      <c r="Y1357" s="17">
        <f>data[[#This Row],[DeliveryDate]]-data[[#This Row],[ShipDate]]</f>
        <v>2</v>
      </c>
      <c r="Z1357" s="17" t="str">
        <f>IF(data[[#This Row],[Actual Delivery Days]]&gt;AD1358,"Yes","No")</f>
        <v>Yes</v>
      </c>
    </row>
    <row r="1358" spans="1:26">
      <c r="A1358" s="17">
        <v>11002</v>
      </c>
      <c r="B1358" s="17">
        <v>3</v>
      </c>
      <c r="C1358" s="17">
        <v>4</v>
      </c>
      <c r="D1358" s="17" t="s">
        <v>343</v>
      </c>
      <c r="E1358" s="17" t="s">
        <v>70</v>
      </c>
      <c r="F1358" s="17" t="str">
        <f>TEXT(data[[#This Row],[ShipDate]],"yyyy - mmmm")</f>
        <v>2016 - January</v>
      </c>
      <c r="G1358" s="17" t="str">
        <f>data[[#This Row],[OriginCity]] &amp; " - "  &amp; data[[#This Row],[DestinationCity]]</f>
        <v>Naperville - Indianapolis</v>
      </c>
      <c r="H1358" s="17" t="s">
        <v>48</v>
      </c>
      <c r="I1358" s="17" t="s">
        <v>31</v>
      </c>
      <c r="J1358" s="17">
        <v>2</v>
      </c>
      <c r="K1358" s="17" t="s">
        <v>43</v>
      </c>
      <c r="L1358" s="17" t="s">
        <v>44</v>
      </c>
      <c r="M1358" s="17" t="s">
        <v>263</v>
      </c>
      <c r="N1358" s="17">
        <v>463</v>
      </c>
      <c r="O1358" s="17">
        <v>202</v>
      </c>
      <c r="P1358" s="26">
        <f>(data[[#This Row],[LoadedMiles]]/data[[#This Row],[TotalMiles]])*100</f>
        <v>43.628509719222464</v>
      </c>
      <c r="Q1358" s="25">
        <f>data[[#This Row],[ShippingCost]]/data[[#This Row],[TotalMiles]]</f>
        <v>5.1015118790496761</v>
      </c>
      <c r="R1358" s="17">
        <v>2362</v>
      </c>
      <c r="S1358" s="25">
        <f>data[[#This Row],[Revenue]]/data[[#This Row],[TotalMiles]]</f>
        <v>1.0323974082073435</v>
      </c>
      <c r="T1358" s="26">
        <f>data[[#This Row],[Revenue]]-data[[#This Row],[ShippingCost]]</f>
        <v>-1884</v>
      </c>
      <c r="U1358" s="17">
        <v>478</v>
      </c>
      <c r="V1358" s="17">
        <v>76</v>
      </c>
      <c r="W1358" s="17" t="s">
        <v>25</v>
      </c>
      <c r="X1358" s="17">
        <v>10</v>
      </c>
      <c r="Y1358" s="17">
        <f>data[[#This Row],[DeliveryDate]]-data[[#This Row],[ShipDate]]</f>
        <v>2</v>
      </c>
      <c r="Z1358" s="17" t="str">
        <f>IF(data[[#This Row],[Actual Delivery Days]]&gt;AD1359,"Yes","No")</f>
        <v>Yes</v>
      </c>
    </row>
    <row r="1359" spans="1:26">
      <c r="A1359" s="17">
        <v>11003</v>
      </c>
      <c r="B1359" s="17">
        <v>2</v>
      </c>
      <c r="C1359" s="17">
        <v>1</v>
      </c>
      <c r="D1359" s="17" t="s">
        <v>345</v>
      </c>
      <c r="E1359" s="17" t="s">
        <v>352</v>
      </c>
      <c r="F1359" s="17" t="str">
        <f>TEXT(data[[#This Row],[ShipDate]],"yyyy - mmmm")</f>
        <v>2016 - March</v>
      </c>
      <c r="G1359" s="17" t="str">
        <f>data[[#This Row],[OriginCity]] &amp; " - "  &amp; data[[#This Row],[DestinationCity]]</f>
        <v>Rockford - Green Bay</v>
      </c>
      <c r="H1359" s="17" t="s">
        <v>40</v>
      </c>
      <c r="I1359" s="17" t="s">
        <v>31</v>
      </c>
      <c r="J1359" s="17">
        <v>2</v>
      </c>
      <c r="K1359" s="17" t="s">
        <v>75</v>
      </c>
      <c r="L1359" s="17" t="s">
        <v>29</v>
      </c>
      <c r="M1359" s="17" t="s">
        <v>353</v>
      </c>
      <c r="N1359" s="17">
        <v>936</v>
      </c>
      <c r="O1359" s="17">
        <v>427</v>
      </c>
      <c r="P1359" s="26">
        <f>(data[[#This Row],[LoadedMiles]]/data[[#This Row],[TotalMiles]])*100</f>
        <v>45.619658119658119</v>
      </c>
      <c r="Q1359" s="25">
        <f>data[[#This Row],[ShippingCost]]/data[[#This Row],[TotalMiles]]</f>
        <v>1.4914529914529915</v>
      </c>
      <c r="R1359" s="17">
        <v>1396</v>
      </c>
      <c r="S1359" s="25">
        <f>data[[#This Row],[Revenue]]/data[[#This Row],[TotalMiles]]</f>
        <v>6.1987179487179489</v>
      </c>
      <c r="T1359" s="26">
        <f>data[[#This Row],[Revenue]]-data[[#This Row],[ShippingCost]]</f>
        <v>4406</v>
      </c>
      <c r="U1359" s="17">
        <v>5802</v>
      </c>
      <c r="V1359" s="17">
        <v>99</v>
      </c>
      <c r="W1359" s="17" t="s">
        <v>25</v>
      </c>
      <c r="X1359" s="17">
        <v>2</v>
      </c>
      <c r="Y1359" s="17">
        <f>data[[#This Row],[DeliveryDate]]-data[[#This Row],[ShipDate]]</f>
        <v>2</v>
      </c>
      <c r="Z1359" s="17" t="str">
        <f>IF(data[[#This Row],[Actual Delivery Days]]&gt;AD1360,"Yes","No")</f>
        <v>Yes</v>
      </c>
    </row>
    <row r="1360" spans="1:26">
      <c r="A1360" s="17">
        <v>11006</v>
      </c>
      <c r="B1360" s="17">
        <v>3</v>
      </c>
      <c r="C1360" s="17">
        <v>1</v>
      </c>
      <c r="D1360" s="17" t="s">
        <v>351</v>
      </c>
      <c r="E1360" s="17" t="s">
        <v>211</v>
      </c>
      <c r="F1360" s="17" t="str">
        <f>TEXT(data[[#This Row],[ShipDate]],"yyyy - mmmm")</f>
        <v>2016 - August</v>
      </c>
      <c r="G1360" s="17" t="str">
        <f>data[[#This Row],[OriginCity]] &amp; " - "  &amp; data[[#This Row],[DestinationCity]]</f>
        <v>Toledo - Detriot</v>
      </c>
      <c r="H1360" s="17" t="s">
        <v>22</v>
      </c>
      <c r="I1360" s="17" t="s">
        <v>23</v>
      </c>
      <c r="J1360" s="17">
        <v>2</v>
      </c>
      <c r="K1360" s="17" t="s">
        <v>52</v>
      </c>
      <c r="L1360" s="17" t="s">
        <v>21</v>
      </c>
      <c r="M1360" s="17" t="s">
        <v>408</v>
      </c>
      <c r="N1360" s="17">
        <v>445</v>
      </c>
      <c r="O1360" s="17">
        <v>291</v>
      </c>
      <c r="P1360" s="26">
        <f>(data[[#This Row],[LoadedMiles]]/data[[#This Row],[TotalMiles]])*100</f>
        <v>65.393258426966298</v>
      </c>
      <c r="Q1360" s="25">
        <f>data[[#This Row],[ShippingCost]]/data[[#This Row],[TotalMiles]]</f>
        <v>1.7078651685393258</v>
      </c>
      <c r="R1360" s="17">
        <v>760</v>
      </c>
      <c r="S1360" s="25">
        <f>data[[#This Row],[Revenue]]/data[[#This Row],[TotalMiles]]</f>
        <v>13.008988764044943</v>
      </c>
      <c r="T1360" s="26">
        <f>data[[#This Row],[Revenue]]-data[[#This Row],[ShippingCost]]</f>
        <v>5029</v>
      </c>
      <c r="U1360" s="17">
        <v>5789</v>
      </c>
      <c r="V1360" s="17">
        <v>100</v>
      </c>
      <c r="W1360" s="17" t="s">
        <v>25</v>
      </c>
      <c r="X1360" s="17">
        <v>9</v>
      </c>
      <c r="Y1360" s="17">
        <f>data[[#This Row],[DeliveryDate]]-data[[#This Row],[ShipDate]]</f>
        <v>2</v>
      </c>
      <c r="Z1360" s="17" t="str">
        <f>IF(data[[#This Row],[Actual Delivery Days]]&gt;AD1361,"Yes","No")</f>
        <v>Yes</v>
      </c>
    </row>
    <row r="1361" spans="1:26">
      <c r="A1361" s="17">
        <v>11011</v>
      </c>
      <c r="B1361" s="17">
        <v>2</v>
      </c>
      <c r="C1361" s="17">
        <v>6</v>
      </c>
      <c r="D1361" s="17" t="s">
        <v>360</v>
      </c>
      <c r="E1361" s="17" t="s">
        <v>350</v>
      </c>
      <c r="F1361" s="17" t="str">
        <f>TEXT(data[[#This Row],[ShipDate]],"yyyy - mmmm")</f>
        <v>2016 - May</v>
      </c>
      <c r="G1361" s="17" t="str">
        <f>data[[#This Row],[OriginCity]] &amp; " - "  &amp; data[[#This Row],[DestinationCity]]</f>
        <v>Kalamazoo - Bangor</v>
      </c>
      <c r="H1361" s="17" t="s">
        <v>71</v>
      </c>
      <c r="I1361" s="17" t="s">
        <v>21</v>
      </c>
      <c r="J1361" s="17">
        <v>2</v>
      </c>
      <c r="K1361" s="17" t="s">
        <v>104</v>
      </c>
      <c r="L1361" s="17" t="s">
        <v>21</v>
      </c>
      <c r="M1361" s="17" t="s">
        <v>84</v>
      </c>
      <c r="N1361" s="17">
        <v>781</v>
      </c>
      <c r="O1361" s="17">
        <v>535</v>
      </c>
      <c r="P1361" s="26">
        <f>(data[[#This Row],[LoadedMiles]]/data[[#This Row],[TotalMiles]])*100</f>
        <v>68.501920614596671</v>
      </c>
      <c r="Q1361" s="25">
        <f>data[[#This Row],[ShippingCost]]/data[[#This Row],[TotalMiles]]</f>
        <v>1.0601792573623559</v>
      </c>
      <c r="R1361" s="17">
        <v>828</v>
      </c>
      <c r="S1361" s="25">
        <f>data[[#This Row],[Revenue]]/data[[#This Row],[TotalMiles]]</f>
        <v>2.0832266325224071</v>
      </c>
      <c r="T1361" s="26">
        <f>data[[#This Row],[Revenue]]-data[[#This Row],[ShippingCost]]</f>
        <v>799</v>
      </c>
      <c r="U1361" s="17">
        <v>1627</v>
      </c>
      <c r="V1361" s="17">
        <v>77</v>
      </c>
      <c r="W1361" s="17" t="s">
        <v>25</v>
      </c>
      <c r="X1361" s="17">
        <v>4</v>
      </c>
      <c r="Y1361" s="17">
        <f>data[[#This Row],[DeliveryDate]]-data[[#This Row],[ShipDate]]</f>
        <v>2</v>
      </c>
      <c r="Z1361" s="17" t="str">
        <f>IF(data[[#This Row],[Actual Delivery Days]]&gt;AD1362,"Yes","No")</f>
        <v>Yes</v>
      </c>
    </row>
    <row r="1362" spans="1:26">
      <c r="A1362" s="17">
        <v>11012</v>
      </c>
      <c r="B1362" s="17">
        <v>2</v>
      </c>
      <c r="C1362" s="17">
        <v>2</v>
      </c>
      <c r="D1362" s="17" t="s">
        <v>330</v>
      </c>
      <c r="E1362" s="17" t="s">
        <v>316</v>
      </c>
      <c r="F1362" s="17" t="str">
        <f>TEXT(data[[#This Row],[ShipDate]],"yyyy - mmmm")</f>
        <v>2016 - June</v>
      </c>
      <c r="G1362" s="17" t="str">
        <f>data[[#This Row],[OriginCity]] &amp; " - "  &amp; data[[#This Row],[DestinationCity]]</f>
        <v>Davenport - Appleton</v>
      </c>
      <c r="H1362" s="17" t="s">
        <v>105</v>
      </c>
      <c r="I1362" s="17" t="s">
        <v>106</v>
      </c>
      <c r="J1362" s="17">
        <v>2</v>
      </c>
      <c r="K1362" s="17" t="s">
        <v>85</v>
      </c>
      <c r="L1362" s="17" t="s">
        <v>29</v>
      </c>
      <c r="M1362" s="17" t="s">
        <v>610</v>
      </c>
      <c r="N1362" s="17">
        <v>1184</v>
      </c>
      <c r="O1362" s="17">
        <v>373</v>
      </c>
      <c r="P1362" s="26">
        <f>(data[[#This Row],[LoadedMiles]]/data[[#This Row],[TotalMiles]])*100</f>
        <v>31.503378378378379</v>
      </c>
      <c r="Q1362" s="25">
        <f>data[[#This Row],[ShippingCost]]/data[[#This Row],[TotalMiles]]</f>
        <v>6.0177364864864868</v>
      </c>
      <c r="R1362" s="17">
        <v>7125</v>
      </c>
      <c r="S1362" s="25">
        <f>data[[#This Row],[Revenue]]/data[[#This Row],[TotalMiles]]</f>
        <v>6.6081081081081079</v>
      </c>
      <c r="T1362" s="26">
        <f>data[[#This Row],[Revenue]]-data[[#This Row],[ShippingCost]]</f>
        <v>699</v>
      </c>
      <c r="U1362" s="17">
        <v>7824</v>
      </c>
      <c r="V1362" s="17">
        <v>93</v>
      </c>
      <c r="W1362" s="17" t="s">
        <v>25</v>
      </c>
      <c r="X1362" s="17">
        <v>3</v>
      </c>
      <c r="Y1362" s="17">
        <f>data[[#This Row],[DeliveryDate]]-data[[#This Row],[ShipDate]]</f>
        <v>2</v>
      </c>
      <c r="Z1362" s="17" t="str">
        <f>IF(data[[#This Row],[Actual Delivery Days]]&gt;AD1363,"Yes","No")</f>
        <v>Yes</v>
      </c>
    </row>
    <row r="1363" spans="1:26">
      <c r="A1363" s="17">
        <v>11020</v>
      </c>
      <c r="B1363" s="17">
        <v>3</v>
      </c>
      <c r="C1363" s="17">
        <v>1</v>
      </c>
      <c r="D1363" s="17" t="s">
        <v>374</v>
      </c>
      <c r="E1363" s="17" t="s">
        <v>150</v>
      </c>
      <c r="F1363" s="17" t="str">
        <f>TEXT(data[[#This Row],[ShipDate]],"yyyy - mmmm")</f>
        <v>2016 - July</v>
      </c>
      <c r="G1363" s="17" t="str">
        <f>data[[#This Row],[OriginCity]] &amp; " - "  &amp; data[[#This Row],[DestinationCity]]</f>
        <v>Gary - Milwaukee</v>
      </c>
      <c r="H1363" s="17" t="s">
        <v>57</v>
      </c>
      <c r="I1363" s="17" t="s">
        <v>44</v>
      </c>
      <c r="J1363" s="17">
        <v>2</v>
      </c>
      <c r="K1363" s="17" t="s">
        <v>28</v>
      </c>
      <c r="L1363" s="17" t="s">
        <v>29</v>
      </c>
      <c r="M1363" s="17" t="s">
        <v>386</v>
      </c>
      <c r="N1363" s="17">
        <v>888</v>
      </c>
      <c r="O1363" s="17">
        <v>263</v>
      </c>
      <c r="P1363" s="26">
        <f>(data[[#This Row],[LoadedMiles]]/data[[#This Row],[TotalMiles]])*100</f>
        <v>29.617117117117115</v>
      </c>
      <c r="Q1363" s="25">
        <f>data[[#This Row],[ShippingCost]]/data[[#This Row],[TotalMiles]]</f>
        <v>5.1418918918918921</v>
      </c>
      <c r="R1363" s="17">
        <v>4566</v>
      </c>
      <c r="S1363" s="25">
        <f>data[[#This Row],[Revenue]]/data[[#This Row],[TotalMiles]]</f>
        <v>10.431306306306306</v>
      </c>
      <c r="T1363" s="26">
        <f>data[[#This Row],[Revenue]]-data[[#This Row],[ShippingCost]]</f>
        <v>4697</v>
      </c>
      <c r="U1363" s="17">
        <v>9263</v>
      </c>
      <c r="V1363" s="17">
        <v>58</v>
      </c>
      <c r="W1363" s="17" t="s">
        <v>25</v>
      </c>
      <c r="X1363" s="17">
        <v>2</v>
      </c>
      <c r="Y1363" s="17">
        <f>data[[#This Row],[DeliveryDate]]-data[[#This Row],[ShipDate]]</f>
        <v>2</v>
      </c>
      <c r="Z1363" s="17" t="str">
        <f>IF(data[[#This Row],[Actual Delivery Days]]&gt;AD1364,"Yes","No")</f>
        <v>Yes</v>
      </c>
    </row>
    <row r="1364" spans="1:26">
      <c r="A1364" s="17">
        <v>11026</v>
      </c>
      <c r="B1364" s="17">
        <v>3</v>
      </c>
      <c r="C1364" s="17">
        <v>2</v>
      </c>
      <c r="D1364" s="17" t="s">
        <v>383</v>
      </c>
      <c r="E1364" s="17" t="s">
        <v>268</v>
      </c>
      <c r="F1364" s="17" t="str">
        <f>TEXT(data[[#This Row],[ShipDate]],"yyyy - mmmm")</f>
        <v>2016 - February</v>
      </c>
      <c r="G1364" s="17" t="str">
        <f>data[[#This Row],[OriginCity]] &amp; " - "  &amp; data[[#This Row],[DestinationCity]]</f>
        <v>Rockford - Green Bay</v>
      </c>
      <c r="H1364" s="17" t="s">
        <v>40</v>
      </c>
      <c r="I1364" s="17" t="s">
        <v>31</v>
      </c>
      <c r="J1364" s="17">
        <v>2</v>
      </c>
      <c r="K1364" s="17" t="s">
        <v>75</v>
      </c>
      <c r="L1364" s="17" t="s">
        <v>29</v>
      </c>
      <c r="M1364" s="17" t="s">
        <v>291</v>
      </c>
      <c r="N1364" s="17">
        <v>903</v>
      </c>
      <c r="O1364" s="17">
        <v>214</v>
      </c>
      <c r="P1364" s="26">
        <f>(data[[#This Row],[LoadedMiles]]/data[[#This Row],[TotalMiles]])*100</f>
        <v>23.698781838316719</v>
      </c>
      <c r="Q1364" s="25">
        <f>data[[#This Row],[ShippingCost]]/data[[#This Row],[TotalMiles]]</f>
        <v>8.0066445182724255</v>
      </c>
      <c r="R1364" s="17">
        <v>7230</v>
      </c>
      <c r="S1364" s="25">
        <f>data[[#This Row],[Revenue]]/data[[#This Row],[TotalMiles]]</f>
        <v>8.2436323366555921</v>
      </c>
      <c r="T1364" s="26">
        <f>data[[#This Row],[Revenue]]-data[[#This Row],[ShippingCost]]</f>
        <v>214</v>
      </c>
      <c r="U1364" s="17">
        <v>7444</v>
      </c>
      <c r="V1364" s="17">
        <v>56</v>
      </c>
      <c r="W1364" s="17" t="s">
        <v>25</v>
      </c>
      <c r="X1364" s="17">
        <v>9</v>
      </c>
      <c r="Y1364" s="17">
        <f>data[[#This Row],[DeliveryDate]]-data[[#This Row],[ShipDate]]</f>
        <v>2</v>
      </c>
      <c r="Z1364" s="17" t="str">
        <f>IF(data[[#This Row],[Actual Delivery Days]]&gt;AD1365,"Yes","No")</f>
        <v>Yes</v>
      </c>
    </row>
    <row r="1365" spans="1:26">
      <c r="A1365" s="17">
        <v>11027</v>
      </c>
      <c r="B1365" s="17">
        <v>3</v>
      </c>
      <c r="C1365" s="17">
        <v>5</v>
      </c>
      <c r="D1365" s="17" t="s">
        <v>384</v>
      </c>
      <c r="E1365" s="17" t="s">
        <v>327</v>
      </c>
      <c r="F1365" s="17" t="str">
        <f>TEXT(data[[#This Row],[ShipDate]],"yyyy - mmmm")</f>
        <v>2016 - January</v>
      </c>
      <c r="G1365" s="17" t="str">
        <f>data[[#This Row],[OriginCity]] &amp; " - "  &amp; data[[#This Row],[DestinationCity]]</f>
        <v>Appleton - Grand Rapids</v>
      </c>
      <c r="H1365" s="17" t="s">
        <v>85</v>
      </c>
      <c r="I1365" s="17" t="s">
        <v>29</v>
      </c>
      <c r="J1365" s="17">
        <v>2</v>
      </c>
      <c r="K1365" s="17" t="s">
        <v>20</v>
      </c>
      <c r="L1365" s="17" t="s">
        <v>21</v>
      </c>
      <c r="M1365" s="17" t="s">
        <v>236</v>
      </c>
      <c r="N1365" s="17">
        <v>1197</v>
      </c>
      <c r="O1365" s="17">
        <v>628</v>
      </c>
      <c r="P1365" s="26">
        <f>(data[[#This Row],[LoadedMiles]]/data[[#This Row],[TotalMiles]])*100</f>
        <v>52.464494569757726</v>
      </c>
      <c r="Q1365" s="25">
        <f>data[[#This Row],[ShippingCost]]/data[[#This Row],[TotalMiles]]</f>
        <v>4.7067669172932334</v>
      </c>
      <c r="R1365" s="17">
        <v>5634</v>
      </c>
      <c r="S1365" s="25">
        <f>data[[#This Row],[Revenue]]/data[[#This Row],[TotalMiles]]</f>
        <v>5.4093567251461989</v>
      </c>
      <c r="T1365" s="26">
        <f>data[[#This Row],[Revenue]]-data[[#This Row],[ShippingCost]]</f>
        <v>841</v>
      </c>
      <c r="U1365" s="17">
        <v>6475</v>
      </c>
      <c r="V1365" s="17">
        <v>70</v>
      </c>
      <c r="W1365" s="17" t="s">
        <v>25</v>
      </c>
      <c r="X1365" s="17">
        <v>6</v>
      </c>
      <c r="Y1365" s="17">
        <f>data[[#This Row],[DeliveryDate]]-data[[#This Row],[ShipDate]]</f>
        <v>2</v>
      </c>
      <c r="Z1365" s="17" t="str">
        <f>IF(data[[#This Row],[Actual Delivery Days]]&gt;AD1366,"Yes","No")</f>
        <v>Yes</v>
      </c>
    </row>
    <row r="1366" spans="1:26">
      <c r="A1366" s="17">
        <v>11029</v>
      </c>
      <c r="B1366" s="17">
        <v>2</v>
      </c>
      <c r="C1366" s="17">
        <v>3</v>
      </c>
      <c r="D1366" s="17" t="s">
        <v>388</v>
      </c>
      <c r="E1366" s="17" t="s">
        <v>531</v>
      </c>
      <c r="F1366" s="17" t="str">
        <f>TEXT(data[[#This Row],[ShipDate]],"yyyy - mmmm")</f>
        <v>2016 - January</v>
      </c>
      <c r="G1366" s="17" t="str">
        <f>data[[#This Row],[OriginCity]] &amp; " - "  &amp; data[[#This Row],[DestinationCity]]</f>
        <v>Dayton - Elgin</v>
      </c>
      <c r="H1366" s="17" t="s">
        <v>93</v>
      </c>
      <c r="I1366" s="17" t="s">
        <v>23</v>
      </c>
      <c r="J1366" s="17">
        <v>2</v>
      </c>
      <c r="K1366" s="17" t="s">
        <v>94</v>
      </c>
      <c r="L1366" s="17" t="s">
        <v>31</v>
      </c>
      <c r="M1366" s="17" t="s">
        <v>70</v>
      </c>
      <c r="N1366" s="17">
        <v>822</v>
      </c>
      <c r="O1366" s="17">
        <v>669</v>
      </c>
      <c r="P1366" s="26">
        <f>(data[[#This Row],[LoadedMiles]]/data[[#This Row],[TotalMiles]])*100</f>
        <v>81.386861313868607</v>
      </c>
      <c r="Q1366" s="25">
        <f>data[[#This Row],[ShippingCost]]/data[[#This Row],[TotalMiles]]</f>
        <v>7.4635036496350367</v>
      </c>
      <c r="R1366" s="17">
        <v>6135</v>
      </c>
      <c r="S1366" s="25">
        <f>data[[#This Row],[Revenue]]/data[[#This Row],[TotalMiles]]</f>
        <v>8.1131386861313874</v>
      </c>
      <c r="T1366" s="26">
        <f>data[[#This Row],[Revenue]]-data[[#This Row],[ShippingCost]]</f>
        <v>534</v>
      </c>
      <c r="U1366" s="17">
        <v>6669</v>
      </c>
      <c r="V1366" s="17">
        <v>71</v>
      </c>
      <c r="W1366" s="17" t="s">
        <v>25</v>
      </c>
      <c r="X1366" s="17">
        <v>1</v>
      </c>
      <c r="Y1366" s="17">
        <f>data[[#This Row],[DeliveryDate]]-data[[#This Row],[ShipDate]]</f>
        <v>2</v>
      </c>
      <c r="Z1366" s="17" t="str">
        <f>IF(data[[#This Row],[Actual Delivery Days]]&gt;AD1367,"Yes","No")</f>
        <v>Yes</v>
      </c>
    </row>
    <row r="1367" spans="1:26">
      <c r="A1367" s="17">
        <v>11031</v>
      </c>
      <c r="B1367" s="17">
        <v>2</v>
      </c>
      <c r="C1367" s="17">
        <v>5</v>
      </c>
      <c r="D1367" s="17" t="s">
        <v>390</v>
      </c>
      <c r="E1367" s="17" t="s">
        <v>474</v>
      </c>
      <c r="F1367" s="17" t="str">
        <f>TEXT(data[[#This Row],[ShipDate]],"yyyy - mmmm")</f>
        <v>2016 - June</v>
      </c>
      <c r="G1367" s="17" t="str">
        <f>data[[#This Row],[OriginCity]] &amp; " - "  &amp; data[[#This Row],[DestinationCity]]</f>
        <v>Lansing - Dayton</v>
      </c>
      <c r="H1367" s="17" t="s">
        <v>66</v>
      </c>
      <c r="I1367" s="17" t="s">
        <v>21</v>
      </c>
      <c r="J1367" s="17">
        <v>2</v>
      </c>
      <c r="K1367" s="17" t="s">
        <v>93</v>
      </c>
      <c r="L1367" s="17" t="s">
        <v>23</v>
      </c>
      <c r="M1367" s="17" t="s">
        <v>607</v>
      </c>
      <c r="N1367" s="17">
        <v>924</v>
      </c>
      <c r="O1367" s="17">
        <v>287</v>
      </c>
      <c r="P1367" s="26">
        <f>(data[[#This Row],[LoadedMiles]]/data[[#This Row],[TotalMiles]])*100</f>
        <v>31.060606060606062</v>
      </c>
      <c r="Q1367" s="25">
        <f>data[[#This Row],[ShippingCost]]/data[[#This Row],[TotalMiles]]</f>
        <v>6.6504329004329001</v>
      </c>
      <c r="R1367" s="17">
        <v>6145</v>
      </c>
      <c r="S1367" s="25">
        <f>data[[#This Row],[Revenue]]/data[[#This Row],[TotalMiles]]</f>
        <v>7.0411255411255409</v>
      </c>
      <c r="T1367" s="26">
        <f>data[[#This Row],[Revenue]]-data[[#This Row],[ShippingCost]]</f>
        <v>361</v>
      </c>
      <c r="U1367" s="17">
        <v>6506</v>
      </c>
      <c r="V1367" s="17">
        <v>93</v>
      </c>
      <c r="W1367" s="17" t="s">
        <v>25</v>
      </c>
      <c r="X1367" s="17">
        <v>2</v>
      </c>
      <c r="Y1367" s="17">
        <f>data[[#This Row],[DeliveryDate]]-data[[#This Row],[ShipDate]]</f>
        <v>2</v>
      </c>
      <c r="Z1367" s="17" t="str">
        <f>IF(data[[#This Row],[Actual Delivery Days]]&gt;AD1368,"Yes","No")</f>
        <v>Yes</v>
      </c>
    </row>
    <row r="1368" spans="1:26">
      <c r="A1368" s="17">
        <v>11038</v>
      </c>
      <c r="B1368" s="17">
        <v>2</v>
      </c>
      <c r="C1368" s="17">
        <v>5</v>
      </c>
      <c r="D1368" s="17" t="s">
        <v>406</v>
      </c>
      <c r="E1368" s="17" t="s">
        <v>341</v>
      </c>
      <c r="F1368" s="17" t="str">
        <f>TEXT(data[[#This Row],[ShipDate]],"yyyy - mmmm")</f>
        <v>2016 - August</v>
      </c>
      <c r="G1368" s="17" t="str">
        <f>data[[#This Row],[OriginCity]] &amp; " - "  &amp; data[[#This Row],[DestinationCity]]</f>
        <v>Indianapolis - Northbrook</v>
      </c>
      <c r="H1368" s="17" t="s">
        <v>43</v>
      </c>
      <c r="I1368" s="17" t="s">
        <v>44</v>
      </c>
      <c r="J1368" s="17">
        <v>2</v>
      </c>
      <c r="K1368" s="17" t="s">
        <v>45</v>
      </c>
      <c r="L1368" s="17" t="s">
        <v>31</v>
      </c>
      <c r="M1368" s="17" t="s">
        <v>597</v>
      </c>
      <c r="N1368" s="17">
        <v>296</v>
      </c>
      <c r="O1368" s="17">
        <v>296</v>
      </c>
      <c r="P1368" s="26">
        <f>(data[[#This Row],[LoadedMiles]]/data[[#This Row],[TotalMiles]])*100</f>
        <v>100</v>
      </c>
      <c r="Q1368" s="25">
        <f>data[[#This Row],[ShippingCost]]/data[[#This Row],[TotalMiles]]</f>
        <v>1.5844594594594594</v>
      </c>
      <c r="R1368" s="17">
        <v>469</v>
      </c>
      <c r="S1368" s="25">
        <f>data[[#This Row],[Revenue]]/data[[#This Row],[TotalMiles]]</f>
        <v>3.7736486486486487</v>
      </c>
      <c r="T1368" s="26">
        <f>data[[#This Row],[Revenue]]-data[[#This Row],[ShippingCost]]</f>
        <v>648</v>
      </c>
      <c r="U1368" s="17">
        <v>1117</v>
      </c>
      <c r="V1368" s="17">
        <v>73</v>
      </c>
      <c r="W1368" s="17" t="s">
        <v>25</v>
      </c>
      <c r="X1368" s="17">
        <v>4</v>
      </c>
      <c r="Y1368" s="17">
        <f>data[[#This Row],[DeliveryDate]]-data[[#This Row],[ShipDate]]</f>
        <v>2</v>
      </c>
      <c r="Z1368" s="17" t="str">
        <f>IF(data[[#This Row],[Actual Delivery Days]]&gt;AD1369,"Yes","No")</f>
        <v>Yes</v>
      </c>
    </row>
    <row r="1369" spans="1:26">
      <c r="A1369" s="17">
        <v>11042</v>
      </c>
      <c r="B1369" s="17">
        <v>2</v>
      </c>
      <c r="C1369" s="17">
        <v>6</v>
      </c>
      <c r="D1369" s="17" t="s">
        <v>412</v>
      </c>
      <c r="E1369" s="17" t="s">
        <v>174</v>
      </c>
      <c r="F1369" s="17" t="str">
        <f>TEXT(data[[#This Row],[ShipDate]],"yyyy - mmmm")</f>
        <v>2016 - January</v>
      </c>
      <c r="G1369" s="17" t="str">
        <f>data[[#This Row],[OriginCity]] &amp; " - "  &amp; data[[#This Row],[DestinationCity]]</f>
        <v>Joliet - Madison</v>
      </c>
      <c r="H1369" s="17" t="s">
        <v>61</v>
      </c>
      <c r="I1369" s="17" t="s">
        <v>31</v>
      </c>
      <c r="J1369" s="17">
        <v>2</v>
      </c>
      <c r="K1369" s="17" t="s">
        <v>62</v>
      </c>
      <c r="L1369" s="17" t="s">
        <v>29</v>
      </c>
      <c r="M1369" s="17" t="s">
        <v>127</v>
      </c>
      <c r="N1369" s="17">
        <v>721</v>
      </c>
      <c r="O1369" s="17">
        <v>262</v>
      </c>
      <c r="P1369" s="26">
        <f>(data[[#This Row],[LoadedMiles]]/data[[#This Row],[TotalMiles]])*100</f>
        <v>36.338418862690709</v>
      </c>
      <c r="Q1369" s="25">
        <f>data[[#This Row],[ShippingCost]]/data[[#This Row],[TotalMiles]]</f>
        <v>10.126213592233009</v>
      </c>
      <c r="R1369" s="17">
        <v>7301</v>
      </c>
      <c r="S1369" s="25">
        <f>data[[#This Row],[Revenue]]/data[[#This Row],[TotalMiles]]</f>
        <v>10.783633841886269</v>
      </c>
      <c r="T1369" s="26">
        <f>data[[#This Row],[Revenue]]-data[[#This Row],[ShippingCost]]</f>
        <v>474</v>
      </c>
      <c r="U1369" s="17">
        <v>7775</v>
      </c>
      <c r="V1369" s="17">
        <v>67</v>
      </c>
      <c r="W1369" s="17" t="s">
        <v>25</v>
      </c>
      <c r="X1369" s="17">
        <v>6</v>
      </c>
      <c r="Y1369" s="17">
        <f>data[[#This Row],[DeliveryDate]]-data[[#This Row],[ShipDate]]</f>
        <v>1</v>
      </c>
      <c r="Z1369" s="17" t="str">
        <f>IF(data[[#This Row],[Actual Delivery Days]]&gt;AD1370,"Yes","No")</f>
        <v>Yes</v>
      </c>
    </row>
    <row r="1370" spans="1:26">
      <c r="A1370" s="17">
        <v>11043</v>
      </c>
      <c r="B1370" s="17">
        <v>2</v>
      </c>
      <c r="C1370" s="17">
        <v>1</v>
      </c>
      <c r="D1370" s="17" t="s">
        <v>414</v>
      </c>
      <c r="E1370" s="17" t="s">
        <v>95</v>
      </c>
      <c r="F1370" s="17" t="str">
        <f>TEXT(data[[#This Row],[ShipDate]],"yyyy - mmmm")</f>
        <v>2016 - February</v>
      </c>
      <c r="G1370" s="17" t="str">
        <f>data[[#This Row],[OriginCity]] &amp; " - "  &amp; data[[#This Row],[DestinationCity]]</f>
        <v>Monon - Lansing</v>
      </c>
      <c r="H1370" s="17" t="s">
        <v>53</v>
      </c>
      <c r="I1370" s="17" t="s">
        <v>44</v>
      </c>
      <c r="J1370" s="17">
        <v>2</v>
      </c>
      <c r="K1370" s="17" t="s">
        <v>66</v>
      </c>
      <c r="L1370" s="17" t="s">
        <v>21</v>
      </c>
      <c r="M1370" s="17" t="s">
        <v>164</v>
      </c>
      <c r="N1370" s="17">
        <v>1018</v>
      </c>
      <c r="O1370" s="17">
        <v>349</v>
      </c>
      <c r="P1370" s="26">
        <f>(data[[#This Row],[LoadedMiles]]/data[[#This Row],[TotalMiles]])*100</f>
        <v>34.282907662082515</v>
      </c>
      <c r="Q1370" s="25">
        <f>data[[#This Row],[ShippingCost]]/data[[#This Row],[TotalMiles]]</f>
        <v>3.7583497053045187</v>
      </c>
      <c r="R1370" s="17">
        <v>3826</v>
      </c>
      <c r="S1370" s="25">
        <f>data[[#This Row],[Revenue]]/data[[#This Row],[TotalMiles]]</f>
        <v>7.3526522593320234</v>
      </c>
      <c r="T1370" s="26">
        <f>data[[#This Row],[Revenue]]-data[[#This Row],[ShippingCost]]</f>
        <v>3659</v>
      </c>
      <c r="U1370" s="17">
        <v>7485</v>
      </c>
      <c r="V1370" s="17">
        <v>73</v>
      </c>
      <c r="W1370" s="17" t="s">
        <v>25</v>
      </c>
      <c r="X1370" s="17">
        <v>2</v>
      </c>
      <c r="Y1370" s="17">
        <f>data[[#This Row],[DeliveryDate]]-data[[#This Row],[ShipDate]]</f>
        <v>2</v>
      </c>
      <c r="Z1370" s="17" t="str">
        <f>IF(data[[#This Row],[Actual Delivery Days]]&gt;AD1371,"Yes","No")</f>
        <v>Yes</v>
      </c>
    </row>
    <row r="1371" spans="1:26">
      <c r="A1371" s="17">
        <v>11045</v>
      </c>
      <c r="B1371" s="17">
        <v>2</v>
      </c>
      <c r="C1371" s="17">
        <v>3</v>
      </c>
      <c r="D1371" s="17" t="s">
        <v>419</v>
      </c>
      <c r="E1371" s="17" t="s">
        <v>337</v>
      </c>
      <c r="F1371" s="17" t="str">
        <f>TEXT(data[[#This Row],[ShipDate]],"yyyy - mmmm")</f>
        <v>2016 - March</v>
      </c>
      <c r="G1371" s="17" t="str">
        <f>data[[#This Row],[OriginCity]] &amp; " - "  &amp; data[[#This Row],[DestinationCity]]</f>
        <v>Green Bay - Joliet</v>
      </c>
      <c r="H1371" s="17" t="s">
        <v>75</v>
      </c>
      <c r="I1371" s="17" t="s">
        <v>29</v>
      </c>
      <c r="J1371" s="17">
        <v>2</v>
      </c>
      <c r="K1371" s="17" t="s">
        <v>61</v>
      </c>
      <c r="L1371" s="17" t="s">
        <v>31</v>
      </c>
      <c r="M1371" s="17" t="s">
        <v>430</v>
      </c>
      <c r="N1371" s="17">
        <v>1109</v>
      </c>
      <c r="O1371" s="17">
        <v>260</v>
      </c>
      <c r="P1371" s="26">
        <f>(data[[#This Row],[LoadedMiles]]/data[[#This Row],[TotalMiles]])*100</f>
        <v>23.444544634806132</v>
      </c>
      <c r="Q1371" s="25">
        <f>data[[#This Row],[ShippingCost]]/data[[#This Row],[TotalMiles]]</f>
        <v>4.8972046889089267</v>
      </c>
      <c r="R1371" s="17">
        <v>5431</v>
      </c>
      <c r="S1371" s="25">
        <f>data[[#This Row],[Revenue]]/data[[#This Row],[TotalMiles]]</f>
        <v>5.562669071235347</v>
      </c>
      <c r="T1371" s="26">
        <f>data[[#This Row],[Revenue]]-data[[#This Row],[ShippingCost]]</f>
        <v>738</v>
      </c>
      <c r="U1371" s="17">
        <v>6169</v>
      </c>
      <c r="V1371" s="17">
        <v>58</v>
      </c>
      <c r="W1371" s="17" t="s">
        <v>25</v>
      </c>
      <c r="X1371" s="17">
        <v>8</v>
      </c>
      <c r="Y1371" s="17">
        <f>data[[#This Row],[DeliveryDate]]-data[[#This Row],[ShipDate]]</f>
        <v>2</v>
      </c>
      <c r="Z1371" s="17" t="str">
        <f>IF(data[[#This Row],[Actual Delivery Days]]&gt;AD1372,"Yes","No")</f>
        <v>Yes</v>
      </c>
    </row>
    <row r="1372" spans="1:26">
      <c r="A1372" s="17">
        <v>11046</v>
      </c>
      <c r="B1372" s="17">
        <v>3</v>
      </c>
      <c r="C1372" s="17">
        <v>2</v>
      </c>
      <c r="D1372" s="17" t="s">
        <v>421</v>
      </c>
      <c r="E1372" s="17" t="s">
        <v>144</v>
      </c>
      <c r="F1372" s="17" t="str">
        <f>TEXT(data[[#This Row],[ShipDate]],"yyyy - mmmm")</f>
        <v>2016 - July</v>
      </c>
      <c r="G1372" s="17" t="str">
        <f>data[[#This Row],[OriginCity]] &amp; " - "  &amp; data[[#This Row],[DestinationCity]]</f>
        <v>Rockford - Green Bay</v>
      </c>
      <c r="H1372" s="17" t="s">
        <v>40</v>
      </c>
      <c r="I1372" s="17" t="s">
        <v>31</v>
      </c>
      <c r="J1372" s="17">
        <v>2</v>
      </c>
      <c r="K1372" s="17" t="s">
        <v>75</v>
      </c>
      <c r="L1372" s="17" t="s">
        <v>29</v>
      </c>
      <c r="M1372" s="17" t="s">
        <v>404</v>
      </c>
      <c r="N1372" s="17">
        <v>1158</v>
      </c>
      <c r="O1372" s="17">
        <v>331</v>
      </c>
      <c r="P1372" s="26">
        <f>(data[[#This Row],[LoadedMiles]]/data[[#This Row],[TotalMiles]])*100</f>
        <v>28.583765112262522</v>
      </c>
      <c r="Q1372" s="25">
        <f>data[[#This Row],[ShippingCost]]/data[[#This Row],[TotalMiles]]</f>
        <v>2.5854922279792745</v>
      </c>
      <c r="R1372" s="17">
        <v>2994</v>
      </c>
      <c r="S1372" s="25">
        <f>data[[#This Row],[Revenue]]/data[[#This Row],[TotalMiles]]</f>
        <v>3.1511226252158893</v>
      </c>
      <c r="T1372" s="26">
        <f>data[[#This Row],[Revenue]]-data[[#This Row],[ShippingCost]]</f>
        <v>655</v>
      </c>
      <c r="U1372" s="17">
        <v>3649</v>
      </c>
      <c r="V1372" s="17">
        <v>74</v>
      </c>
      <c r="W1372" s="17" t="s">
        <v>25</v>
      </c>
      <c r="X1372" s="17">
        <v>10</v>
      </c>
      <c r="Y1372" s="17">
        <f>data[[#This Row],[DeliveryDate]]-data[[#This Row],[ShipDate]]</f>
        <v>2</v>
      </c>
      <c r="Z1372" s="17" t="str">
        <f>IF(data[[#This Row],[Actual Delivery Days]]&gt;AD1373,"Yes","No")</f>
        <v>Yes</v>
      </c>
    </row>
    <row r="1373" spans="1:26">
      <c r="A1373" s="17">
        <v>11047</v>
      </c>
      <c r="B1373" s="17">
        <v>2</v>
      </c>
      <c r="C1373" s="17">
        <v>2</v>
      </c>
      <c r="D1373" s="17" t="s">
        <v>423</v>
      </c>
      <c r="E1373" s="17" t="s">
        <v>394</v>
      </c>
      <c r="F1373" s="17" t="str">
        <f>TEXT(data[[#This Row],[ShipDate]],"yyyy - mmmm")</f>
        <v>2016 - January</v>
      </c>
      <c r="G1373" s="17" t="str">
        <f>data[[#This Row],[OriginCity]] &amp; " - "  &amp; data[[#This Row],[DestinationCity]]</f>
        <v>Appleton - Grand Rapids</v>
      </c>
      <c r="H1373" s="17" t="s">
        <v>85</v>
      </c>
      <c r="I1373" s="17" t="s">
        <v>29</v>
      </c>
      <c r="J1373" s="17">
        <v>2</v>
      </c>
      <c r="K1373" s="17" t="s">
        <v>20</v>
      </c>
      <c r="L1373" s="17" t="s">
        <v>21</v>
      </c>
      <c r="M1373" s="17" t="s">
        <v>166</v>
      </c>
      <c r="N1373" s="17">
        <v>521</v>
      </c>
      <c r="O1373" s="17">
        <v>415</v>
      </c>
      <c r="P1373" s="26">
        <f>(data[[#This Row],[LoadedMiles]]/data[[#This Row],[TotalMiles]])*100</f>
        <v>79.654510556621887</v>
      </c>
      <c r="Q1373" s="25">
        <f>data[[#This Row],[ShippingCost]]/data[[#This Row],[TotalMiles]]</f>
        <v>10.395393474088293</v>
      </c>
      <c r="R1373" s="17">
        <v>5416</v>
      </c>
      <c r="S1373" s="25">
        <f>data[[#This Row],[Revenue]]/data[[#This Row],[TotalMiles]]</f>
        <v>11.700575815738963</v>
      </c>
      <c r="T1373" s="26">
        <f>data[[#This Row],[Revenue]]-data[[#This Row],[ShippingCost]]</f>
        <v>680</v>
      </c>
      <c r="U1373" s="17">
        <v>6096</v>
      </c>
      <c r="V1373" s="17">
        <v>68</v>
      </c>
      <c r="W1373" s="17" t="s">
        <v>25</v>
      </c>
      <c r="X1373" s="17">
        <v>9</v>
      </c>
      <c r="Y1373" s="17">
        <f>data[[#This Row],[DeliveryDate]]-data[[#This Row],[ShipDate]]</f>
        <v>2</v>
      </c>
      <c r="Z1373" s="17" t="str">
        <f>IF(data[[#This Row],[Actual Delivery Days]]&gt;AD1374,"Yes","No")</f>
        <v>Yes</v>
      </c>
    </row>
    <row r="1374" spans="1:26">
      <c r="A1374" s="17">
        <v>11048</v>
      </c>
      <c r="B1374" s="17">
        <v>2</v>
      </c>
      <c r="C1374" s="17">
        <v>6</v>
      </c>
      <c r="D1374" s="17" t="s">
        <v>425</v>
      </c>
      <c r="E1374" s="17" t="s">
        <v>350</v>
      </c>
      <c r="F1374" s="17" t="str">
        <f>TEXT(data[[#This Row],[ShipDate]],"yyyy - mmmm")</f>
        <v>2016 - May</v>
      </c>
      <c r="G1374" s="17" t="str">
        <f>data[[#This Row],[OriginCity]] &amp; " - "  &amp; data[[#This Row],[DestinationCity]]</f>
        <v>Cincinnati - Gary</v>
      </c>
      <c r="H1374" s="17" t="s">
        <v>89</v>
      </c>
      <c r="I1374" s="17" t="s">
        <v>23</v>
      </c>
      <c r="J1374" s="17">
        <v>2</v>
      </c>
      <c r="K1374" s="17" t="s">
        <v>57</v>
      </c>
      <c r="L1374" s="17" t="s">
        <v>44</v>
      </c>
      <c r="M1374" s="17" t="s">
        <v>84</v>
      </c>
      <c r="N1374" s="17">
        <v>621</v>
      </c>
      <c r="O1374" s="17">
        <v>367</v>
      </c>
      <c r="P1374" s="26">
        <f>(data[[#This Row],[LoadedMiles]]/data[[#This Row],[TotalMiles]])*100</f>
        <v>59.098228663446051</v>
      </c>
      <c r="Q1374" s="25">
        <f>data[[#This Row],[ShippingCost]]/data[[#This Row],[TotalMiles]]</f>
        <v>10.851851851851851</v>
      </c>
      <c r="R1374" s="17">
        <v>6739</v>
      </c>
      <c r="S1374" s="25">
        <f>data[[#This Row],[Revenue]]/data[[#This Row],[TotalMiles]]</f>
        <v>11.644122383252817</v>
      </c>
      <c r="T1374" s="26">
        <f>data[[#This Row],[Revenue]]-data[[#This Row],[ShippingCost]]</f>
        <v>492</v>
      </c>
      <c r="U1374" s="17">
        <v>7231</v>
      </c>
      <c r="V1374" s="17">
        <v>53</v>
      </c>
      <c r="W1374" s="17" t="s">
        <v>25</v>
      </c>
      <c r="X1374" s="17">
        <v>6</v>
      </c>
      <c r="Y1374" s="17">
        <f>data[[#This Row],[DeliveryDate]]-data[[#This Row],[ShipDate]]</f>
        <v>2</v>
      </c>
      <c r="Z1374" s="17" t="str">
        <f>IF(data[[#This Row],[Actual Delivery Days]]&gt;AD1375,"Yes","No")</f>
        <v>Yes</v>
      </c>
    </row>
    <row r="1375" spans="1:26">
      <c r="A1375" s="17">
        <v>11054</v>
      </c>
      <c r="B1375" s="17">
        <v>2</v>
      </c>
      <c r="C1375" s="17">
        <v>5</v>
      </c>
      <c r="D1375" s="17" t="s">
        <v>434</v>
      </c>
      <c r="E1375" s="17" t="s">
        <v>415</v>
      </c>
      <c r="F1375" s="17" t="str">
        <f>TEXT(data[[#This Row],[ShipDate]],"yyyy - mmmm")</f>
        <v>2016 - August</v>
      </c>
      <c r="G1375" s="17" t="str">
        <f>data[[#This Row],[OriginCity]] &amp; " - "  &amp; data[[#This Row],[DestinationCity]]</f>
        <v>Kalamazoo - Bangor</v>
      </c>
      <c r="H1375" s="17" t="s">
        <v>71</v>
      </c>
      <c r="I1375" s="17" t="s">
        <v>21</v>
      </c>
      <c r="J1375" s="17">
        <v>2</v>
      </c>
      <c r="K1375" s="17" t="s">
        <v>104</v>
      </c>
      <c r="L1375" s="17" t="s">
        <v>21</v>
      </c>
      <c r="M1375" s="17" t="s">
        <v>387</v>
      </c>
      <c r="N1375" s="17">
        <v>598</v>
      </c>
      <c r="O1375" s="17">
        <v>219</v>
      </c>
      <c r="P1375" s="26">
        <f>(data[[#This Row],[LoadedMiles]]/data[[#This Row],[TotalMiles]])*100</f>
        <v>36.622073578595312</v>
      </c>
      <c r="Q1375" s="25">
        <f>data[[#This Row],[ShippingCost]]/data[[#This Row],[TotalMiles]]</f>
        <v>4.976588628762542</v>
      </c>
      <c r="R1375" s="17">
        <v>2976</v>
      </c>
      <c r="S1375" s="25">
        <f>data[[#This Row],[Revenue]]/data[[#This Row],[TotalMiles]]</f>
        <v>6.6438127090301</v>
      </c>
      <c r="T1375" s="26">
        <f>data[[#This Row],[Revenue]]-data[[#This Row],[ShippingCost]]</f>
        <v>997</v>
      </c>
      <c r="U1375" s="17">
        <v>3973</v>
      </c>
      <c r="V1375" s="17">
        <v>64</v>
      </c>
      <c r="W1375" s="17" t="s">
        <v>86</v>
      </c>
      <c r="X1375" s="17">
        <v>5</v>
      </c>
      <c r="Y1375" s="17">
        <f>data[[#This Row],[DeliveryDate]]-data[[#This Row],[ShipDate]]</f>
        <v>2</v>
      </c>
      <c r="Z1375" s="17" t="str">
        <f>IF(data[[#This Row],[Actual Delivery Days]]&gt;AD1376,"Yes","No")</f>
        <v>Yes</v>
      </c>
    </row>
    <row r="1376" spans="1:26">
      <c r="A1376" s="17">
        <v>11056</v>
      </c>
      <c r="B1376" s="17">
        <v>2</v>
      </c>
      <c r="C1376" s="17">
        <v>1</v>
      </c>
      <c r="D1376" s="17" t="s">
        <v>438</v>
      </c>
      <c r="E1376" s="17" t="s">
        <v>530</v>
      </c>
      <c r="F1376" s="17" t="str">
        <f>TEXT(data[[#This Row],[ShipDate]],"yyyy - mmmm")</f>
        <v>2016 - January</v>
      </c>
      <c r="G1376" s="17" t="str">
        <f>data[[#This Row],[OriginCity]] &amp; " - "  &amp; data[[#This Row],[DestinationCity]]</f>
        <v>Grand Rapids - Toledo</v>
      </c>
      <c r="H1376" s="17" t="s">
        <v>20</v>
      </c>
      <c r="I1376" s="17" t="s">
        <v>21</v>
      </c>
      <c r="J1376" s="17">
        <v>2</v>
      </c>
      <c r="K1376" s="17" t="s">
        <v>22</v>
      </c>
      <c r="L1376" s="17" t="s">
        <v>23</v>
      </c>
      <c r="M1376" s="17" t="s">
        <v>174</v>
      </c>
      <c r="N1376" s="17">
        <v>1026</v>
      </c>
      <c r="O1376" s="17">
        <v>650</v>
      </c>
      <c r="P1376" s="26">
        <f>(data[[#This Row],[LoadedMiles]]/data[[#This Row],[TotalMiles]])*100</f>
        <v>63.35282651072125</v>
      </c>
      <c r="Q1376" s="25">
        <f>data[[#This Row],[ShippingCost]]/data[[#This Row],[TotalMiles]]</f>
        <v>7.7231968810916181</v>
      </c>
      <c r="R1376" s="17">
        <v>7924</v>
      </c>
      <c r="S1376" s="25">
        <f>data[[#This Row],[Revenue]]/data[[#This Row],[TotalMiles]]</f>
        <v>12.030214424951268</v>
      </c>
      <c r="T1376" s="26">
        <f>data[[#This Row],[Revenue]]-data[[#This Row],[ShippingCost]]</f>
        <v>4419</v>
      </c>
      <c r="U1376" s="17">
        <v>12343</v>
      </c>
      <c r="V1376" s="17">
        <v>74</v>
      </c>
      <c r="W1376" s="17" t="s">
        <v>25</v>
      </c>
      <c r="X1376" s="17">
        <v>2</v>
      </c>
      <c r="Y1376" s="17">
        <f>data[[#This Row],[DeliveryDate]]-data[[#This Row],[ShipDate]]</f>
        <v>2</v>
      </c>
      <c r="Z1376" s="17" t="str">
        <f>IF(data[[#This Row],[Actual Delivery Days]]&gt;AD1377,"Yes","No")</f>
        <v>Yes</v>
      </c>
    </row>
    <row r="1377" spans="1:26">
      <c r="A1377" s="17">
        <v>11057</v>
      </c>
      <c r="B1377" s="17">
        <v>2</v>
      </c>
      <c r="C1377" s="17">
        <v>5</v>
      </c>
      <c r="D1377" s="17" t="s">
        <v>440</v>
      </c>
      <c r="E1377" s="17" t="s">
        <v>60</v>
      </c>
      <c r="F1377" s="17" t="str">
        <f>TEXT(data[[#This Row],[ShipDate]],"yyyy - mmmm")</f>
        <v>2016 - July</v>
      </c>
      <c r="G1377" s="17" t="str">
        <f>data[[#This Row],[OriginCity]] &amp; " - "  &amp; data[[#This Row],[DestinationCity]]</f>
        <v>Milwaukee - Springfield</v>
      </c>
      <c r="H1377" s="17" t="s">
        <v>28</v>
      </c>
      <c r="I1377" s="17" t="s">
        <v>29</v>
      </c>
      <c r="J1377" s="17">
        <v>2</v>
      </c>
      <c r="K1377" s="17" t="s">
        <v>30</v>
      </c>
      <c r="L1377" s="17" t="s">
        <v>31</v>
      </c>
      <c r="M1377" s="17" t="s">
        <v>63</v>
      </c>
      <c r="N1377" s="17">
        <v>876</v>
      </c>
      <c r="O1377" s="17">
        <v>433</v>
      </c>
      <c r="P1377" s="26">
        <f>(data[[#This Row],[LoadedMiles]]/data[[#This Row],[TotalMiles]])*100</f>
        <v>49.429223744292237</v>
      </c>
      <c r="Q1377" s="25">
        <f>data[[#This Row],[ShippingCost]]/data[[#This Row],[TotalMiles]]</f>
        <v>0.14155251141552511</v>
      </c>
      <c r="R1377" s="17">
        <v>124</v>
      </c>
      <c r="S1377" s="25">
        <f>data[[#This Row],[Revenue]]/data[[#This Row],[TotalMiles]]</f>
        <v>0.454337899543379</v>
      </c>
      <c r="T1377" s="26">
        <f>data[[#This Row],[Revenue]]-data[[#This Row],[ShippingCost]]</f>
        <v>274</v>
      </c>
      <c r="U1377" s="17">
        <v>398</v>
      </c>
      <c r="V1377" s="17">
        <v>90</v>
      </c>
      <c r="W1377" s="17" t="s">
        <v>25</v>
      </c>
      <c r="X1377" s="17">
        <v>3</v>
      </c>
      <c r="Y1377" s="17">
        <f>data[[#This Row],[DeliveryDate]]-data[[#This Row],[ShipDate]]</f>
        <v>2</v>
      </c>
      <c r="Z1377" s="17" t="str">
        <f>IF(data[[#This Row],[Actual Delivery Days]]&gt;AD1378,"Yes","No")</f>
        <v>Yes</v>
      </c>
    </row>
    <row r="1378" spans="1:26">
      <c r="A1378" s="17">
        <v>11060</v>
      </c>
      <c r="B1378" s="17">
        <v>3</v>
      </c>
      <c r="C1378" s="17">
        <v>5</v>
      </c>
      <c r="D1378" s="17" t="s">
        <v>443</v>
      </c>
      <c r="E1378" s="17" t="s">
        <v>109</v>
      </c>
      <c r="F1378" s="17" t="str">
        <f>TEXT(data[[#This Row],[ShipDate]],"yyyy - mmmm")</f>
        <v>2016 - May</v>
      </c>
      <c r="G1378" s="17" t="str">
        <f>data[[#This Row],[OriginCity]] &amp; " - "  &amp; data[[#This Row],[DestinationCity]]</f>
        <v>Indianapolis - Northbrook</v>
      </c>
      <c r="H1378" s="17" t="s">
        <v>43</v>
      </c>
      <c r="I1378" s="17" t="s">
        <v>44</v>
      </c>
      <c r="J1378" s="17">
        <v>2</v>
      </c>
      <c r="K1378" s="17" t="s">
        <v>45</v>
      </c>
      <c r="L1378" s="17" t="s">
        <v>31</v>
      </c>
      <c r="M1378" s="17" t="s">
        <v>368</v>
      </c>
      <c r="N1378" s="17">
        <v>920</v>
      </c>
      <c r="O1378" s="17">
        <v>543</v>
      </c>
      <c r="P1378" s="26">
        <f>(data[[#This Row],[LoadedMiles]]/data[[#This Row],[TotalMiles]])*100</f>
        <v>59.021739130434781</v>
      </c>
      <c r="Q1378" s="25">
        <f>data[[#This Row],[ShippingCost]]/data[[#This Row],[TotalMiles]]</f>
        <v>0.30543478260869567</v>
      </c>
      <c r="R1378" s="17">
        <v>281</v>
      </c>
      <c r="S1378" s="25">
        <f>data[[#This Row],[Revenue]]/data[[#This Row],[TotalMiles]]</f>
        <v>0.86956521739130432</v>
      </c>
      <c r="T1378" s="26">
        <f>data[[#This Row],[Revenue]]-data[[#This Row],[ShippingCost]]</f>
        <v>519</v>
      </c>
      <c r="U1378" s="17">
        <v>800</v>
      </c>
      <c r="V1378" s="17">
        <v>93</v>
      </c>
      <c r="W1378" s="17" t="s">
        <v>25</v>
      </c>
      <c r="X1378" s="17">
        <v>6</v>
      </c>
      <c r="Y1378" s="17">
        <f>data[[#This Row],[DeliveryDate]]-data[[#This Row],[ShipDate]]</f>
        <v>1</v>
      </c>
      <c r="Z1378" s="17" t="str">
        <f>IF(data[[#This Row],[Actual Delivery Days]]&gt;AD1379,"Yes","No")</f>
        <v>Yes</v>
      </c>
    </row>
    <row r="1379" spans="1:26">
      <c r="A1379" s="17">
        <v>11062</v>
      </c>
      <c r="B1379" s="17">
        <v>2</v>
      </c>
      <c r="C1379" s="17">
        <v>4</v>
      </c>
      <c r="D1379" s="17" t="s">
        <v>446</v>
      </c>
      <c r="E1379" s="17" t="s">
        <v>310</v>
      </c>
      <c r="F1379" s="17" t="str">
        <f>TEXT(data[[#This Row],[ShipDate]],"yyyy - mmmm")</f>
        <v>2016 - February</v>
      </c>
      <c r="G1379" s="17" t="str">
        <f>data[[#This Row],[OriginCity]] &amp; " - "  &amp; data[[#This Row],[DestinationCity]]</f>
        <v>Detriot - Monon</v>
      </c>
      <c r="H1379" s="17" t="s">
        <v>52</v>
      </c>
      <c r="I1379" s="17" t="s">
        <v>21</v>
      </c>
      <c r="J1379" s="17">
        <v>2</v>
      </c>
      <c r="K1379" s="17" t="s">
        <v>53</v>
      </c>
      <c r="L1379" s="17" t="s">
        <v>44</v>
      </c>
      <c r="M1379" s="17" t="s">
        <v>268</v>
      </c>
      <c r="N1379" s="17">
        <v>1045</v>
      </c>
      <c r="O1379" s="17">
        <v>297</v>
      </c>
      <c r="P1379" s="26">
        <f>(data[[#This Row],[LoadedMiles]]/data[[#This Row],[TotalMiles]])*100</f>
        <v>28.421052631578945</v>
      </c>
      <c r="Q1379" s="25">
        <f>data[[#This Row],[ShippingCost]]/data[[#This Row],[TotalMiles]]</f>
        <v>6.8440191387559812</v>
      </c>
      <c r="R1379" s="17">
        <v>7152</v>
      </c>
      <c r="S1379" s="25">
        <f>data[[#This Row],[Revenue]]/data[[#This Row],[TotalMiles]]</f>
        <v>5.1866028708133971</v>
      </c>
      <c r="T1379" s="26">
        <f>data[[#This Row],[Revenue]]-data[[#This Row],[ShippingCost]]</f>
        <v>-1732</v>
      </c>
      <c r="U1379" s="17">
        <v>5420</v>
      </c>
      <c r="V1379" s="17">
        <v>89</v>
      </c>
      <c r="W1379" s="17" t="s">
        <v>25</v>
      </c>
      <c r="X1379" s="17">
        <v>2</v>
      </c>
      <c r="Y1379" s="17">
        <f>data[[#This Row],[DeliveryDate]]-data[[#This Row],[ShipDate]]</f>
        <v>2</v>
      </c>
      <c r="Z1379" s="17" t="str">
        <f>IF(data[[#This Row],[Actual Delivery Days]]&gt;AD1380,"Yes","No")</f>
        <v>Yes</v>
      </c>
    </row>
    <row r="1380" spans="1:26">
      <c r="A1380" s="17">
        <v>11064</v>
      </c>
      <c r="B1380" s="17">
        <v>2</v>
      </c>
      <c r="C1380" s="17">
        <v>5</v>
      </c>
      <c r="D1380" s="17" t="s">
        <v>450</v>
      </c>
      <c r="E1380" s="17" t="s">
        <v>164</v>
      </c>
      <c r="F1380" s="17" t="str">
        <f>TEXT(data[[#This Row],[ShipDate]],"yyyy - mmmm")</f>
        <v>2016 - February</v>
      </c>
      <c r="G1380" s="17" t="str">
        <f>data[[#This Row],[OriginCity]] &amp; " - "  &amp; data[[#This Row],[DestinationCity]]</f>
        <v>Joliet - Madison</v>
      </c>
      <c r="H1380" s="17" t="s">
        <v>61</v>
      </c>
      <c r="I1380" s="17" t="s">
        <v>31</v>
      </c>
      <c r="J1380" s="17">
        <v>2</v>
      </c>
      <c r="K1380" s="17" t="s">
        <v>62</v>
      </c>
      <c r="L1380" s="17" t="s">
        <v>29</v>
      </c>
      <c r="M1380" s="17" t="s">
        <v>310</v>
      </c>
      <c r="N1380" s="17">
        <v>588</v>
      </c>
      <c r="O1380" s="17">
        <v>588</v>
      </c>
      <c r="P1380" s="26">
        <f>(data[[#This Row],[LoadedMiles]]/data[[#This Row],[TotalMiles]])*100</f>
        <v>100</v>
      </c>
      <c r="Q1380" s="25">
        <f>data[[#This Row],[ShippingCost]]/data[[#This Row],[TotalMiles]]</f>
        <v>10.493197278911564</v>
      </c>
      <c r="R1380" s="17">
        <v>6170</v>
      </c>
      <c r="S1380" s="25">
        <f>data[[#This Row],[Revenue]]/data[[#This Row],[TotalMiles]]</f>
        <v>11.637755102040817</v>
      </c>
      <c r="T1380" s="26">
        <f>data[[#This Row],[Revenue]]-data[[#This Row],[ShippingCost]]</f>
        <v>673</v>
      </c>
      <c r="U1380" s="17">
        <v>6843</v>
      </c>
      <c r="V1380" s="17">
        <v>78</v>
      </c>
      <c r="W1380" s="17" t="s">
        <v>25</v>
      </c>
      <c r="X1380" s="17">
        <v>10</v>
      </c>
      <c r="Y1380" s="17">
        <f>data[[#This Row],[DeliveryDate]]-data[[#This Row],[ShipDate]]</f>
        <v>2</v>
      </c>
      <c r="Z1380" s="17" t="str">
        <f>IF(data[[#This Row],[Actual Delivery Days]]&gt;AD1381,"Yes","No")</f>
        <v>Yes</v>
      </c>
    </row>
    <row r="1381" spans="1:26">
      <c r="A1381" s="17">
        <v>11067</v>
      </c>
      <c r="B1381" s="17">
        <v>3</v>
      </c>
      <c r="C1381" s="17">
        <v>3</v>
      </c>
      <c r="D1381" s="17" t="s">
        <v>456</v>
      </c>
      <c r="E1381" s="17" t="s">
        <v>404</v>
      </c>
      <c r="F1381" s="17" t="str">
        <f>TEXT(data[[#This Row],[ShipDate]],"yyyy - mmmm")</f>
        <v>2016 - July</v>
      </c>
      <c r="G1381" s="17" t="str">
        <f>data[[#This Row],[OriginCity]] &amp; " - "  &amp; data[[#This Row],[DestinationCity]]</f>
        <v>Naperville - Indianapolis</v>
      </c>
      <c r="H1381" s="17" t="s">
        <v>48</v>
      </c>
      <c r="I1381" s="17" t="s">
        <v>31</v>
      </c>
      <c r="J1381" s="17">
        <v>2</v>
      </c>
      <c r="K1381" s="17" t="s">
        <v>43</v>
      </c>
      <c r="L1381" s="17" t="s">
        <v>44</v>
      </c>
      <c r="M1381" s="17" t="s">
        <v>63</v>
      </c>
      <c r="N1381" s="17">
        <v>644</v>
      </c>
      <c r="O1381" s="17">
        <v>557</v>
      </c>
      <c r="P1381" s="26">
        <f>(data[[#This Row],[LoadedMiles]]/data[[#This Row],[TotalMiles]])*100</f>
        <v>86.490683229813669</v>
      </c>
      <c r="Q1381" s="25">
        <f>data[[#This Row],[ShippingCost]]/data[[#This Row],[TotalMiles]]</f>
        <v>0.85248447204968947</v>
      </c>
      <c r="R1381" s="17">
        <v>549</v>
      </c>
      <c r="S1381" s="25">
        <f>data[[#This Row],[Revenue]]/data[[#This Row],[TotalMiles]]</f>
        <v>1.0838509316770186</v>
      </c>
      <c r="T1381" s="26">
        <f>data[[#This Row],[Revenue]]-data[[#This Row],[ShippingCost]]</f>
        <v>149</v>
      </c>
      <c r="U1381" s="17">
        <v>698</v>
      </c>
      <c r="V1381" s="17">
        <v>64</v>
      </c>
      <c r="W1381" s="17" t="s">
        <v>25</v>
      </c>
      <c r="X1381" s="17">
        <v>2</v>
      </c>
      <c r="Y1381" s="17">
        <f>data[[#This Row],[DeliveryDate]]-data[[#This Row],[ShipDate]]</f>
        <v>1</v>
      </c>
      <c r="Z1381" s="17" t="str">
        <f>IF(data[[#This Row],[Actual Delivery Days]]&gt;AD1382,"Yes","No")</f>
        <v>Yes</v>
      </c>
    </row>
    <row r="1382" spans="1:26">
      <c r="A1382" s="17">
        <v>11073</v>
      </c>
      <c r="B1382" s="17">
        <v>2</v>
      </c>
      <c r="C1382" s="17">
        <v>1</v>
      </c>
      <c r="D1382" s="17" t="s">
        <v>466</v>
      </c>
      <c r="E1382" s="17" t="s">
        <v>92</v>
      </c>
      <c r="F1382" s="17" t="str">
        <f>TEXT(data[[#This Row],[ShipDate]],"yyyy - mmmm")</f>
        <v>2016 - February</v>
      </c>
      <c r="G1382" s="17" t="str">
        <f>data[[#This Row],[OriginCity]] &amp; " - "  &amp; data[[#This Row],[DestinationCity]]</f>
        <v>Elgin - Cincinnati</v>
      </c>
      <c r="H1382" s="17" t="s">
        <v>94</v>
      </c>
      <c r="I1382" s="17" t="s">
        <v>31</v>
      </c>
      <c r="J1382" s="17">
        <v>2</v>
      </c>
      <c r="K1382" s="17" t="s">
        <v>89</v>
      </c>
      <c r="L1382" s="17" t="s">
        <v>23</v>
      </c>
      <c r="M1382" s="17" t="s">
        <v>259</v>
      </c>
      <c r="N1382" s="17">
        <v>228</v>
      </c>
      <c r="O1382" s="17">
        <v>228</v>
      </c>
      <c r="P1382" s="26">
        <f>(data[[#This Row],[LoadedMiles]]/data[[#This Row],[TotalMiles]])*100</f>
        <v>100</v>
      </c>
      <c r="Q1382" s="25">
        <f>data[[#This Row],[ShippingCost]]/data[[#This Row],[TotalMiles]]</f>
        <v>33.078947368421055</v>
      </c>
      <c r="R1382" s="17">
        <v>7542</v>
      </c>
      <c r="S1382" s="25">
        <f>data[[#This Row],[Revenue]]/data[[#This Row],[TotalMiles]]</f>
        <v>50.657894736842103</v>
      </c>
      <c r="T1382" s="26">
        <f>data[[#This Row],[Revenue]]-data[[#This Row],[ShippingCost]]</f>
        <v>4008</v>
      </c>
      <c r="U1382" s="17">
        <v>11550</v>
      </c>
      <c r="V1382" s="17">
        <v>92</v>
      </c>
      <c r="W1382" s="17" t="s">
        <v>25</v>
      </c>
      <c r="X1382" s="17">
        <v>6</v>
      </c>
      <c r="Y1382" s="17">
        <f>data[[#This Row],[DeliveryDate]]-data[[#This Row],[ShipDate]]</f>
        <v>2</v>
      </c>
      <c r="Z1382" s="17" t="str">
        <f>IF(data[[#This Row],[Actual Delivery Days]]&gt;AD1383,"Yes","No")</f>
        <v>Yes</v>
      </c>
    </row>
    <row r="1383" spans="1:26">
      <c r="A1383" s="17">
        <v>11077</v>
      </c>
      <c r="B1383" s="17">
        <v>3</v>
      </c>
      <c r="C1383" s="17">
        <v>3</v>
      </c>
      <c r="D1383" s="17" t="s">
        <v>472</v>
      </c>
      <c r="E1383" s="17" t="s">
        <v>319</v>
      </c>
      <c r="F1383" s="17" t="str">
        <f>TEXT(data[[#This Row],[ShipDate]],"yyyy - mmmm")</f>
        <v>2016 - June</v>
      </c>
      <c r="G1383" s="17" t="str">
        <f>data[[#This Row],[OriginCity]] &amp; " - "  &amp; data[[#This Row],[DestinationCity]]</f>
        <v>Grand Rapids - Toledo</v>
      </c>
      <c r="H1383" s="17" t="s">
        <v>20</v>
      </c>
      <c r="I1383" s="17" t="s">
        <v>21</v>
      </c>
      <c r="J1383" s="17">
        <v>2</v>
      </c>
      <c r="K1383" s="17" t="s">
        <v>22</v>
      </c>
      <c r="L1383" s="17" t="s">
        <v>23</v>
      </c>
      <c r="M1383" s="17" t="s">
        <v>439</v>
      </c>
      <c r="N1383" s="17">
        <v>772</v>
      </c>
      <c r="O1383" s="17">
        <v>647</v>
      </c>
      <c r="P1383" s="26">
        <f>(data[[#This Row],[LoadedMiles]]/data[[#This Row],[TotalMiles]])*100</f>
        <v>83.808290155440417</v>
      </c>
      <c r="Q1383" s="25">
        <f>data[[#This Row],[ShippingCost]]/data[[#This Row],[TotalMiles]]</f>
        <v>3.2461139896373057</v>
      </c>
      <c r="R1383" s="17">
        <v>2506</v>
      </c>
      <c r="S1383" s="25">
        <f>data[[#This Row],[Revenue]]/data[[#This Row],[TotalMiles]]</f>
        <v>3.562176165803109</v>
      </c>
      <c r="T1383" s="26">
        <f>data[[#This Row],[Revenue]]-data[[#This Row],[ShippingCost]]</f>
        <v>244</v>
      </c>
      <c r="U1383" s="17">
        <v>2750</v>
      </c>
      <c r="V1383" s="17">
        <v>69</v>
      </c>
      <c r="W1383" s="17" t="s">
        <v>25</v>
      </c>
      <c r="X1383" s="17">
        <v>3</v>
      </c>
      <c r="Y1383" s="17">
        <f>data[[#This Row],[DeliveryDate]]-data[[#This Row],[ShipDate]]</f>
        <v>1</v>
      </c>
      <c r="Z1383" s="17" t="str">
        <f>IF(data[[#This Row],[Actual Delivery Days]]&gt;AD1384,"Yes","No")</f>
        <v>Yes</v>
      </c>
    </row>
    <row r="1384" spans="1:26">
      <c r="A1384" s="17">
        <v>11078</v>
      </c>
      <c r="B1384" s="17">
        <v>3</v>
      </c>
      <c r="C1384" s="17">
        <v>1</v>
      </c>
      <c r="D1384" s="17" t="s">
        <v>475</v>
      </c>
      <c r="E1384" s="17" t="s">
        <v>54</v>
      </c>
      <c r="F1384" s="17" t="str">
        <f>TEXT(data[[#This Row],[ShipDate]],"yyyy - mmmm")</f>
        <v>2016 - April</v>
      </c>
      <c r="G1384" s="17" t="str">
        <f>data[[#This Row],[OriginCity]] &amp; " - "  &amp; data[[#This Row],[DestinationCity]]</f>
        <v>Milwaukee - Springfield</v>
      </c>
      <c r="H1384" s="17" t="s">
        <v>28</v>
      </c>
      <c r="I1384" s="17" t="s">
        <v>29</v>
      </c>
      <c r="J1384" s="17">
        <v>2</v>
      </c>
      <c r="K1384" s="17" t="s">
        <v>30</v>
      </c>
      <c r="L1384" s="17" t="s">
        <v>31</v>
      </c>
      <c r="M1384" s="17" t="s">
        <v>160</v>
      </c>
      <c r="N1384" s="17">
        <v>1156</v>
      </c>
      <c r="O1384" s="17">
        <v>320</v>
      </c>
      <c r="P1384" s="26">
        <f>(data[[#This Row],[LoadedMiles]]/data[[#This Row],[TotalMiles]])*100</f>
        <v>27.681660899653981</v>
      </c>
      <c r="Q1384" s="25">
        <f>data[[#This Row],[ShippingCost]]/data[[#This Row],[TotalMiles]]</f>
        <v>5.1185121107266438</v>
      </c>
      <c r="R1384" s="17">
        <v>5917</v>
      </c>
      <c r="S1384" s="25">
        <f>data[[#This Row],[Revenue]]/data[[#This Row],[TotalMiles]]</f>
        <v>8.2707612456747412</v>
      </c>
      <c r="T1384" s="26">
        <f>data[[#This Row],[Revenue]]-data[[#This Row],[ShippingCost]]</f>
        <v>3644</v>
      </c>
      <c r="U1384" s="17">
        <v>9561</v>
      </c>
      <c r="V1384" s="17">
        <v>97</v>
      </c>
      <c r="W1384" s="17" t="s">
        <v>25</v>
      </c>
      <c r="X1384" s="17">
        <v>8</v>
      </c>
      <c r="Y1384" s="17">
        <f>data[[#This Row],[DeliveryDate]]-data[[#This Row],[ShipDate]]</f>
        <v>2</v>
      </c>
      <c r="Z1384" s="17" t="str">
        <f>IF(data[[#This Row],[Actual Delivery Days]]&gt;AD1385,"Yes","No")</f>
        <v>Yes</v>
      </c>
    </row>
    <row r="1385" spans="1:26">
      <c r="A1385" s="17">
        <v>11083</v>
      </c>
      <c r="B1385" s="17">
        <v>2</v>
      </c>
      <c r="C1385" s="17">
        <v>4</v>
      </c>
      <c r="D1385" s="17" t="s">
        <v>481</v>
      </c>
      <c r="E1385" s="17" t="s">
        <v>109</v>
      </c>
      <c r="F1385" s="17" t="str">
        <f>TEXT(data[[#This Row],[ShipDate]],"yyyy - mmmm")</f>
        <v>2016 - May</v>
      </c>
      <c r="G1385" s="17" t="str">
        <f>data[[#This Row],[OriginCity]] &amp; " - "  &amp; data[[#This Row],[DestinationCity]]</f>
        <v>Detriot - Monon</v>
      </c>
      <c r="H1385" s="17" t="s">
        <v>52</v>
      </c>
      <c r="I1385" s="17" t="s">
        <v>21</v>
      </c>
      <c r="J1385" s="17">
        <v>2</v>
      </c>
      <c r="K1385" s="17" t="s">
        <v>53</v>
      </c>
      <c r="L1385" s="17" t="s">
        <v>44</v>
      </c>
      <c r="M1385" s="17" t="s">
        <v>616</v>
      </c>
      <c r="N1385" s="17">
        <v>640</v>
      </c>
      <c r="O1385" s="17">
        <v>640</v>
      </c>
      <c r="P1385" s="26">
        <f>(data[[#This Row],[LoadedMiles]]/data[[#This Row],[TotalMiles]])*100</f>
        <v>100</v>
      </c>
      <c r="Q1385" s="25">
        <f>data[[#This Row],[ShippingCost]]/data[[#This Row],[TotalMiles]]</f>
        <v>10.2125</v>
      </c>
      <c r="R1385" s="17">
        <v>6536</v>
      </c>
      <c r="S1385" s="25">
        <f>data[[#This Row],[Revenue]]/data[[#This Row],[TotalMiles]]</f>
        <v>7.0921874999999996</v>
      </c>
      <c r="T1385" s="26">
        <f>data[[#This Row],[Revenue]]-data[[#This Row],[ShippingCost]]</f>
        <v>-1997</v>
      </c>
      <c r="U1385" s="17">
        <v>4539</v>
      </c>
      <c r="V1385" s="17">
        <v>63</v>
      </c>
      <c r="W1385" s="17" t="s">
        <v>25</v>
      </c>
      <c r="X1385" s="17">
        <v>1</v>
      </c>
      <c r="Y1385" s="17">
        <f>data[[#This Row],[DeliveryDate]]-data[[#This Row],[ShipDate]]</f>
        <v>2</v>
      </c>
      <c r="Z1385" s="17" t="str">
        <f>IF(data[[#This Row],[Actual Delivery Days]]&gt;AD1386,"Yes","No")</f>
        <v>Yes</v>
      </c>
    </row>
    <row r="1386" spans="1:26">
      <c r="A1386" s="17">
        <v>11093</v>
      </c>
      <c r="B1386" s="17">
        <v>3</v>
      </c>
      <c r="C1386" s="17">
        <v>5</v>
      </c>
      <c r="D1386" s="17" t="s">
        <v>493</v>
      </c>
      <c r="E1386" s="17" t="s">
        <v>100</v>
      </c>
      <c r="F1386" s="17" t="str">
        <f>TEXT(data[[#This Row],[ShipDate]],"yyyy - mmmm")</f>
        <v>2016 - April</v>
      </c>
      <c r="G1386" s="17" t="str">
        <f>data[[#This Row],[OriginCity]] &amp; " - "  &amp; data[[#This Row],[DestinationCity]]</f>
        <v>Toledo - Detriot</v>
      </c>
      <c r="H1386" s="17" t="s">
        <v>22</v>
      </c>
      <c r="I1386" s="17" t="s">
        <v>23</v>
      </c>
      <c r="J1386" s="17">
        <v>2</v>
      </c>
      <c r="K1386" s="17" t="s">
        <v>52</v>
      </c>
      <c r="L1386" s="17" t="s">
        <v>21</v>
      </c>
      <c r="M1386" s="17" t="s">
        <v>413</v>
      </c>
      <c r="N1386" s="17">
        <v>744</v>
      </c>
      <c r="O1386" s="17">
        <v>637</v>
      </c>
      <c r="P1386" s="26">
        <f>(data[[#This Row],[LoadedMiles]]/data[[#This Row],[TotalMiles]])*100</f>
        <v>85.618279569892479</v>
      </c>
      <c r="Q1386" s="25">
        <f>data[[#This Row],[ShippingCost]]/data[[#This Row],[TotalMiles]]</f>
        <v>0.88844086021505375</v>
      </c>
      <c r="R1386" s="17">
        <v>661</v>
      </c>
      <c r="S1386" s="25">
        <f>data[[#This Row],[Revenue]]/data[[#This Row],[TotalMiles]]</f>
        <v>1.696236559139785</v>
      </c>
      <c r="T1386" s="26">
        <f>data[[#This Row],[Revenue]]-data[[#This Row],[ShippingCost]]</f>
        <v>601</v>
      </c>
      <c r="U1386" s="17">
        <v>1262</v>
      </c>
      <c r="V1386" s="17">
        <v>88</v>
      </c>
      <c r="W1386" s="17" t="s">
        <v>25</v>
      </c>
      <c r="X1386" s="17">
        <v>4</v>
      </c>
      <c r="Y1386" s="17">
        <f>data[[#This Row],[DeliveryDate]]-data[[#This Row],[ShipDate]]</f>
        <v>2</v>
      </c>
      <c r="Z1386" s="17" t="str">
        <f>IF(data[[#This Row],[Actual Delivery Days]]&gt;AD1387,"Yes","No")</f>
        <v>Yes</v>
      </c>
    </row>
    <row r="1387" spans="1:26">
      <c r="A1387" s="17">
        <v>11103</v>
      </c>
      <c r="B1387" s="17">
        <v>2</v>
      </c>
      <c r="C1387" s="17">
        <v>6</v>
      </c>
      <c r="D1387" s="17" t="s">
        <v>506</v>
      </c>
      <c r="E1387" s="17" t="s">
        <v>176</v>
      </c>
      <c r="F1387" s="17" t="str">
        <f>TEXT(data[[#This Row],[ShipDate]],"yyyy - mmmm")</f>
        <v>2016 - June</v>
      </c>
      <c r="G1387" s="17" t="str">
        <f>data[[#This Row],[OriginCity]] &amp; " - "  &amp; data[[#This Row],[DestinationCity]]</f>
        <v>Indianapolis - Northbrook</v>
      </c>
      <c r="H1387" s="17" t="s">
        <v>43</v>
      </c>
      <c r="I1387" s="17" t="s">
        <v>44</v>
      </c>
      <c r="J1387" s="17">
        <v>2</v>
      </c>
      <c r="K1387" s="17" t="s">
        <v>45</v>
      </c>
      <c r="L1387" s="17" t="s">
        <v>31</v>
      </c>
      <c r="M1387" s="17" t="s">
        <v>619</v>
      </c>
      <c r="N1387" s="17">
        <v>1070</v>
      </c>
      <c r="O1387" s="17">
        <v>535</v>
      </c>
      <c r="P1387" s="26">
        <f>(data[[#This Row],[LoadedMiles]]/data[[#This Row],[TotalMiles]])*100</f>
        <v>50</v>
      </c>
      <c r="Q1387" s="25">
        <f>data[[#This Row],[ShippingCost]]/data[[#This Row],[TotalMiles]]</f>
        <v>2.8700934579439252</v>
      </c>
      <c r="R1387" s="17">
        <v>3071</v>
      </c>
      <c r="S1387" s="25">
        <f>data[[#This Row],[Revenue]]/data[[#This Row],[TotalMiles]]</f>
        <v>3.6373831775700936</v>
      </c>
      <c r="T1387" s="26">
        <f>data[[#This Row],[Revenue]]-data[[#This Row],[ShippingCost]]</f>
        <v>821</v>
      </c>
      <c r="U1387" s="17">
        <v>3892</v>
      </c>
      <c r="V1387" s="17">
        <v>83</v>
      </c>
      <c r="W1387" s="17" t="s">
        <v>25</v>
      </c>
      <c r="X1387" s="17">
        <v>7</v>
      </c>
      <c r="Y1387" s="17">
        <f>data[[#This Row],[DeliveryDate]]-data[[#This Row],[ShipDate]]</f>
        <v>1</v>
      </c>
      <c r="Z1387" s="17" t="str">
        <f>IF(data[[#This Row],[Actual Delivery Days]]&gt;AD1388,"Yes","No")</f>
        <v>Yes</v>
      </c>
    </row>
    <row r="1388" spans="1:26">
      <c r="A1388" s="17">
        <v>11108</v>
      </c>
      <c r="B1388" s="17">
        <v>2</v>
      </c>
      <c r="C1388" s="17">
        <v>2</v>
      </c>
      <c r="D1388" s="17" t="s">
        <v>514</v>
      </c>
      <c r="E1388" s="17" t="s">
        <v>216</v>
      </c>
      <c r="F1388" s="17" t="str">
        <f>TEXT(data[[#This Row],[ShipDate]],"yyyy - mmmm")</f>
        <v>2016 - August</v>
      </c>
      <c r="G1388" s="17" t="str">
        <f>data[[#This Row],[OriginCity]] &amp; " - "  &amp; data[[#This Row],[DestinationCity]]</f>
        <v>Madison - Kalamazoo</v>
      </c>
      <c r="H1388" s="17" t="s">
        <v>62</v>
      </c>
      <c r="I1388" s="17" t="s">
        <v>29</v>
      </c>
      <c r="J1388" s="17">
        <v>2</v>
      </c>
      <c r="K1388" s="17" t="s">
        <v>71</v>
      </c>
      <c r="L1388" s="17" t="s">
        <v>21</v>
      </c>
      <c r="M1388" s="17" t="s">
        <v>38</v>
      </c>
      <c r="N1388" s="17">
        <v>287</v>
      </c>
      <c r="O1388" s="17">
        <v>287</v>
      </c>
      <c r="P1388" s="26">
        <f>(data[[#This Row],[LoadedMiles]]/data[[#This Row],[TotalMiles]])*100</f>
        <v>100</v>
      </c>
      <c r="Q1388" s="25">
        <f>data[[#This Row],[ShippingCost]]/data[[#This Row],[TotalMiles]]</f>
        <v>2.1080139372822297</v>
      </c>
      <c r="R1388" s="17">
        <v>605</v>
      </c>
      <c r="S1388" s="25">
        <f>data[[#This Row],[Revenue]]/data[[#This Row],[TotalMiles]]</f>
        <v>3.2369337979094075</v>
      </c>
      <c r="T1388" s="26">
        <f>data[[#This Row],[Revenue]]-data[[#This Row],[ShippingCost]]</f>
        <v>324</v>
      </c>
      <c r="U1388" s="17">
        <v>929</v>
      </c>
      <c r="V1388" s="17">
        <v>94</v>
      </c>
      <c r="W1388" s="17" t="s">
        <v>86</v>
      </c>
      <c r="X1388" s="17">
        <v>6</v>
      </c>
      <c r="Y1388" s="17">
        <f>data[[#This Row],[DeliveryDate]]-data[[#This Row],[ShipDate]]</f>
        <v>2</v>
      </c>
      <c r="Z1388" s="17" t="str">
        <f>IF(data[[#This Row],[Actual Delivery Days]]&gt;AD1389,"Yes","No")</f>
        <v>Yes</v>
      </c>
    </row>
    <row r="1389" spans="1:26">
      <c r="A1389" s="17">
        <v>11127</v>
      </c>
      <c r="B1389" s="17">
        <v>2</v>
      </c>
      <c r="C1389" s="17">
        <v>1</v>
      </c>
      <c r="D1389" s="17" t="s">
        <v>541</v>
      </c>
      <c r="E1389" s="17" t="s">
        <v>168</v>
      </c>
      <c r="F1389" s="17" t="str">
        <f>TEXT(data[[#This Row],[ShipDate]],"yyyy - mmmm")</f>
        <v>2016 - February</v>
      </c>
      <c r="G1389" s="17" t="str">
        <f>data[[#This Row],[OriginCity]] &amp; " - "  &amp; data[[#This Row],[DestinationCity]]</f>
        <v>Detriot - Monon</v>
      </c>
      <c r="H1389" s="17" t="s">
        <v>52</v>
      </c>
      <c r="I1389" s="17" t="s">
        <v>21</v>
      </c>
      <c r="J1389" s="17">
        <v>2</v>
      </c>
      <c r="K1389" s="17" t="s">
        <v>53</v>
      </c>
      <c r="L1389" s="17" t="s">
        <v>44</v>
      </c>
      <c r="M1389" s="17" t="s">
        <v>132</v>
      </c>
      <c r="N1389" s="17">
        <v>441</v>
      </c>
      <c r="O1389" s="17">
        <v>353</v>
      </c>
      <c r="P1389" s="26">
        <f>(data[[#This Row],[LoadedMiles]]/data[[#This Row],[TotalMiles]])*100</f>
        <v>80.045351473922892</v>
      </c>
      <c r="Q1389" s="25">
        <f>data[[#This Row],[ShippingCost]]/data[[#This Row],[TotalMiles]]</f>
        <v>12.877551020408163</v>
      </c>
      <c r="R1389" s="17">
        <v>5679</v>
      </c>
      <c r="S1389" s="25">
        <f>data[[#This Row],[Revenue]]/data[[#This Row],[TotalMiles]]</f>
        <v>23.222222222222221</v>
      </c>
      <c r="T1389" s="26">
        <f>data[[#This Row],[Revenue]]-data[[#This Row],[ShippingCost]]</f>
        <v>4562</v>
      </c>
      <c r="U1389" s="17">
        <v>10241</v>
      </c>
      <c r="V1389" s="17">
        <v>52</v>
      </c>
      <c r="W1389" s="17" t="s">
        <v>86</v>
      </c>
      <c r="X1389" s="17">
        <v>10</v>
      </c>
      <c r="Y1389" s="17">
        <f>data[[#This Row],[DeliveryDate]]-data[[#This Row],[ShipDate]]</f>
        <v>2</v>
      </c>
      <c r="Z1389" s="17" t="str">
        <f>IF(data[[#This Row],[Actual Delivery Days]]&gt;AD1390,"Yes","No")</f>
        <v>Yes</v>
      </c>
    </row>
    <row r="1390" spans="1:26">
      <c r="A1390" s="17">
        <v>11129</v>
      </c>
      <c r="B1390" s="17">
        <v>3</v>
      </c>
      <c r="C1390" s="17">
        <v>2</v>
      </c>
      <c r="D1390" s="17" t="s">
        <v>544</v>
      </c>
      <c r="E1390" s="17" t="s">
        <v>95</v>
      </c>
      <c r="F1390" s="17" t="str">
        <f>TEXT(data[[#This Row],[ShipDate]],"yyyy - mmmm")</f>
        <v>2016 - February</v>
      </c>
      <c r="G1390" s="17" t="str">
        <f>data[[#This Row],[OriginCity]] &amp; " - "  &amp; data[[#This Row],[DestinationCity]]</f>
        <v>Joliet - Madison</v>
      </c>
      <c r="H1390" s="17" t="s">
        <v>61</v>
      </c>
      <c r="I1390" s="17" t="s">
        <v>31</v>
      </c>
      <c r="J1390" s="17">
        <v>2</v>
      </c>
      <c r="K1390" s="17" t="s">
        <v>62</v>
      </c>
      <c r="L1390" s="17" t="s">
        <v>29</v>
      </c>
      <c r="M1390" s="17" t="s">
        <v>164</v>
      </c>
      <c r="N1390" s="17">
        <v>772</v>
      </c>
      <c r="O1390" s="17">
        <v>660</v>
      </c>
      <c r="P1390" s="26">
        <f>(data[[#This Row],[LoadedMiles]]/data[[#This Row],[TotalMiles]])*100</f>
        <v>85.492227979274617</v>
      </c>
      <c r="Q1390" s="25">
        <f>data[[#This Row],[ShippingCost]]/data[[#This Row],[TotalMiles]]</f>
        <v>5.6165803108808294</v>
      </c>
      <c r="R1390" s="17">
        <v>4336</v>
      </c>
      <c r="S1390" s="25">
        <f>data[[#This Row],[Revenue]]/data[[#This Row],[TotalMiles]]</f>
        <v>6.4572538860103625</v>
      </c>
      <c r="T1390" s="26">
        <f>data[[#This Row],[Revenue]]-data[[#This Row],[ShippingCost]]</f>
        <v>649</v>
      </c>
      <c r="U1390" s="17">
        <v>4985</v>
      </c>
      <c r="V1390" s="17">
        <v>94</v>
      </c>
      <c r="W1390" s="17" t="s">
        <v>25</v>
      </c>
      <c r="X1390" s="17">
        <v>3</v>
      </c>
      <c r="Y1390" s="17">
        <f>data[[#This Row],[DeliveryDate]]-data[[#This Row],[ShipDate]]</f>
        <v>2</v>
      </c>
      <c r="Z1390" s="17" t="str">
        <f>IF(data[[#This Row],[Actual Delivery Days]]&gt;AD1391,"Yes","No")</f>
        <v>Yes</v>
      </c>
    </row>
    <row r="1391" spans="1:26">
      <c r="A1391" s="17">
        <v>11130</v>
      </c>
      <c r="B1391" s="17">
        <v>2</v>
      </c>
      <c r="C1391" s="17">
        <v>5</v>
      </c>
      <c r="D1391" s="17" t="s">
        <v>545</v>
      </c>
      <c r="E1391" s="17" t="s">
        <v>272</v>
      </c>
      <c r="F1391" s="17" t="str">
        <f>TEXT(data[[#This Row],[ShipDate]],"yyyy - mmmm")</f>
        <v>2016 - March</v>
      </c>
      <c r="G1391" s="17" t="str">
        <f>data[[#This Row],[OriginCity]] &amp; " - "  &amp; data[[#This Row],[DestinationCity]]</f>
        <v>Monon - Lansing</v>
      </c>
      <c r="H1391" s="17" t="s">
        <v>53</v>
      </c>
      <c r="I1391" s="17" t="s">
        <v>44</v>
      </c>
      <c r="J1391" s="17">
        <v>2</v>
      </c>
      <c r="K1391" s="17" t="s">
        <v>66</v>
      </c>
      <c r="L1391" s="17" t="s">
        <v>21</v>
      </c>
      <c r="M1391" s="17" t="s">
        <v>199</v>
      </c>
      <c r="N1391" s="17">
        <v>415</v>
      </c>
      <c r="O1391" s="17">
        <v>349</v>
      </c>
      <c r="P1391" s="26">
        <f>(data[[#This Row],[LoadedMiles]]/data[[#This Row],[TotalMiles]])*100</f>
        <v>84.096385542168676</v>
      </c>
      <c r="Q1391" s="25">
        <f>data[[#This Row],[ShippingCost]]/data[[#This Row],[TotalMiles]]</f>
        <v>18.746987951807228</v>
      </c>
      <c r="R1391" s="17">
        <v>7780</v>
      </c>
      <c r="S1391" s="25">
        <f>data[[#This Row],[Revenue]]/data[[#This Row],[TotalMiles]]</f>
        <v>20.848192771084339</v>
      </c>
      <c r="T1391" s="26">
        <f>data[[#This Row],[Revenue]]-data[[#This Row],[ShippingCost]]</f>
        <v>872</v>
      </c>
      <c r="U1391" s="17">
        <v>8652</v>
      </c>
      <c r="V1391" s="17">
        <v>76</v>
      </c>
      <c r="W1391" s="17" t="s">
        <v>25</v>
      </c>
      <c r="X1391" s="17">
        <v>8</v>
      </c>
      <c r="Y1391" s="17">
        <f>data[[#This Row],[DeliveryDate]]-data[[#This Row],[ShipDate]]</f>
        <v>2</v>
      </c>
      <c r="Z1391" s="17" t="str">
        <f>IF(data[[#This Row],[Actual Delivery Days]]&gt;AD1392,"Yes","No")</f>
        <v>Yes</v>
      </c>
    </row>
    <row r="1392" spans="1:26">
      <c r="A1392" s="17">
        <v>11136</v>
      </c>
      <c r="B1392" s="17">
        <v>2</v>
      </c>
      <c r="C1392" s="17">
        <v>5</v>
      </c>
      <c r="D1392" s="17" t="s">
        <v>551</v>
      </c>
      <c r="E1392" s="17" t="s">
        <v>139</v>
      </c>
      <c r="F1392" s="17" t="str">
        <f>TEXT(data[[#This Row],[ShipDate]],"yyyy - mmmm")</f>
        <v>2016 - August</v>
      </c>
      <c r="G1392" s="17" t="str">
        <f>data[[#This Row],[OriginCity]] &amp; " - "  &amp; data[[#This Row],[DestinationCity]]</f>
        <v>Cincinnati - Gary</v>
      </c>
      <c r="H1392" s="17" t="s">
        <v>89</v>
      </c>
      <c r="I1392" s="17" t="s">
        <v>23</v>
      </c>
      <c r="J1392" s="17">
        <v>2</v>
      </c>
      <c r="K1392" s="17" t="s">
        <v>57</v>
      </c>
      <c r="L1392" s="17" t="s">
        <v>44</v>
      </c>
      <c r="M1392" s="17" t="s">
        <v>34</v>
      </c>
      <c r="N1392" s="17">
        <v>425</v>
      </c>
      <c r="O1392" s="17">
        <v>425</v>
      </c>
      <c r="P1392" s="26">
        <f>(data[[#This Row],[LoadedMiles]]/data[[#This Row],[TotalMiles]])*100</f>
        <v>100</v>
      </c>
      <c r="Q1392" s="25">
        <f>data[[#This Row],[ShippingCost]]/data[[#This Row],[TotalMiles]]</f>
        <v>6.0023529411764702</v>
      </c>
      <c r="R1392" s="17">
        <v>2551</v>
      </c>
      <c r="S1392" s="25">
        <f>data[[#This Row],[Revenue]]/data[[#This Row],[TotalMiles]]</f>
        <v>7.5811764705882352</v>
      </c>
      <c r="T1392" s="26">
        <f>data[[#This Row],[Revenue]]-data[[#This Row],[ShippingCost]]</f>
        <v>671</v>
      </c>
      <c r="U1392" s="17">
        <v>3222</v>
      </c>
      <c r="V1392" s="17">
        <v>59</v>
      </c>
      <c r="W1392" s="17" t="s">
        <v>25</v>
      </c>
      <c r="X1392" s="17">
        <v>10</v>
      </c>
      <c r="Y1392" s="17">
        <f>data[[#This Row],[DeliveryDate]]-data[[#This Row],[ShipDate]]</f>
        <v>2</v>
      </c>
      <c r="Z1392" s="17" t="str">
        <f>IF(data[[#This Row],[Actual Delivery Days]]&gt;AD1393,"Yes","No")</f>
        <v>Yes</v>
      </c>
    </row>
    <row r="1393" spans="1:26">
      <c r="A1393" s="17">
        <v>11140</v>
      </c>
      <c r="B1393" s="17">
        <v>3</v>
      </c>
      <c r="C1393" s="17">
        <v>2</v>
      </c>
      <c r="D1393" s="17" t="s">
        <v>557</v>
      </c>
      <c r="E1393" s="17" t="s">
        <v>613</v>
      </c>
      <c r="F1393" s="17" t="str">
        <f>TEXT(data[[#This Row],[ShipDate]],"yyyy - mmmm")</f>
        <v>2016 - June</v>
      </c>
      <c r="G1393" s="17" t="str">
        <f>data[[#This Row],[OriginCity]] &amp; " - "  &amp; data[[#This Row],[DestinationCity]]</f>
        <v>Elgin - Cincinnati</v>
      </c>
      <c r="H1393" s="17" t="s">
        <v>94</v>
      </c>
      <c r="I1393" s="17" t="s">
        <v>31</v>
      </c>
      <c r="J1393" s="17">
        <v>2</v>
      </c>
      <c r="K1393" s="17" t="s">
        <v>89</v>
      </c>
      <c r="L1393" s="17" t="s">
        <v>23</v>
      </c>
      <c r="M1393" s="17" t="s">
        <v>79</v>
      </c>
      <c r="N1393" s="17">
        <v>515</v>
      </c>
      <c r="O1393" s="17">
        <v>245</v>
      </c>
      <c r="P1393" s="26">
        <f>(data[[#This Row],[LoadedMiles]]/data[[#This Row],[TotalMiles]])*100</f>
        <v>47.572815533980581</v>
      </c>
      <c r="Q1393" s="25">
        <f>data[[#This Row],[ShippingCost]]/data[[#This Row],[TotalMiles]]</f>
        <v>4.269902912621359</v>
      </c>
      <c r="R1393" s="17">
        <v>2199</v>
      </c>
      <c r="S1393" s="25">
        <f>data[[#This Row],[Revenue]]/data[[#This Row],[TotalMiles]]</f>
        <v>5.8990291262135921</v>
      </c>
      <c r="T1393" s="26">
        <f>data[[#This Row],[Revenue]]-data[[#This Row],[ShippingCost]]</f>
        <v>839</v>
      </c>
      <c r="U1393" s="17">
        <v>3038</v>
      </c>
      <c r="V1393" s="17">
        <v>75</v>
      </c>
      <c r="W1393" s="17" t="s">
        <v>25</v>
      </c>
      <c r="X1393" s="17">
        <v>9</v>
      </c>
      <c r="Y1393" s="17">
        <f>data[[#This Row],[DeliveryDate]]-data[[#This Row],[ShipDate]]</f>
        <v>1</v>
      </c>
      <c r="Z1393" s="17" t="str">
        <f>IF(data[[#This Row],[Actual Delivery Days]]&gt;AD1394,"Yes","No")</f>
        <v>Yes</v>
      </c>
    </row>
    <row r="1394" spans="1:26">
      <c r="A1394" s="17">
        <v>11146</v>
      </c>
      <c r="B1394" s="17">
        <v>2</v>
      </c>
      <c r="C1394" s="17">
        <v>2</v>
      </c>
      <c r="D1394" s="17" t="s">
        <v>564</v>
      </c>
      <c r="E1394" s="17" t="s">
        <v>166</v>
      </c>
      <c r="F1394" s="17" t="str">
        <f>TEXT(data[[#This Row],[ShipDate]],"yyyy - mmmm")</f>
        <v>2016 - January</v>
      </c>
      <c r="G1394" s="17" t="str">
        <f>data[[#This Row],[OriginCity]] &amp; " - "  &amp; data[[#This Row],[DestinationCity]]</f>
        <v>Chicago - Rockford</v>
      </c>
      <c r="H1394" s="17" t="s">
        <v>39</v>
      </c>
      <c r="I1394" s="17" t="s">
        <v>31</v>
      </c>
      <c r="J1394" s="17">
        <v>2</v>
      </c>
      <c r="K1394" s="17" t="s">
        <v>40</v>
      </c>
      <c r="L1394" s="17" t="s">
        <v>31</v>
      </c>
      <c r="M1394" s="17" t="s">
        <v>152</v>
      </c>
      <c r="N1394" s="17">
        <v>1181</v>
      </c>
      <c r="O1394" s="17">
        <v>789</v>
      </c>
      <c r="P1394" s="26">
        <f>(data[[#This Row],[LoadedMiles]]/data[[#This Row],[TotalMiles]])*100</f>
        <v>66.807790008467407</v>
      </c>
      <c r="Q1394" s="25">
        <f>data[[#This Row],[ShippingCost]]/data[[#This Row],[TotalMiles]]</f>
        <v>5.6604572396274344</v>
      </c>
      <c r="R1394" s="17">
        <v>6685</v>
      </c>
      <c r="S1394" s="25">
        <f>data[[#This Row],[Revenue]]/data[[#This Row],[TotalMiles]]</f>
        <v>6.3005927180355634</v>
      </c>
      <c r="T1394" s="26">
        <f>data[[#This Row],[Revenue]]-data[[#This Row],[ShippingCost]]</f>
        <v>756</v>
      </c>
      <c r="U1394" s="17">
        <v>7441</v>
      </c>
      <c r="V1394" s="17">
        <v>94</v>
      </c>
      <c r="W1394" s="17" t="s">
        <v>25</v>
      </c>
      <c r="X1394" s="17">
        <v>7</v>
      </c>
      <c r="Y1394" s="17">
        <f>data[[#This Row],[DeliveryDate]]-data[[#This Row],[ShipDate]]</f>
        <v>2</v>
      </c>
      <c r="Z1394" s="17" t="str">
        <f>IF(data[[#This Row],[Actual Delivery Days]]&gt;AD1395,"Yes","No")</f>
        <v>Yes</v>
      </c>
    </row>
    <row r="1395" spans="1:26">
      <c r="A1395" s="17">
        <v>11153</v>
      </c>
      <c r="B1395" s="17">
        <v>3</v>
      </c>
      <c r="C1395" s="17">
        <v>5</v>
      </c>
      <c r="D1395" s="17" t="s">
        <v>572</v>
      </c>
      <c r="E1395" s="17" t="s">
        <v>521</v>
      </c>
      <c r="F1395" s="17" t="str">
        <f>TEXT(data[[#This Row],[ShipDate]],"yyyy - mmmm")</f>
        <v>2016 - February</v>
      </c>
      <c r="G1395" s="17" t="str">
        <f>data[[#This Row],[OriginCity]] &amp; " - "  &amp; data[[#This Row],[DestinationCity]]</f>
        <v>Madison - Kalamazoo</v>
      </c>
      <c r="H1395" s="17" t="s">
        <v>62</v>
      </c>
      <c r="I1395" s="17" t="s">
        <v>29</v>
      </c>
      <c r="J1395" s="17">
        <v>2</v>
      </c>
      <c r="K1395" s="17" t="s">
        <v>71</v>
      </c>
      <c r="L1395" s="17" t="s">
        <v>21</v>
      </c>
      <c r="M1395" s="17" t="s">
        <v>290</v>
      </c>
      <c r="N1395" s="17">
        <v>999</v>
      </c>
      <c r="O1395" s="17">
        <v>321</v>
      </c>
      <c r="P1395" s="26">
        <f>(data[[#This Row],[LoadedMiles]]/data[[#This Row],[TotalMiles]])*100</f>
        <v>32.132132132132128</v>
      </c>
      <c r="Q1395" s="25">
        <f>data[[#This Row],[ShippingCost]]/data[[#This Row],[TotalMiles]]</f>
        <v>2.6306306306306309</v>
      </c>
      <c r="R1395" s="17">
        <v>2628</v>
      </c>
      <c r="S1395" s="25">
        <f>data[[#This Row],[Revenue]]/data[[#This Row],[TotalMiles]]</f>
        <v>2.9739739739739739</v>
      </c>
      <c r="T1395" s="26">
        <f>data[[#This Row],[Revenue]]-data[[#This Row],[ShippingCost]]</f>
        <v>343</v>
      </c>
      <c r="U1395" s="17">
        <v>2971</v>
      </c>
      <c r="V1395" s="17">
        <v>83</v>
      </c>
      <c r="W1395" s="17" t="s">
        <v>25</v>
      </c>
      <c r="X1395" s="17">
        <v>6</v>
      </c>
      <c r="Y1395" s="17">
        <f>data[[#This Row],[DeliveryDate]]-data[[#This Row],[ShipDate]]</f>
        <v>2</v>
      </c>
      <c r="Z1395" s="17" t="str">
        <f>IF(data[[#This Row],[Actual Delivery Days]]&gt;AD1396,"Yes","No")</f>
        <v>Yes</v>
      </c>
    </row>
    <row r="1396" spans="1:26">
      <c r="A1396" s="17">
        <v>11156</v>
      </c>
      <c r="B1396" s="17">
        <v>3</v>
      </c>
      <c r="C1396" s="17">
        <v>1</v>
      </c>
      <c r="D1396" s="17" t="s">
        <v>576</v>
      </c>
      <c r="E1396" s="17" t="s">
        <v>583</v>
      </c>
      <c r="F1396" s="17" t="str">
        <f>TEXT(data[[#This Row],[ShipDate]],"yyyy - mmmm")</f>
        <v>2016 - January</v>
      </c>
      <c r="G1396" s="17" t="str">
        <f>data[[#This Row],[OriginCity]] &amp; " - "  &amp; data[[#This Row],[DestinationCity]]</f>
        <v>Rockford - Green Bay</v>
      </c>
      <c r="H1396" s="17" t="s">
        <v>40</v>
      </c>
      <c r="I1396" s="17" t="s">
        <v>31</v>
      </c>
      <c r="J1396" s="17">
        <v>2</v>
      </c>
      <c r="K1396" s="17" t="s">
        <v>75</v>
      </c>
      <c r="L1396" s="17" t="s">
        <v>29</v>
      </c>
      <c r="M1396" s="17" t="s">
        <v>246</v>
      </c>
      <c r="N1396" s="17">
        <v>774</v>
      </c>
      <c r="O1396" s="17">
        <v>217</v>
      </c>
      <c r="P1396" s="26">
        <f>(data[[#This Row],[LoadedMiles]]/data[[#This Row],[TotalMiles]])*100</f>
        <v>28.036175710594314</v>
      </c>
      <c r="Q1396" s="25">
        <f>data[[#This Row],[ShippingCost]]/data[[#This Row],[TotalMiles]]</f>
        <v>5.5155038759689923</v>
      </c>
      <c r="R1396" s="17">
        <v>4269</v>
      </c>
      <c r="S1396" s="25">
        <f>data[[#This Row],[Revenue]]/data[[#This Row],[TotalMiles]]</f>
        <v>11.543927648578812</v>
      </c>
      <c r="T1396" s="26">
        <f>data[[#This Row],[Revenue]]-data[[#This Row],[ShippingCost]]</f>
        <v>4666</v>
      </c>
      <c r="U1396" s="17">
        <v>8935</v>
      </c>
      <c r="V1396" s="17">
        <v>85</v>
      </c>
      <c r="W1396" s="17" t="s">
        <v>25</v>
      </c>
      <c r="X1396" s="17">
        <v>2</v>
      </c>
      <c r="Y1396" s="17">
        <f>data[[#This Row],[DeliveryDate]]-data[[#This Row],[ShipDate]]</f>
        <v>2</v>
      </c>
      <c r="Z1396" s="17" t="str">
        <f>IF(data[[#This Row],[Actual Delivery Days]]&gt;AD1397,"Yes","No")</f>
        <v>Yes</v>
      </c>
    </row>
    <row r="1397" spans="1:26">
      <c r="A1397" s="17">
        <v>11157</v>
      </c>
      <c r="B1397" s="17">
        <v>2</v>
      </c>
      <c r="C1397" s="17">
        <v>3</v>
      </c>
      <c r="D1397" s="17" t="s">
        <v>577</v>
      </c>
      <c r="E1397" s="17" t="s">
        <v>216</v>
      </c>
      <c r="F1397" s="17" t="str">
        <f>TEXT(data[[#This Row],[ShipDate]],"yyyy - mmmm")</f>
        <v>2016 - August</v>
      </c>
      <c r="G1397" s="17" t="str">
        <f>data[[#This Row],[OriginCity]] &amp; " - "  &amp; data[[#This Row],[DestinationCity]]</f>
        <v>Appleton - Grand Rapids</v>
      </c>
      <c r="H1397" s="17" t="s">
        <v>85</v>
      </c>
      <c r="I1397" s="17" t="s">
        <v>29</v>
      </c>
      <c r="J1397" s="17">
        <v>2</v>
      </c>
      <c r="K1397" s="17" t="s">
        <v>20</v>
      </c>
      <c r="L1397" s="17" t="s">
        <v>21</v>
      </c>
      <c r="M1397" s="17" t="s">
        <v>38</v>
      </c>
      <c r="N1397" s="17">
        <v>983</v>
      </c>
      <c r="O1397" s="17">
        <v>614</v>
      </c>
      <c r="P1397" s="26">
        <f>(data[[#This Row],[LoadedMiles]]/data[[#This Row],[TotalMiles]])*100</f>
        <v>62.461851475076301</v>
      </c>
      <c r="Q1397" s="25">
        <f>data[[#This Row],[ShippingCost]]/data[[#This Row],[TotalMiles]]</f>
        <v>5.4699898270600205</v>
      </c>
      <c r="R1397" s="17">
        <v>5377</v>
      </c>
      <c r="S1397" s="25">
        <f>data[[#This Row],[Revenue]]/data[[#This Row],[TotalMiles]]</f>
        <v>6.34587995930824</v>
      </c>
      <c r="T1397" s="26">
        <f>data[[#This Row],[Revenue]]-data[[#This Row],[ShippingCost]]</f>
        <v>861</v>
      </c>
      <c r="U1397" s="17">
        <v>6238</v>
      </c>
      <c r="V1397" s="17">
        <v>72</v>
      </c>
      <c r="W1397" s="17" t="s">
        <v>25</v>
      </c>
      <c r="X1397" s="17">
        <v>7</v>
      </c>
      <c r="Y1397" s="17">
        <f>data[[#This Row],[DeliveryDate]]-data[[#This Row],[ShipDate]]</f>
        <v>2</v>
      </c>
      <c r="Z1397" s="17" t="str">
        <f>IF(data[[#This Row],[Actual Delivery Days]]&gt;AD1398,"Yes","No")</f>
        <v>Yes</v>
      </c>
    </row>
    <row r="1398" spans="1:26">
      <c r="A1398" s="17">
        <v>11165</v>
      </c>
      <c r="B1398" s="17">
        <v>2</v>
      </c>
      <c r="C1398" s="17">
        <v>5</v>
      </c>
      <c r="D1398" s="17" t="s">
        <v>586</v>
      </c>
      <c r="E1398" s="17" t="s">
        <v>439</v>
      </c>
      <c r="F1398" s="17" t="str">
        <f>TEXT(data[[#This Row],[ShipDate]],"yyyy - mmmm")</f>
        <v>2016 - June</v>
      </c>
      <c r="G1398" s="17" t="str">
        <f>data[[#This Row],[OriginCity]] &amp; " - "  &amp; data[[#This Row],[DestinationCity]]</f>
        <v>Kalamazoo - Bangor</v>
      </c>
      <c r="H1398" s="17" t="s">
        <v>71</v>
      </c>
      <c r="I1398" s="17" t="s">
        <v>21</v>
      </c>
      <c r="J1398" s="17">
        <v>2</v>
      </c>
      <c r="K1398" s="17" t="s">
        <v>104</v>
      </c>
      <c r="L1398" s="17" t="s">
        <v>21</v>
      </c>
      <c r="M1398" s="17" t="s">
        <v>298</v>
      </c>
      <c r="N1398" s="17">
        <v>357</v>
      </c>
      <c r="O1398" s="17">
        <v>253</v>
      </c>
      <c r="P1398" s="26">
        <f>(data[[#This Row],[LoadedMiles]]/data[[#This Row],[TotalMiles]])*100</f>
        <v>70.868347338935578</v>
      </c>
      <c r="Q1398" s="25">
        <f>data[[#This Row],[ShippingCost]]/data[[#This Row],[TotalMiles]]</f>
        <v>7.0308123249299719</v>
      </c>
      <c r="R1398" s="17">
        <v>2510</v>
      </c>
      <c r="S1398" s="25">
        <f>data[[#This Row],[Revenue]]/data[[#This Row],[TotalMiles]]</f>
        <v>9.7478991596638647</v>
      </c>
      <c r="T1398" s="26">
        <f>data[[#This Row],[Revenue]]-data[[#This Row],[ShippingCost]]</f>
        <v>970</v>
      </c>
      <c r="U1398" s="17">
        <v>3480</v>
      </c>
      <c r="V1398" s="17">
        <v>80</v>
      </c>
      <c r="W1398" s="17" t="s">
        <v>86</v>
      </c>
      <c r="X1398" s="17">
        <v>6</v>
      </c>
      <c r="Y1398" s="17">
        <f>data[[#This Row],[DeliveryDate]]-data[[#This Row],[ShipDate]]</f>
        <v>2</v>
      </c>
      <c r="Z1398" s="17" t="str">
        <f>IF(data[[#This Row],[Actual Delivery Days]]&gt;AD1399,"Yes","No")</f>
        <v>Yes</v>
      </c>
    </row>
    <row r="1399" spans="1:26">
      <c r="A1399" s="17">
        <v>11166</v>
      </c>
      <c r="B1399" s="17">
        <v>2</v>
      </c>
      <c r="C1399" s="17">
        <v>2</v>
      </c>
      <c r="D1399" s="17" t="s">
        <v>588</v>
      </c>
      <c r="E1399" s="17" t="s">
        <v>197</v>
      </c>
      <c r="F1399" s="17" t="str">
        <f>TEXT(data[[#This Row],[ShipDate]],"yyyy - mmmm")</f>
        <v>2016 - May</v>
      </c>
      <c r="G1399" s="17" t="str">
        <f>data[[#This Row],[OriginCity]] &amp; " - "  &amp; data[[#This Row],[DestinationCity]]</f>
        <v>Davenport - Appleton</v>
      </c>
      <c r="H1399" s="17" t="s">
        <v>105</v>
      </c>
      <c r="I1399" s="17" t="s">
        <v>106</v>
      </c>
      <c r="J1399" s="17">
        <v>2</v>
      </c>
      <c r="K1399" s="17" t="s">
        <v>85</v>
      </c>
      <c r="L1399" s="17" t="s">
        <v>29</v>
      </c>
      <c r="M1399" s="17" t="s">
        <v>227</v>
      </c>
      <c r="N1399" s="17">
        <v>908</v>
      </c>
      <c r="O1399" s="17">
        <v>767</v>
      </c>
      <c r="P1399" s="26">
        <f>(data[[#This Row],[LoadedMiles]]/data[[#This Row],[TotalMiles]])*100</f>
        <v>84.471365638766514</v>
      </c>
      <c r="Q1399" s="25">
        <f>data[[#This Row],[ShippingCost]]/data[[#This Row],[TotalMiles]]</f>
        <v>0.56387665198237891</v>
      </c>
      <c r="R1399" s="17">
        <v>512</v>
      </c>
      <c r="S1399" s="25">
        <f>data[[#This Row],[Revenue]]/data[[#This Row],[TotalMiles]]</f>
        <v>1.4096916299559472</v>
      </c>
      <c r="T1399" s="26">
        <f>data[[#This Row],[Revenue]]-data[[#This Row],[ShippingCost]]</f>
        <v>768</v>
      </c>
      <c r="U1399" s="17">
        <v>1280</v>
      </c>
      <c r="V1399" s="17">
        <v>82</v>
      </c>
      <c r="W1399" s="17" t="s">
        <v>25</v>
      </c>
      <c r="X1399" s="17">
        <v>3</v>
      </c>
      <c r="Y1399" s="17">
        <f>data[[#This Row],[DeliveryDate]]-data[[#This Row],[ShipDate]]</f>
        <v>2</v>
      </c>
      <c r="Z1399" s="17" t="str">
        <f>IF(data[[#This Row],[Actual Delivery Days]]&gt;AD1400,"Yes","No")</f>
        <v>Yes</v>
      </c>
    </row>
    <row r="1400" spans="1:26">
      <c r="A1400" s="17">
        <v>11167</v>
      </c>
      <c r="B1400" s="17">
        <v>2</v>
      </c>
      <c r="C1400" s="17">
        <v>1</v>
      </c>
      <c r="D1400" s="17" t="s">
        <v>589</v>
      </c>
      <c r="E1400" s="17" t="s">
        <v>212</v>
      </c>
      <c r="F1400" s="17" t="str">
        <f>TEXT(data[[#This Row],[ShipDate]],"yyyy - mmmm")</f>
        <v>2016 - August</v>
      </c>
      <c r="G1400" s="17" t="str">
        <f>data[[#This Row],[OriginCity]] &amp; " - "  &amp; data[[#This Row],[DestinationCity]]</f>
        <v>Grand Rapids - Toledo</v>
      </c>
      <c r="H1400" s="17" t="s">
        <v>20</v>
      </c>
      <c r="I1400" s="17" t="s">
        <v>21</v>
      </c>
      <c r="J1400" s="17">
        <v>2</v>
      </c>
      <c r="K1400" s="17" t="s">
        <v>22</v>
      </c>
      <c r="L1400" s="17" t="s">
        <v>23</v>
      </c>
      <c r="M1400" s="17" t="s">
        <v>214</v>
      </c>
      <c r="N1400" s="17">
        <v>265</v>
      </c>
      <c r="O1400" s="17">
        <v>265</v>
      </c>
      <c r="P1400" s="26">
        <f>(data[[#This Row],[LoadedMiles]]/data[[#This Row],[TotalMiles]])*100</f>
        <v>100</v>
      </c>
      <c r="Q1400" s="25">
        <f>data[[#This Row],[ShippingCost]]/data[[#This Row],[TotalMiles]]</f>
        <v>25</v>
      </c>
      <c r="R1400" s="17">
        <v>6625</v>
      </c>
      <c r="S1400" s="25">
        <f>data[[#This Row],[Revenue]]/data[[#This Row],[TotalMiles]]</f>
        <v>42.301886792452834</v>
      </c>
      <c r="T1400" s="26">
        <f>data[[#This Row],[Revenue]]-data[[#This Row],[ShippingCost]]</f>
        <v>4585</v>
      </c>
      <c r="U1400" s="17">
        <v>11210</v>
      </c>
      <c r="V1400" s="17">
        <v>89</v>
      </c>
      <c r="W1400" s="17" t="s">
        <v>25</v>
      </c>
      <c r="X1400" s="17">
        <v>6</v>
      </c>
      <c r="Y1400" s="17">
        <f>data[[#This Row],[DeliveryDate]]-data[[#This Row],[ShipDate]]</f>
        <v>2</v>
      </c>
      <c r="Z1400" s="17" t="str">
        <f>IF(data[[#This Row],[Actual Delivery Days]]&gt;AD1401,"Yes","No")</f>
        <v>Yes</v>
      </c>
    </row>
    <row r="1401" spans="1:26">
      <c r="A1401" s="17">
        <v>11171</v>
      </c>
      <c r="B1401" s="17">
        <v>2</v>
      </c>
      <c r="C1401" s="17">
        <v>4</v>
      </c>
      <c r="D1401" s="17" t="s">
        <v>593</v>
      </c>
      <c r="E1401" s="17" t="s">
        <v>612</v>
      </c>
      <c r="F1401" s="17" t="str">
        <f>TEXT(data[[#This Row],[ShipDate]],"yyyy - mmmm")</f>
        <v>2016 - January</v>
      </c>
      <c r="G1401" s="17" t="str">
        <f>data[[#This Row],[OriginCity]] &amp; " - "  &amp; data[[#This Row],[DestinationCity]]</f>
        <v>Indianapolis - Northbrook</v>
      </c>
      <c r="H1401" s="17" t="s">
        <v>43</v>
      </c>
      <c r="I1401" s="17" t="s">
        <v>44</v>
      </c>
      <c r="J1401" s="17">
        <v>2</v>
      </c>
      <c r="K1401" s="17" t="s">
        <v>45</v>
      </c>
      <c r="L1401" s="17" t="s">
        <v>31</v>
      </c>
      <c r="M1401" s="17" t="s">
        <v>304</v>
      </c>
      <c r="N1401" s="17">
        <v>1119</v>
      </c>
      <c r="O1401" s="17">
        <v>788</v>
      </c>
      <c r="P1401" s="26">
        <f>(data[[#This Row],[LoadedMiles]]/data[[#This Row],[TotalMiles]])*100</f>
        <v>70.420017873100988</v>
      </c>
      <c r="Q1401" s="25">
        <f>data[[#This Row],[ShippingCost]]/data[[#This Row],[TotalMiles]]</f>
        <v>2.2412868632707776</v>
      </c>
      <c r="R1401" s="17">
        <v>2508</v>
      </c>
      <c r="S1401" s="25">
        <f>data[[#This Row],[Revenue]]/data[[#This Row],[TotalMiles]]</f>
        <v>0.17962466487935658</v>
      </c>
      <c r="T1401" s="26">
        <f>data[[#This Row],[Revenue]]-data[[#This Row],[ShippingCost]]</f>
        <v>-2307</v>
      </c>
      <c r="U1401" s="17">
        <v>201</v>
      </c>
      <c r="V1401" s="17">
        <v>72</v>
      </c>
      <c r="W1401" s="17" t="s">
        <v>25</v>
      </c>
      <c r="X1401" s="17">
        <v>8</v>
      </c>
      <c r="Y1401" s="17">
        <f>data[[#This Row],[DeliveryDate]]-data[[#This Row],[ShipDate]]</f>
        <v>1</v>
      </c>
      <c r="Z1401" s="17" t="str">
        <f>IF(data[[#This Row],[Actual Delivery Days]]&gt;AD1402,"Yes","No")</f>
        <v>Yes</v>
      </c>
    </row>
    <row r="1402" spans="1:26">
      <c r="A1402" s="17">
        <v>11178</v>
      </c>
      <c r="B1402" s="17">
        <v>3</v>
      </c>
      <c r="C1402" s="17">
        <v>2</v>
      </c>
      <c r="D1402" s="17" t="s">
        <v>601</v>
      </c>
      <c r="E1402" s="17" t="s">
        <v>218</v>
      </c>
      <c r="F1402" s="17" t="str">
        <f>TEXT(data[[#This Row],[ShipDate]],"yyyy - mmmm")</f>
        <v>2016 - May</v>
      </c>
      <c r="G1402" s="17" t="str">
        <f>data[[#This Row],[OriginCity]] &amp; " - "  &amp; data[[#This Row],[DestinationCity]]</f>
        <v>Green Bay - Joliet</v>
      </c>
      <c r="H1402" s="17" t="s">
        <v>75</v>
      </c>
      <c r="I1402" s="17" t="s">
        <v>29</v>
      </c>
      <c r="J1402" s="17">
        <v>2</v>
      </c>
      <c r="K1402" s="17" t="s">
        <v>61</v>
      </c>
      <c r="L1402" s="17" t="s">
        <v>31</v>
      </c>
      <c r="M1402" s="17" t="s">
        <v>261</v>
      </c>
      <c r="N1402" s="17">
        <v>489</v>
      </c>
      <c r="O1402" s="17">
        <v>489</v>
      </c>
      <c r="P1402" s="26">
        <f>(data[[#This Row],[LoadedMiles]]/data[[#This Row],[TotalMiles]])*100</f>
        <v>100</v>
      </c>
      <c r="Q1402" s="25">
        <f>data[[#This Row],[ShippingCost]]/data[[#This Row],[TotalMiles]]</f>
        <v>1.9550102249488752</v>
      </c>
      <c r="R1402" s="17">
        <v>956</v>
      </c>
      <c r="S1402" s="25">
        <f>data[[#This Row],[Revenue]]/data[[#This Row],[TotalMiles]]</f>
        <v>2.5950920245398774</v>
      </c>
      <c r="T1402" s="26">
        <f>data[[#This Row],[Revenue]]-data[[#This Row],[ShippingCost]]</f>
        <v>313</v>
      </c>
      <c r="U1402" s="17">
        <v>1269</v>
      </c>
      <c r="V1402" s="17">
        <v>59</v>
      </c>
      <c r="W1402" s="17" t="s">
        <v>25</v>
      </c>
      <c r="X1402" s="17">
        <v>5</v>
      </c>
      <c r="Y1402" s="17">
        <f>data[[#This Row],[DeliveryDate]]-data[[#This Row],[ShipDate]]</f>
        <v>2</v>
      </c>
      <c r="Z1402" s="17" t="str">
        <f>IF(data[[#This Row],[Actual Delivery Days]]&gt;AD1403,"Yes","No")</f>
        <v>Yes</v>
      </c>
    </row>
    <row r="1403" spans="1:26">
      <c r="A1403" s="17">
        <v>11179</v>
      </c>
      <c r="B1403" s="17">
        <v>3</v>
      </c>
      <c r="C1403" s="17">
        <v>4</v>
      </c>
      <c r="D1403" s="17" t="s">
        <v>602</v>
      </c>
      <c r="E1403" s="17" t="s">
        <v>405</v>
      </c>
      <c r="F1403" s="17" t="str">
        <f>TEXT(data[[#This Row],[ShipDate]],"yyyy - mmmm")</f>
        <v>2016 - August</v>
      </c>
      <c r="G1403" s="17" t="str">
        <f>data[[#This Row],[OriginCity]] &amp; " - "  &amp; data[[#This Row],[DestinationCity]]</f>
        <v>Naperville - Indianapolis</v>
      </c>
      <c r="H1403" s="17" t="s">
        <v>48</v>
      </c>
      <c r="I1403" s="17" t="s">
        <v>31</v>
      </c>
      <c r="J1403" s="17">
        <v>2</v>
      </c>
      <c r="K1403" s="17" t="s">
        <v>43</v>
      </c>
      <c r="L1403" s="17" t="s">
        <v>44</v>
      </c>
      <c r="M1403" s="17" t="s">
        <v>535</v>
      </c>
      <c r="N1403" s="17">
        <v>250</v>
      </c>
      <c r="O1403" s="17">
        <v>250</v>
      </c>
      <c r="P1403" s="26">
        <f>(data[[#This Row],[LoadedMiles]]/data[[#This Row],[TotalMiles]])*100</f>
        <v>100</v>
      </c>
      <c r="Q1403" s="25">
        <f>data[[#This Row],[ShippingCost]]/data[[#This Row],[TotalMiles]]</f>
        <v>18.204000000000001</v>
      </c>
      <c r="R1403" s="17">
        <v>4551</v>
      </c>
      <c r="S1403" s="25">
        <f>data[[#This Row],[Revenue]]/data[[#This Row],[TotalMiles]]</f>
        <v>9.5879999999999992</v>
      </c>
      <c r="T1403" s="26">
        <f>data[[#This Row],[Revenue]]-data[[#This Row],[ShippingCost]]</f>
        <v>-2154</v>
      </c>
      <c r="U1403" s="17">
        <v>2397</v>
      </c>
      <c r="V1403" s="17">
        <v>62</v>
      </c>
      <c r="W1403" s="17" t="s">
        <v>25</v>
      </c>
      <c r="X1403" s="17">
        <v>3</v>
      </c>
      <c r="Y1403" s="17">
        <f>data[[#This Row],[DeliveryDate]]-data[[#This Row],[ShipDate]]</f>
        <v>1</v>
      </c>
      <c r="Z1403" s="17" t="str">
        <f>IF(data[[#This Row],[Actual Delivery Days]]&gt;AD1404,"Yes","No")</f>
        <v>Yes</v>
      </c>
    </row>
    <row r="1404" spans="1:26">
      <c r="A1404" s="17">
        <v>11185</v>
      </c>
      <c r="B1404" s="17">
        <v>3</v>
      </c>
      <c r="C1404" s="17">
        <v>1</v>
      </c>
      <c r="D1404" s="17" t="s">
        <v>33</v>
      </c>
      <c r="E1404" s="17" t="s">
        <v>90</v>
      </c>
      <c r="F1404" s="17" t="str">
        <f>TEXT(data[[#This Row],[ShipDate]],"yyyy - mmmm")</f>
        <v>2016 - February</v>
      </c>
      <c r="G1404" s="17" t="str">
        <f>data[[#This Row],[OriginCity]] &amp; " - "  &amp; data[[#This Row],[DestinationCity]]</f>
        <v>Lansing - Dayton</v>
      </c>
      <c r="H1404" s="17" t="s">
        <v>66</v>
      </c>
      <c r="I1404" s="17" t="s">
        <v>21</v>
      </c>
      <c r="J1404" s="17">
        <v>2</v>
      </c>
      <c r="K1404" s="17" t="s">
        <v>93</v>
      </c>
      <c r="L1404" s="17" t="s">
        <v>23</v>
      </c>
      <c r="M1404" s="17" t="s">
        <v>460</v>
      </c>
      <c r="N1404" s="17">
        <v>236</v>
      </c>
      <c r="O1404" s="17">
        <v>236</v>
      </c>
      <c r="P1404" s="26">
        <f>(data[[#This Row],[LoadedMiles]]/data[[#This Row],[TotalMiles]])*100</f>
        <v>100</v>
      </c>
      <c r="Q1404" s="25">
        <f>data[[#This Row],[ShippingCost]]/data[[#This Row],[TotalMiles]]</f>
        <v>15.474576271186441</v>
      </c>
      <c r="R1404" s="17">
        <v>3652</v>
      </c>
      <c r="S1404" s="25">
        <f>data[[#This Row],[Revenue]]/data[[#This Row],[TotalMiles]]</f>
        <v>37.262711864406782</v>
      </c>
      <c r="T1404" s="26">
        <f>data[[#This Row],[Revenue]]-data[[#This Row],[ShippingCost]]</f>
        <v>5142</v>
      </c>
      <c r="U1404" s="17">
        <v>8794</v>
      </c>
      <c r="V1404" s="17">
        <v>94</v>
      </c>
      <c r="W1404" s="17" t="s">
        <v>86</v>
      </c>
      <c r="X1404" s="17">
        <v>10</v>
      </c>
      <c r="Y1404" s="17">
        <f>data[[#This Row],[DeliveryDate]]-data[[#This Row],[ShipDate]]</f>
        <v>2</v>
      </c>
      <c r="Z1404" s="17" t="str">
        <f>IF(data[[#This Row],[Actual Delivery Days]]&gt;AD1405,"Yes","No")</f>
        <v>Yes</v>
      </c>
    </row>
    <row r="1405" spans="1:26">
      <c r="A1405" s="17">
        <v>11186</v>
      </c>
      <c r="B1405" s="17">
        <v>2</v>
      </c>
      <c r="C1405" s="17">
        <v>4</v>
      </c>
      <c r="D1405" s="17" t="s">
        <v>37</v>
      </c>
      <c r="E1405" s="17" t="s">
        <v>90</v>
      </c>
      <c r="F1405" s="17" t="str">
        <f>TEXT(data[[#This Row],[ShipDate]],"yyyy - mmmm")</f>
        <v>2016 - February</v>
      </c>
      <c r="G1405" s="17" t="str">
        <f>data[[#This Row],[OriginCity]] &amp; " - "  &amp; data[[#This Row],[DestinationCity]]</f>
        <v>Bangor - Davenport</v>
      </c>
      <c r="H1405" s="17" t="s">
        <v>104</v>
      </c>
      <c r="I1405" s="17" t="s">
        <v>21</v>
      </c>
      <c r="J1405" s="17">
        <v>2</v>
      </c>
      <c r="K1405" s="17" t="s">
        <v>105</v>
      </c>
      <c r="L1405" s="17" t="s">
        <v>106</v>
      </c>
      <c r="M1405" s="17" t="s">
        <v>460</v>
      </c>
      <c r="N1405" s="17">
        <v>1048</v>
      </c>
      <c r="O1405" s="17">
        <v>708</v>
      </c>
      <c r="P1405" s="26">
        <f>(data[[#This Row],[LoadedMiles]]/data[[#This Row],[TotalMiles]])*100</f>
        <v>67.55725190839695</v>
      </c>
      <c r="Q1405" s="25">
        <f>data[[#This Row],[ShippingCost]]/data[[#This Row],[TotalMiles]]</f>
        <v>8.3979007633587788</v>
      </c>
      <c r="R1405" s="17">
        <v>8801</v>
      </c>
      <c r="S1405" s="25">
        <f>data[[#This Row],[Revenue]]/data[[#This Row],[TotalMiles]]</f>
        <v>5.7547709923664119</v>
      </c>
      <c r="T1405" s="26">
        <f>data[[#This Row],[Revenue]]-data[[#This Row],[ShippingCost]]</f>
        <v>-2770</v>
      </c>
      <c r="U1405" s="17">
        <v>6031</v>
      </c>
      <c r="V1405" s="17">
        <v>87</v>
      </c>
      <c r="W1405" s="17" t="s">
        <v>25</v>
      </c>
      <c r="X1405" s="17">
        <v>3</v>
      </c>
      <c r="Y1405" s="17">
        <f>data[[#This Row],[DeliveryDate]]-data[[#This Row],[ShipDate]]</f>
        <v>2</v>
      </c>
      <c r="Z1405" s="17" t="str">
        <f>IF(data[[#This Row],[Actual Delivery Days]]&gt;AD1406,"Yes","No")</f>
        <v>Yes</v>
      </c>
    </row>
    <row r="1406" spans="1:26">
      <c r="A1406" s="17">
        <v>11188</v>
      </c>
      <c r="B1406" s="17">
        <v>3</v>
      </c>
      <c r="C1406" s="17">
        <v>5</v>
      </c>
      <c r="D1406" s="17" t="s">
        <v>46</v>
      </c>
      <c r="E1406" s="17" t="s">
        <v>180</v>
      </c>
      <c r="F1406" s="17" t="str">
        <f>TEXT(data[[#This Row],[ShipDate]],"yyyy - mmmm")</f>
        <v>2016 - July</v>
      </c>
      <c r="G1406" s="17" t="str">
        <f>data[[#This Row],[OriginCity]] &amp; " - "  &amp; data[[#This Row],[DestinationCity]]</f>
        <v>Skokie - Chicago</v>
      </c>
      <c r="H1406" s="17" t="s">
        <v>35</v>
      </c>
      <c r="I1406" s="17" t="s">
        <v>31</v>
      </c>
      <c r="J1406" s="17">
        <v>2</v>
      </c>
      <c r="K1406" s="17" t="s">
        <v>39</v>
      </c>
      <c r="L1406" s="17" t="s">
        <v>31</v>
      </c>
      <c r="M1406" s="17" t="s">
        <v>553</v>
      </c>
      <c r="N1406" s="17">
        <v>1038</v>
      </c>
      <c r="O1406" s="17">
        <v>791</v>
      </c>
      <c r="P1406" s="26">
        <f>(data[[#This Row],[LoadedMiles]]/data[[#This Row],[TotalMiles]])*100</f>
        <v>76.204238921001931</v>
      </c>
      <c r="Q1406" s="25">
        <f>data[[#This Row],[ShippingCost]]/data[[#This Row],[TotalMiles]]</f>
        <v>3.8400770712909442</v>
      </c>
      <c r="R1406" s="17">
        <v>3986</v>
      </c>
      <c r="S1406" s="25">
        <f>data[[#This Row],[Revenue]]/data[[#This Row],[TotalMiles]]</f>
        <v>4.6059730250481694</v>
      </c>
      <c r="T1406" s="26">
        <f>data[[#This Row],[Revenue]]-data[[#This Row],[ShippingCost]]</f>
        <v>795</v>
      </c>
      <c r="U1406" s="17">
        <v>4781</v>
      </c>
      <c r="V1406" s="17">
        <v>89</v>
      </c>
      <c r="W1406" s="17" t="s">
        <v>25</v>
      </c>
      <c r="X1406" s="17">
        <v>3</v>
      </c>
      <c r="Y1406" s="17">
        <f>data[[#This Row],[DeliveryDate]]-data[[#This Row],[ShipDate]]</f>
        <v>2</v>
      </c>
      <c r="Z1406" s="17" t="str">
        <f>IF(data[[#This Row],[Actual Delivery Days]]&gt;AD1407,"Yes","No")</f>
        <v>Yes</v>
      </c>
    </row>
    <row r="1407" spans="1:26">
      <c r="A1407" s="17">
        <v>11192</v>
      </c>
      <c r="B1407" s="17">
        <v>2</v>
      </c>
      <c r="C1407" s="17">
        <v>3</v>
      </c>
      <c r="D1407" s="17" t="s">
        <v>64</v>
      </c>
      <c r="E1407" s="17" t="s">
        <v>84</v>
      </c>
      <c r="F1407" s="17" t="str">
        <f>TEXT(data[[#This Row],[ShipDate]],"yyyy - mmmm")</f>
        <v>2016 - May</v>
      </c>
      <c r="G1407" s="17" t="str">
        <f>data[[#This Row],[OriginCity]] &amp; " - "  &amp; data[[#This Row],[DestinationCity]]</f>
        <v>Milwaukee - Springfield</v>
      </c>
      <c r="H1407" s="17" t="s">
        <v>28</v>
      </c>
      <c r="I1407" s="17" t="s">
        <v>29</v>
      </c>
      <c r="J1407" s="17">
        <v>2</v>
      </c>
      <c r="K1407" s="17" t="s">
        <v>30</v>
      </c>
      <c r="L1407" s="17" t="s">
        <v>31</v>
      </c>
      <c r="M1407" s="17" t="s">
        <v>27</v>
      </c>
      <c r="N1407" s="17">
        <v>470</v>
      </c>
      <c r="O1407" s="17">
        <v>470</v>
      </c>
      <c r="P1407" s="26">
        <f>(data[[#This Row],[LoadedMiles]]/data[[#This Row],[TotalMiles]])*100</f>
        <v>100</v>
      </c>
      <c r="Q1407" s="25">
        <f>data[[#This Row],[ShippingCost]]/data[[#This Row],[TotalMiles]]</f>
        <v>18.638297872340427</v>
      </c>
      <c r="R1407" s="17">
        <v>8760</v>
      </c>
      <c r="S1407" s="25">
        <f>data[[#This Row],[Revenue]]/data[[#This Row],[TotalMiles]]</f>
        <v>19.038297872340426</v>
      </c>
      <c r="T1407" s="26">
        <f>data[[#This Row],[Revenue]]-data[[#This Row],[ShippingCost]]</f>
        <v>188</v>
      </c>
      <c r="U1407" s="17">
        <v>8948</v>
      </c>
      <c r="V1407" s="17">
        <v>93</v>
      </c>
      <c r="W1407" s="17" t="s">
        <v>25</v>
      </c>
      <c r="X1407" s="17">
        <v>4</v>
      </c>
      <c r="Y1407" s="17">
        <f>data[[#This Row],[DeliveryDate]]-data[[#This Row],[ShipDate]]</f>
        <v>2</v>
      </c>
      <c r="Z1407" s="17" t="str">
        <f>IF(data[[#This Row],[Actual Delivery Days]]&gt;AD1408,"Yes","No")</f>
        <v>Yes</v>
      </c>
    </row>
    <row r="1408" spans="1:26">
      <c r="A1408" s="17">
        <v>11195</v>
      </c>
      <c r="B1408" s="17">
        <v>2</v>
      </c>
      <c r="C1408" s="17">
        <v>2</v>
      </c>
      <c r="D1408" s="17" t="s">
        <v>80</v>
      </c>
      <c r="E1408" s="17" t="s">
        <v>212</v>
      </c>
      <c r="F1408" s="17" t="str">
        <f>TEXT(data[[#This Row],[ShipDate]],"yyyy - mmmm")</f>
        <v>2016 - August</v>
      </c>
      <c r="G1408" s="17" t="str">
        <f>data[[#This Row],[OriginCity]] &amp; " - "  &amp; data[[#This Row],[DestinationCity]]</f>
        <v>Northbrook - Naperville</v>
      </c>
      <c r="H1408" s="17" t="s">
        <v>45</v>
      </c>
      <c r="I1408" s="17" t="s">
        <v>31</v>
      </c>
      <c r="J1408" s="17">
        <v>2</v>
      </c>
      <c r="K1408" s="17" t="s">
        <v>48</v>
      </c>
      <c r="L1408" s="17" t="s">
        <v>31</v>
      </c>
      <c r="M1408" s="17" t="s">
        <v>214</v>
      </c>
      <c r="N1408" s="17">
        <v>1060</v>
      </c>
      <c r="O1408" s="17">
        <v>550</v>
      </c>
      <c r="P1408" s="26">
        <f>(data[[#This Row],[LoadedMiles]]/data[[#This Row],[TotalMiles]])*100</f>
        <v>51.886792452830186</v>
      </c>
      <c r="Q1408" s="25">
        <f>data[[#This Row],[ShippingCost]]/data[[#This Row],[TotalMiles]]</f>
        <v>1.8716981132075472</v>
      </c>
      <c r="R1408" s="17">
        <v>1984</v>
      </c>
      <c r="S1408" s="25">
        <f>data[[#This Row],[Revenue]]/data[[#This Row],[TotalMiles]]</f>
        <v>2.0877358490566036</v>
      </c>
      <c r="T1408" s="26">
        <f>data[[#This Row],[Revenue]]-data[[#This Row],[ShippingCost]]</f>
        <v>229</v>
      </c>
      <c r="U1408" s="17">
        <v>2213</v>
      </c>
      <c r="V1408" s="17">
        <v>96</v>
      </c>
      <c r="W1408" s="17" t="s">
        <v>25</v>
      </c>
      <c r="X1408" s="17">
        <v>2</v>
      </c>
      <c r="Y1408" s="17">
        <f>data[[#This Row],[DeliveryDate]]-data[[#This Row],[ShipDate]]</f>
        <v>2</v>
      </c>
      <c r="Z1408" s="17" t="str">
        <f>IF(data[[#This Row],[Actual Delivery Days]]&gt;AD1409,"Yes","No")</f>
        <v>Yes</v>
      </c>
    </row>
    <row r="1409" spans="1:26">
      <c r="A1409" s="17">
        <v>11198</v>
      </c>
      <c r="B1409" s="17">
        <v>2</v>
      </c>
      <c r="C1409" s="17">
        <v>2</v>
      </c>
      <c r="D1409" s="17" t="s">
        <v>91</v>
      </c>
      <c r="E1409" s="17" t="s">
        <v>132</v>
      </c>
      <c r="F1409" s="17" t="str">
        <f>TEXT(data[[#This Row],[ShipDate]],"yyyy - mmmm")</f>
        <v>2016 - February</v>
      </c>
      <c r="G1409" s="17" t="str">
        <f>data[[#This Row],[OriginCity]] &amp; " - "  &amp; data[[#This Row],[DestinationCity]]</f>
        <v>Joliet - Madison</v>
      </c>
      <c r="H1409" s="17" t="s">
        <v>61</v>
      </c>
      <c r="I1409" s="17" t="s">
        <v>31</v>
      </c>
      <c r="J1409" s="17">
        <v>2</v>
      </c>
      <c r="K1409" s="17" t="s">
        <v>62</v>
      </c>
      <c r="L1409" s="17" t="s">
        <v>29</v>
      </c>
      <c r="M1409" s="17" t="s">
        <v>206</v>
      </c>
      <c r="N1409" s="17">
        <v>216</v>
      </c>
      <c r="O1409" s="17">
        <v>216</v>
      </c>
      <c r="P1409" s="26">
        <f>(data[[#This Row],[LoadedMiles]]/data[[#This Row],[TotalMiles]])*100</f>
        <v>100</v>
      </c>
      <c r="Q1409" s="25">
        <f>data[[#This Row],[ShippingCost]]/data[[#This Row],[TotalMiles]]</f>
        <v>8.3194444444444446</v>
      </c>
      <c r="R1409" s="17">
        <v>1797</v>
      </c>
      <c r="S1409" s="25">
        <f>data[[#This Row],[Revenue]]/data[[#This Row],[TotalMiles]]</f>
        <v>10.675925925925926</v>
      </c>
      <c r="T1409" s="26">
        <f>data[[#This Row],[Revenue]]-data[[#This Row],[ShippingCost]]</f>
        <v>509</v>
      </c>
      <c r="U1409" s="17">
        <v>2306</v>
      </c>
      <c r="V1409" s="17">
        <v>71</v>
      </c>
      <c r="W1409" s="17" t="s">
        <v>25</v>
      </c>
      <c r="X1409" s="17">
        <v>1</v>
      </c>
      <c r="Y1409" s="17">
        <f>data[[#This Row],[DeliveryDate]]-data[[#This Row],[ShipDate]]</f>
        <v>1</v>
      </c>
      <c r="Z1409" s="17" t="str">
        <f>IF(data[[#This Row],[Actual Delivery Days]]&gt;AD1410,"Yes","No")</f>
        <v>Yes</v>
      </c>
    </row>
    <row r="1410" spans="1:26">
      <c r="A1410" s="17">
        <v>11206</v>
      </c>
      <c r="B1410" s="17">
        <v>2</v>
      </c>
      <c r="C1410" s="17">
        <v>2</v>
      </c>
      <c r="D1410" s="17" t="s">
        <v>120</v>
      </c>
      <c r="E1410" s="17" t="s">
        <v>253</v>
      </c>
      <c r="F1410" s="17" t="str">
        <f>TEXT(data[[#This Row],[ShipDate]],"yyyy - mmmm")</f>
        <v>2016 - April</v>
      </c>
      <c r="G1410" s="17" t="str">
        <f>data[[#This Row],[OriginCity]] &amp; " - "  &amp; data[[#This Row],[DestinationCity]]</f>
        <v>Toledo - Detriot</v>
      </c>
      <c r="H1410" s="17" t="s">
        <v>22</v>
      </c>
      <c r="I1410" s="17" t="s">
        <v>23</v>
      </c>
      <c r="J1410" s="17">
        <v>2</v>
      </c>
      <c r="K1410" s="17" t="s">
        <v>52</v>
      </c>
      <c r="L1410" s="17" t="s">
        <v>21</v>
      </c>
      <c r="M1410" s="17" t="s">
        <v>51</v>
      </c>
      <c r="N1410" s="17">
        <v>812</v>
      </c>
      <c r="O1410" s="17">
        <v>402</v>
      </c>
      <c r="P1410" s="26">
        <f>(data[[#This Row],[LoadedMiles]]/data[[#This Row],[TotalMiles]])*100</f>
        <v>49.50738916256158</v>
      </c>
      <c r="Q1410" s="25">
        <f>data[[#This Row],[ShippingCost]]/data[[#This Row],[TotalMiles]]</f>
        <v>7.0788177339901477</v>
      </c>
      <c r="R1410" s="17">
        <v>5748</v>
      </c>
      <c r="S1410" s="25">
        <f>data[[#This Row],[Revenue]]/data[[#This Row],[TotalMiles]]</f>
        <v>7.8399014778325125</v>
      </c>
      <c r="T1410" s="26">
        <f>data[[#This Row],[Revenue]]-data[[#This Row],[ShippingCost]]</f>
        <v>618</v>
      </c>
      <c r="U1410" s="17">
        <v>6366</v>
      </c>
      <c r="V1410" s="17">
        <v>70</v>
      </c>
      <c r="W1410" s="17" t="s">
        <v>25</v>
      </c>
      <c r="X1410" s="17">
        <v>6</v>
      </c>
      <c r="Y1410" s="17">
        <f>data[[#This Row],[DeliveryDate]]-data[[#This Row],[ShipDate]]</f>
        <v>2</v>
      </c>
      <c r="Z1410" s="17" t="str">
        <f>IF(data[[#This Row],[Actual Delivery Days]]&gt;AD1411,"Yes","No")</f>
        <v>Yes</v>
      </c>
    </row>
    <row r="1411" spans="1:26">
      <c r="A1411" s="17">
        <v>11211</v>
      </c>
      <c r="B1411" s="17">
        <v>2</v>
      </c>
      <c r="C1411" s="17">
        <v>6</v>
      </c>
      <c r="D1411" s="17" t="s">
        <v>134</v>
      </c>
      <c r="E1411" s="17" t="s">
        <v>186</v>
      </c>
      <c r="F1411" s="17" t="str">
        <f>TEXT(data[[#This Row],[ShipDate]],"yyyy - mmmm")</f>
        <v>2016 - April</v>
      </c>
      <c r="G1411" s="17" t="str">
        <f>data[[#This Row],[OriginCity]] &amp; " - "  &amp; data[[#This Row],[DestinationCity]]</f>
        <v>Kalamazoo - Bangor</v>
      </c>
      <c r="H1411" s="17" t="s">
        <v>71</v>
      </c>
      <c r="I1411" s="17" t="s">
        <v>21</v>
      </c>
      <c r="J1411" s="17">
        <v>2</v>
      </c>
      <c r="K1411" s="17" t="s">
        <v>104</v>
      </c>
      <c r="L1411" s="17" t="s">
        <v>21</v>
      </c>
      <c r="M1411" s="17" t="s">
        <v>121</v>
      </c>
      <c r="N1411" s="17">
        <v>342</v>
      </c>
      <c r="O1411" s="17">
        <v>342</v>
      </c>
      <c r="P1411" s="26">
        <f>(data[[#This Row],[LoadedMiles]]/data[[#This Row],[TotalMiles]])*100</f>
        <v>100</v>
      </c>
      <c r="Q1411" s="25">
        <f>data[[#This Row],[ShippingCost]]/data[[#This Row],[TotalMiles]]</f>
        <v>8.1374269005847957</v>
      </c>
      <c r="R1411" s="17">
        <v>2783</v>
      </c>
      <c r="S1411" s="25">
        <f>data[[#This Row],[Revenue]]/data[[#This Row],[TotalMiles]]</f>
        <v>10.87719298245614</v>
      </c>
      <c r="T1411" s="26">
        <f>data[[#This Row],[Revenue]]-data[[#This Row],[ShippingCost]]</f>
        <v>937</v>
      </c>
      <c r="U1411" s="17">
        <v>3720</v>
      </c>
      <c r="V1411" s="17">
        <v>100</v>
      </c>
      <c r="W1411" s="17" t="s">
        <v>25</v>
      </c>
      <c r="X1411" s="17">
        <v>8</v>
      </c>
      <c r="Y1411" s="17">
        <f>data[[#This Row],[DeliveryDate]]-data[[#This Row],[ShipDate]]</f>
        <v>2</v>
      </c>
      <c r="Z1411" s="17" t="str">
        <f>IF(data[[#This Row],[Actual Delivery Days]]&gt;AD1412,"Yes","No")</f>
        <v>Yes</v>
      </c>
    </row>
    <row r="1412" spans="1:26">
      <c r="A1412" s="17">
        <v>11223</v>
      </c>
      <c r="B1412" s="17">
        <v>3</v>
      </c>
      <c r="C1412" s="17">
        <v>1</v>
      </c>
      <c r="D1412" s="17" t="s">
        <v>167</v>
      </c>
      <c r="E1412" s="17" t="s">
        <v>196</v>
      </c>
      <c r="F1412" s="17" t="str">
        <f>TEXT(data[[#This Row],[ShipDate]],"yyyy - mmmm")</f>
        <v>2016 - May</v>
      </c>
      <c r="G1412" s="17" t="str">
        <f>data[[#This Row],[OriginCity]] &amp; " - "  &amp; data[[#This Row],[DestinationCity]]</f>
        <v>Madison - Kalamazoo</v>
      </c>
      <c r="H1412" s="17" t="s">
        <v>62</v>
      </c>
      <c r="I1412" s="17" t="s">
        <v>29</v>
      </c>
      <c r="J1412" s="17">
        <v>2</v>
      </c>
      <c r="K1412" s="17" t="s">
        <v>71</v>
      </c>
      <c r="L1412" s="17" t="s">
        <v>21</v>
      </c>
      <c r="M1412" s="17" t="s">
        <v>286</v>
      </c>
      <c r="N1412" s="17">
        <v>412</v>
      </c>
      <c r="O1412" s="17">
        <v>357</v>
      </c>
      <c r="P1412" s="26">
        <f>(data[[#This Row],[LoadedMiles]]/data[[#This Row],[TotalMiles]])*100</f>
        <v>86.650485436893206</v>
      </c>
      <c r="Q1412" s="25">
        <f>data[[#This Row],[ShippingCost]]/data[[#This Row],[TotalMiles]]</f>
        <v>7.3009708737864081</v>
      </c>
      <c r="R1412" s="17">
        <v>3008</v>
      </c>
      <c r="S1412" s="25">
        <f>data[[#This Row],[Revenue]]/data[[#This Row],[TotalMiles]]</f>
        <v>17.402912621359224</v>
      </c>
      <c r="T1412" s="26">
        <f>data[[#This Row],[Revenue]]-data[[#This Row],[ShippingCost]]</f>
        <v>4162</v>
      </c>
      <c r="U1412" s="17">
        <v>7170</v>
      </c>
      <c r="V1412" s="17">
        <v>58</v>
      </c>
      <c r="W1412" s="17" t="s">
        <v>86</v>
      </c>
      <c r="X1412" s="17">
        <v>1</v>
      </c>
      <c r="Y1412" s="17">
        <f>data[[#This Row],[DeliveryDate]]-data[[#This Row],[ShipDate]]</f>
        <v>2</v>
      </c>
      <c r="Z1412" s="17" t="str">
        <f>IF(data[[#This Row],[Actual Delivery Days]]&gt;AD1413,"Yes","No")</f>
        <v>Yes</v>
      </c>
    </row>
    <row r="1413" spans="1:26">
      <c r="A1413" s="17">
        <v>11224</v>
      </c>
      <c r="B1413" s="17">
        <v>2</v>
      </c>
      <c r="C1413" s="17">
        <v>4</v>
      </c>
      <c r="D1413" s="17" t="s">
        <v>172</v>
      </c>
      <c r="E1413" s="17" t="s">
        <v>437</v>
      </c>
      <c r="F1413" s="17" t="str">
        <f>TEXT(data[[#This Row],[ShipDate]],"yyyy - mmmm")</f>
        <v>2016 - May</v>
      </c>
      <c r="G1413" s="17" t="str">
        <f>data[[#This Row],[OriginCity]] &amp; " - "  &amp; data[[#This Row],[DestinationCity]]</f>
        <v>Naperville - Indianapolis</v>
      </c>
      <c r="H1413" s="17" t="s">
        <v>48</v>
      </c>
      <c r="I1413" s="17" t="s">
        <v>31</v>
      </c>
      <c r="J1413" s="17">
        <v>2</v>
      </c>
      <c r="K1413" s="17" t="s">
        <v>43</v>
      </c>
      <c r="L1413" s="17" t="s">
        <v>44</v>
      </c>
      <c r="M1413" s="17" t="s">
        <v>282</v>
      </c>
      <c r="N1413" s="17">
        <v>618</v>
      </c>
      <c r="O1413" s="17">
        <v>618</v>
      </c>
      <c r="P1413" s="26">
        <f>(data[[#This Row],[LoadedMiles]]/data[[#This Row],[TotalMiles]])*100</f>
        <v>100</v>
      </c>
      <c r="Q1413" s="25">
        <f>data[[#This Row],[ShippingCost]]/data[[#This Row],[TotalMiles]]</f>
        <v>9.6666666666666661</v>
      </c>
      <c r="R1413" s="17">
        <v>5974</v>
      </c>
      <c r="S1413" s="25">
        <f>data[[#This Row],[Revenue]]/data[[#This Row],[TotalMiles]]</f>
        <v>7.2572815533980579</v>
      </c>
      <c r="T1413" s="26">
        <f>data[[#This Row],[Revenue]]-data[[#This Row],[ShippingCost]]</f>
        <v>-1489</v>
      </c>
      <c r="U1413" s="17">
        <v>4485</v>
      </c>
      <c r="V1413" s="17">
        <v>57</v>
      </c>
      <c r="W1413" s="17" t="s">
        <v>25</v>
      </c>
      <c r="X1413" s="17">
        <v>2</v>
      </c>
      <c r="Y1413" s="17">
        <f>data[[#This Row],[DeliveryDate]]-data[[#This Row],[ShipDate]]</f>
        <v>2</v>
      </c>
      <c r="Z1413" s="17" t="str">
        <f>IF(data[[#This Row],[Actual Delivery Days]]&gt;AD1414,"Yes","No")</f>
        <v>Yes</v>
      </c>
    </row>
    <row r="1414" spans="1:26">
      <c r="A1414" s="17">
        <v>11231</v>
      </c>
      <c r="B1414" s="17">
        <v>2</v>
      </c>
      <c r="C1414" s="17">
        <v>1</v>
      </c>
      <c r="D1414" s="17" t="s">
        <v>189</v>
      </c>
      <c r="E1414" s="17" t="s">
        <v>454</v>
      </c>
      <c r="F1414" s="17" t="str">
        <f>TEXT(data[[#This Row],[ShipDate]],"yyyy - mmmm")</f>
        <v>2016 - March</v>
      </c>
      <c r="G1414" s="17" t="str">
        <f>data[[#This Row],[OriginCity]] &amp; " - "  &amp; data[[#This Row],[DestinationCity]]</f>
        <v>Elgin - Cincinnati</v>
      </c>
      <c r="H1414" s="17" t="s">
        <v>94</v>
      </c>
      <c r="I1414" s="17" t="s">
        <v>31</v>
      </c>
      <c r="J1414" s="17">
        <v>2</v>
      </c>
      <c r="K1414" s="17" t="s">
        <v>89</v>
      </c>
      <c r="L1414" s="17" t="s">
        <v>23</v>
      </c>
      <c r="M1414" s="17" t="s">
        <v>355</v>
      </c>
      <c r="N1414" s="17">
        <v>1004</v>
      </c>
      <c r="O1414" s="17">
        <v>598</v>
      </c>
      <c r="P1414" s="26">
        <f>(data[[#This Row],[LoadedMiles]]/data[[#This Row],[TotalMiles]])*100</f>
        <v>59.561752988047814</v>
      </c>
      <c r="Q1414" s="25">
        <f>data[[#This Row],[ShippingCost]]/data[[#This Row],[TotalMiles]]</f>
        <v>1.0886454183266931</v>
      </c>
      <c r="R1414" s="17">
        <v>1093</v>
      </c>
      <c r="S1414" s="25">
        <f>data[[#This Row],[Revenue]]/data[[#This Row],[TotalMiles]]</f>
        <v>5.2739043824701195</v>
      </c>
      <c r="T1414" s="26">
        <f>data[[#This Row],[Revenue]]-data[[#This Row],[ShippingCost]]</f>
        <v>4202</v>
      </c>
      <c r="U1414" s="17">
        <v>5295</v>
      </c>
      <c r="V1414" s="17">
        <v>80</v>
      </c>
      <c r="W1414" s="17" t="s">
        <v>25</v>
      </c>
      <c r="X1414" s="17">
        <v>2</v>
      </c>
      <c r="Y1414" s="17">
        <f>data[[#This Row],[DeliveryDate]]-data[[#This Row],[ShipDate]]</f>
        <v>2</v>
      </c>
      <c r="Z1414" s="17" t="str">
        <f>IF(data[[#This Row],[Actual Delivery Days]]&gt;AD1415,"Yes","No")</f>
        <v>Yes</v>
      </c>
    </row>
    <row r="1415" spans="1:26">
      <c r="A1415" s="17">
        <v>11241</v>
      </c>
      <c r="B1415" s="17">
        <v>3</v>
      </c>
      <c r="C1415" s="17">
        <v>3</v>
      </c>
      <c r="D1415" s="17" t="s">
        <v>215</v>
      </c>
      <c r="E1415" s="17" t="s">
        <v>191</v>
      </c>
      <c r="F1415" s="17" t="str">
        <f>TEXT(data[[#This Row],[ShipDate]],"yyyy - mmmm")</f>
        <v>2016 - July</v>
      </c>
      <c r="G1415" s="17" t="str">
        <f>data[[#This Row],[OriginCity]] &amp; " - "  &amp; data[[#This Row],[DestinationCity]]</f>
        <v>Gary - Milwaukee</v>
      </c>
      <c r="H1415" s="17" t="s">
        <v>57</v>
      </c>
      <c r="I1415" s="17" t="s">
        <v>44</v>
      </c>
      <c r="J1415" s="17">
        <v>2</v>
      </c>
      <c r="K1415" s="17" t="s">
        <v>28</v>
      </c>
      <c r="L1415" s="17" t="s">
        <v>29</v>
      </c>
      <c r="M1415" s="17" t="s">
        <v>540</v>
      </c>
      <c r="N1415" s="17">
        <v>1035</v>
      </c>
      <c r="O1415" s="17">
        <v>331</v>
      </c>
      <c r="P1415" s="26">
        <f>(data[[#This Row],[LoadedMiles]]/data[[#This Row],[TotalMiles]])*100</f>
        <v>31.980676328502415</v>
      </c>
      <c r="Q1415" s="25">
        <f>data[[#This Row],[ShippingCost]]/data[[#This Row],[TotalMiles]]</f>
        <v>7.7294685990338162E-3</v>
      </c>
      <c r="R1415" s="17">
        <v>8</v>
      </c>
      <c r="S1415" s="25">
        <f>data[[#This Row],[Revenue]]/data[[#This Row],[TotalMiles]]</f>
        <v>0.58743961352657004</v>
      </c>
      <c r="T1415" s="26">
        <f>data[[#This Row],[Revenue]]-data[[#This Row],[ShippingCost]]</f>
        <v>600</v>
      </c>
      <c r="U1415" s="17">
        <v>608</v>
      </c>
      <c r="V1415" s="17">
        <v>63</v>
      </c>
      <c r="W1415" s="17" t="s">
        <v>25</v>
      </c>
      <c r="X1415" s="17">
        <v>2</v>
      </c>
      <c r="Y1415" s="17">
        <f>data[[#This Row],[DeliveryDate]]-data[[#This Row],[ShipDate]]</f>
        <v>2</v>
      </c>
      <c r="Z1415" s="17" t="str">
        <f>IF(data[[#This Row],[Actual Delivery Days]]&gt;AD1416,"Yes","No")</f>
        <v>Yes</v>
      </c>
    </row>
    <row r="1416" spans="1:26">
      <c r="A1416" s="17">
        <v>11246</v>
      </c>
      <c r="B1416" s="17">
        <v>3</v>
      </c>
      <c r="C1416" s="17">
        <v>5</v>
      </c>
      <c r="D1416" s="17" t="s">
        <v>225</v>
      </c>
      <c r="E1416" s="17" t="s">
        <v>327</v>
      </c>
      <c r="F1416" s="17" t="str">
        <f>TEXT(data[[#This Row],[ShipDate]],"yyyy - mmmm")</f>
        <v>2016 - January</v>
      </c>
      <c r="G1416" s="17" t="str">
        <f>data[[#This Row],[OriginCity]] &amp; " - "  &amp; data[[#This Row],[DestinationCity]]</f>
        <v>Naperville - Indianapolis</v>
      </c>
      <c r="H1416" s="17" t="s">
        <v>48</v>
      </c>
      <c r="I1416" s="17" t="s">
        <v>31</v>
      </c>
      <c r="J1416" s="17">
        <v>2</v>
      </c>
      <c r="K1416" s="17" t="s">
        <v>43</v>
      </c>
      <c r="L1416" s="17" t="s">
        <v>44</v>
      </c>
      <c r="M1416" s="17" t="s">
        <v>394</v>
      </c>
      <c r="N1416" s="17">
        <v>410</v>
      </c>
      <c r="O1416" s="17">
        <v>410</v>
      </c>
      <c r="P1416" s="26">
        <f>(data[[#This Row],[LoadedMiles]]/data[[#This Row],[TotalMiles]])*100</f>
        <v>100</v>
      </c>
      <c r="Q1416" s="25">
        <f>data[[#This Row],[ShippingCost]]/data[[#This Row],[TotalMiles]]</f>
        <v>8.614634146341464</v>
      </c>
      <c r="R1416" s="17">
        <v>3532</v>
      </c>
      <c r="S1416" s="25">
        <f>data[[#This Row],[Revenue]]/data[[#This Row],[TotalMiles]]</f>
        <v>10.9</v>
      </c>
      <c r="T1416" s="26">
        <f>data[[#This Row],[Revenue]]-data[[#This Row],[ShippingCost]]</f>
        <v>937</v>
      </c>
      <c r="U1416" s="17">
        <v>4469</v>
      </c>
      <c r="V1416" s="17">
        <v>83</v>
      </c>
      <c r="W1416" s="17" t="s">
        <v>25</v>
      </c>
      <c r="X1416" s="17">
        <v>6</v>
      </c>
      <c r="Y1416" s="17">
        <f>data[[#This Row],[DeliveryDate]]-data[[#This Row],[ShipDate]]</f>
        <v>1</v>
      </c>
      <c r="Z1416" s="17" t="str">
        <f>IF(data[[#This Row],[Actual Delivery Days]]&gt;AD1417,"Yes","No")</f>
        <v>Yes</v>
      </c>
    </row>
    <row r="1417" spans="1:26">
      <c r="A1417" s="17">
        <v>11247</v>
      </c>
      <c r="B1417" s="17">
        <v>2</v>
      </c>
      <c r="C1417" s="17">
        <v>2</v>
      </c>
      <c r="D1417" s="17" t="s">
        <v>228</v>
      </c>
      <c r="E1417" s="17" t="s">
        <v>620</v>
      </c>
      <c r="F1417" s="17" t="str">
        <f>TEXT(data[[#This Row],[ShipDate]],"yyyy - mmmm")</f>
        <v>2016 - April</v>
      </c>
      <c r="G1417" s="17" t="str">
        <f>data[[#This Row],[OriginCity]] &amp; " - "  &amp; data[[#This Row],[DestinationCity]]</f>
        <v>Rockford - Green Bay</v>
      </c>
      <c r="H1417" s="17" t="s">
        <v>40</v>
      </c>
      <c r="I1417" s="17" t="s">
        <v>31</v>
      </c>
      <c r="J1417" s="17">
        <v>2</v>
      </c>
      <c r="K1417" s="17" t="s">
        <v>75</v>
      </c>
      <c r="L1417" s="17" t="s">
        <v>29</v>
      </c>
      <c r="M1417" s="17" t="s">
        <v>623</v>
      </c>
      <c r="N1417" s="17">
        <v>1035</v>
      </c>
      <c r="O1417" s="17">
        <v>384</v>
      </c>
      <c r="P1417" s="26">
        <f>(data[[#This Row],[LoadedMiles]]/data[[#This Row],[TotalMiles]])*100</f>
        <v>37.10144927536232</v>
      </c>
      <c r="Q1417" s="25">
        <f>data[[#This Row],[ShippingCost]]/data[[#This Row],[TotalMiles]]</f>
        <v>2.5342995169082125</v>
      </c>
      <c r="R1417" s="17">
        <v>2623</v>
      </c>
      <c r="S1417" s="25">
        <f>data[[#This Row],[Revenue]]/data[[#This Row],[TotalMiles]]</f>
        <v>3.2985507246376811</v>
      </c>
      <c r="T1417" s="26">
        <f>data[[#This Row],[Revenue]]-data[[#This Row],[ShippingCost]]</f>
        <v>791</v>
      </c>
      <c r="U1417" s="17">
        <v>3414</v>
      </c>
      <c r="V1417" s="17">
        <v>100</v>
      </c>
      <c r="W1417" s="17" t="s">
        <v>25</v>
      </c>
      <c r="X1417" s="17">
        <v>8</v>
      </c>
      <c r="Y1417" s="17">
        <f>data[[#This Row],[DeliveryDate]]-data[[#This Row],[ShipDate]]</f>
        <v>2</v>
      </c>
      <c r="Z1417" s="17" t="str">
        <f>IF(data[[#This Row],[Actual Delivery Days]]&gt;AD1418,"Yes","No")</f>
        <v>Yes</v>
      </c>
    </row>
    <row r="1418" spans="1:26">
      <c r="A1418" s="17">
        <v>11249</v>
      </c>
      <c r="B1418" s="17">
        <v>3</v>
      </c>
      <c r="C1418" s="17">
        <v>4</v>
      </c>
      <c r="D1418" s="17" t="s">
        <v>232</v>
      </c>
      <c r="E1418" s="17" t="s">
        <v>624</v>
      </c>
      <c r="F1418" s="17" t="str">
        <f>TEXT(data[[#This Row],[ShipDate]],"yyyy - mmmm")</f>
        <v>2016 - April</v>
      </c>
      <c r="G1418" s="17" t="str">
        <f>data[[#This Row],[OriginCity]] &amp; " - "  &amp; data[[#This Row],[DestinationCity]]</f>
        <v>Cincinnati - Gary</v>
      </c>
      <c r="H1418" s="17" t="s">
        <v>89</v>
      </c>
      <c r="I1418" s="17" t="s">
        <v>23</v>
      </c>
      <c r="J1418" s="17">
        <v>2</v>
      </c>
      <c r="K1418" s="17" t="s">
        <v>57</v>
      </c>
      <c r="L1418" s="17" t="s">
        <v>44</v>
      </c>
      <c r="M1418" s="17" t="s">
        <v>196</v>
      </c>
      <c r="N1418" s="17">
        <v>561</v>
      </c>
      <c r="O1418" s="17">
        <v>561</v>
      </c>
      <c r="P1418" s="26">
        <f>(data[[#This Row],[LoadedMiles]]/data[[#This Row],[TotalMiles]])*100</f>
        <v>100</v>
      </c>
      <c r="Q1418" s="25">
        <f>data[[#This Row],[ShippingCost]]/data[[#This Row],[TotalMiles]]</f>
        <v>11.342245989304812</v>
      </c>
      <c r="R1418" s="17">
        <v>6363</v>
      </c>
      <c r="S1418" s="25">
        <f>data[[#This Row],[Revenue]]/data[[#This Row],[TotalMiles]]</f>
        <v>7.832442067736185</v>
      </c>
      <c r="T1418" s="26">
        <f>data[[#This Row],[Revenue]]-data[[#This Row],[ShippingCost]]</f>
        <v>-1969</v>
      </c>
      <c r="U1418" s="17">
        <v>4394</v>
      </c>
      <c r="V1418" s="17">
        <v>82</v>
      </c>
      <c r="W1418" s="17" t="s">
        <v>25</v>
      </c>
      <c r="X1418" s="17">
        <v>3</v>
      </c>
      <c r="Y1418" s="17">
        <f>data[[#This Row],[DeliveryDate]]-data[[#This Row],[ShipDate]]</f>
        <v>2</v>
      </c>
      <c r="Z1418" s="17" t="str">
        <f>IF(data[[#This Row],[Actual Delivery Days]]&gt;AD1419,"Yes","No")</f>
        <v>Yes</v>
      </c>
    </row>
    <row r="1419" spans="1:26">
      <c r="A1419" s="17">
        <v>11250</v>
      </c>
      <c r="B1419" s="17">
        <v>3</v>
      </c>
      <c r="C1419" s="17">
        <v>5</v>
      </c>
      <c r="D1419" s="17" t="s">
        <v>233</v>
      </c>
      <c r="E1419" s="17" t="s">
        <v>177</v>
      </c>
      <c r="F1419" s="17" t="str">
        <f>TEXT(data[[#This Row],[ShipDate]],"yyyy - mmmm")</f>
        <v>2016 - June</v>
      </c>
      <c r="G1419" s="17" t="str">
        <f>data[[#This Row],[OriginCity]] &amp; " - "  &amp; data[[#This Row],[DestinationCity]]</f>
        <v>Dayton - Elgin</v>
      </c>
      <c r="H1419" s="17" t="s">
        <v>93</v>
      </c>
      <c r="I1419" s="17" t="s">
        <v>23</v>
      </c>
      <c r="J1419" s="17">
        <v>2</v>
      </c>
      <c r="K1419" s="17" t="s">
        <v>94</v>
      </c>
      <c r="L1419" s="17" t="s">
        <v>31</v>
      </c>
      <c r="M1419" s="17" t="s">
        <v>318</v>
      </c>
      <c r="N1419" s="17">
        <v>1155</v>
      </c>
      <c r="O1419" s="17">
        <v>376</v>
      </c>
      <c r="P1419" s="26">
        <f>(data[[#This Row],[LoadedMiles]]/data[[#This Row],[TotalMiles]])*100</f>
        <v>32.55411255411255</v>
      </c>
      <c r="Q1419" s="25">
        <f>data[[#This Row],[ShippingCost]]/data[[#This Row],[TotalMiles]]</f>
        <v>4.9350649350649354</v>
      </c>
      <c r="R1419" s="17">
        <v>5700</v>
      </c>
      <c r="S1419" s="25">
        <f>data[[#This Row],[Revenue]]/data[[#This Row],[TotalMiles]]</f>
        <v>5.5238095238095237</v>
      </c>
      <c r="T1419" s="26">
        <f>data[[#This Row],[Revenue]]-data[[#This Row],[ShippingCost]]</f>
        <v>680</v>
      </c>
      <c r="U1419" s="17">
        <v>6380</v>
      </c>
      <c r="V1419" s="17">
        <v>97</v>
      </c>
      <c r="W1419" s="17" t="s">
        <v>25</v>
      </c>
      <c r="X1419" s="17">
        <v>2</v>
      </c>
      <c r="Y1419" s="17">
        <f>data[[#This Row],[DeliveryDate]]-data[[#This Row],[ShipDate]]</f>
        <v>2</v>
      </c>
      <c r="Z1419" s="17" t="str">
        <f>IF(data[[#This Row],[Actual Delivery Days]]&gt;AD1420,"Yes","No")</f>
        <v>Yes</v>
      </c>
    </row>
    <row r="1420" spans="1:26">
      <c r="A1420" s="17">
        <v>11251</v>
      </c>
      <c r="B1420" s="17">
        <v>2</v>
      </c>
      <c r="C1420" s="17">
        <v>1</v>
      </c>
      <c r="D1420" s="17" t="s">
        <v>235</v>
      </c>
      <c r="E1420" s="17" t="s">
        <v>622</v>
      </c>
      <c r="F1420" s="17" t="str">
        <f>TEXT(data[[#This Row],[ShipDate]],"yyyy - mmmm")</f>
        <v>2016 - July</v>
      </c>
      <c r="G1420" s="17" t="str">
        <f>data[[#This Row],[OriginCity]] &amp; " - "  &amp; data[[#This Row],[DestinationCity]]</f>
        <v>Toledo - Detriot</v>
      </c>
      <c r="H1420" s="17" t="s">
        <v>22</v>
      </c>
      <c r="I1420" s="17" t="s">
        <v>23</v>
      </c>
      <c r="J1420" s="17">
        <v>2</v>
      </c>
      <c r="K1420" s="17" t="s">
        <v>52</v>
      </c>
      <c r="L1420" s="17" t="s">
        <v>21</v>
      </c>
      <c r="M1420" s="17" t="s">
        <v>191</v>
      </c>
      <c r="N1420" s="17">
        <v>541</v>
      </c>
      <c r="O1420" s="17">
        <v>541</v>
      </c>
      <c r="P1420" s="26">
        <f>(data[[#This Row],[LoadedMiles]]/data[[#This Row],[TotalMiles]])*100</f>
        <v>100</v>
      </c>
      <c r="Q1420" s="25">
        <f>data[[#This Row],[ShippingCost]]/data[[#This Row],[TotalMiles]]</f>
        <v>0.34011090573012936</v>
      </c>
      <c r="R1420" s="17">
        <v>184</v>
      </c>
      <c r="S1420" s="25">
        <f>data[[#This Row],[Revenue]]/data[[#This Row],[TotalMiles]]</f>
        <v>7.8724584103512019</v>
      </c>
      <c r="T1420" s="26">
        <f>data[[#This Row],[Revenue]]-data[[#This Row],[ShippingCost]]</f>
        <v>4075</v>
      </c>
      <c r="U1420" s="17">
        <v>4259</v>
      </c>
      <c r="V1420" s="17">
        <v>99</v>
      </c>
      <c r="W1420" s="17" t="s">
        <v>25</v>
      </c>
      <c r="X1420" s="17">
        <v>10</v>
      </c>
      <c r="Y1420" s="17">
        <f>data[[#This Row],[DeliveryDate]]-data[[#This Row],[ShipDate]]</f>
        <v>2</v>
      </c>
      <c r="Z1420" s="17" t="str">
        <f>IF(data[[#This Row],[Actual Delivery Days]]&gt;AD1421,"Yes","No")</f>
        <v>Yes</v>
      </c>
    </row>
    <row r="1421" spans="1:26">
      <c r="A1421" s="17">
        <v>11256</v>
      </c>
      <c r="B1421" s="17">
        <v>2</v>
      </c>
      <c r="C1421" s="17">
        <v>5</v>
      </c>
      <c r="D1421" s="17" t="s">
        <v>254</v>
      </c>
      <c r="E1421" s="17" t="s">
        <v>316</v>
      </c>
      <c r="F1421" s="17" t="str">
        <f>TEXT(data[[#This Row],[ShipDate]],"yyyy - mmmm")</f>
        <v>2016 - June</v>
      </c>
      <c r="G1421" s="17" t="str">
        <f>data[[#This Row],[OriginCity]] &amp; " - "  &amp; data[[#This Row],[DestinationCity]]</f>
        <v>Springfield - Skokie</v>
      </c>
      <c r="H1421" s="17" t="s">
        <v>30</v>
      </c>
      <c r="I1421" s="17" t="s">
        <v>31</v>
      </c>
      <c r="J1421" s="17">
        <v>2</v>
      </c>
      <c r="K1421" s="17" t="s">
        <v>35</v>
      </c>
      <c r="L1421" s="17" t="s">
        <v>31</v>
      </c>
      <c r="M1421" s="17" t="s">
        <v>610</v>
      </c>
      <c r="N1421" s="17">
        <v>1075</v>
      </c>
      <c r="O1421" s="17">
        <v>610</v>
      </c>
      <c r="P1421" s="26">
        <f>(data[[#This Row],[LoadedMiles]]/data[[#This Row],[TotalMiles]])*100</f>
        <v>56.744186046511622</v>
      </c>
      <c r="Q1421" s="25">
        <f>data[[#This Row],[ShippingCost]]/data[[#This Row],[TotalMiles]]</f>
        <v>5.9265116279069767</v>
      </c>
      <c r="R1421" s="17">
        <v>6371</v>
      </c>
      <c r="S1421" s="25">
        <f>data[[#This Row],[Revenue]]/data[[#This Row],[TotalMiles]]</f>
        <v>6.4251162790697673</v>
      </c>
      <c r="T1421" s="26">
        <f>data[[#This Row],[Revenue]]-data[[#This Row],[ShippingCost]]</f>
        <v>536</v>
      </c>
      <c r="U1421" s="17">
        <v>6907</v>
      </c>
      <c r="V1421" s="17">
        <v>57</v>
      </c>
      <c r="W1421" s="17" t="s">
        <v>86</v>
      </c>
      <c r="X1421" s="17">
        <v>1</v>
      </c>
      <c r="Y1421" s="17">
        <f>data[[#This Row],[DeliveryDate]]-data[[#This Row],[ShipDate]]</f>
        <v>2</v>
      </c>
      <c r="Z1421" s="17" t="str">
        <f>IF(data[[#This Row],[Actual Delivery Days]]&gt;AD1422,"Yes","No")</f>
        <v>Yes</v>
      </c>
    </row>
    <row r="1422" spans="1:26">
      <c r="A1422" s="17">
        <v>11257</v>
      </c>
      <c r="B1422" s="17">
        <v>3</v>
      </c>
      <c r="C1422" s="17">
        <v>6</v>
      </c>
      <c r="D1422" s="17" t="s">
        <v>256</v>
      </c>
      <c r="E1422" s="17" t="s">
        <v>304</v>
      </c>
      <c r="F1422" s="17" t="str">
        <f>TEXT(data[[#This Row],[ShipDate]],"yyyy - mmmm")</f>
        <v>2016 - January</v>
      </c>
      <c r="G1422" s="17" t="str">
        <f>data[[#This Row],[OriginCity]] &amp; " - "  &amp; data[[#This Row],[DestinationCity]]</f>
        <v>Chicago - Rockford</v>
      </c>
      <c r="H1422" s="17" t="s">
        <v>39</v>
      </c>
      <c r="I1422" s="17" t="s">
        <v>31</v>
      </c>
      <c r="J1422" s="17">
        <v>2</v>
      </c>
      <c r="K1422" s="17" t="s">
        <v>40</v>
      </c>
      <c r="L1422" s="17" t="s">
        <v>31</v>
      </c>
      <c r="M1422" s="17" t="s">
        <v>530</v>
      </c>
      <c r="N1422" s="17">
        <v>402</v>
      </c>
      <c r="O1422" s="17">
        <v>268</v>
      </c>
      <c r="P1422" s="26">
        <f>(data[[#This Row],[LoadedMiles]]/data[[#This Row],[TotalMiles]])*100</f>
        <v>66.666666666666657</v>
      </c>
      <c r="Q1422" s="25">
        <f>data[[#This Row],[ShippingCost]]/data[[#This Row],[TotalMiles]]</f>
        <v>3.5298507462686568</v>
      </c>
      <c r="R1422" s="17">
        <v>1419</v>
      </c>
      <c r="S1422" s="25">
        <f>data[[#This Row],[Revenue]]/data[[#This Row],[TotalMiles]]</f>
        <v>4.3482587064676617</v>
      </c>
      <c r="T1422" s="26">
        <f>data[[#This Row],[Revenue]]-data[[#This Row],[ShippingCost]]</f>
        <v>329</v>
      </c>
      <c r="U1422" s="17">
        <v>1748</v>
      </c>
      <c r="V1422" s="17">
        <v>56</v>
      </c>
      <c r="W1422" s="17" t="s">
        <v>25</v>
      </c>
      <c r="X1422" s="17">
        <v>9</v>
      </c>
      <c r="Y1422" s="17">
        <f>data[[#This Row],[DeliveryDate]]-data[[#This Row],[ShipDate]]</f>
        <v>2</v>
      </c>
      <c r="Z1422" s="17" t="str">
        <f>IF(data[[#This Row],[Actual Delivery Days]]&gt;AD1423,"Yes","No")</f>
        <v>Yes</v>
      </c>
    </row>
    <row r="1423" spans="1:26">
      <c r="A1423" s="17">
        <v>11265</v>
      </c>
      <c r="B1423" s="17">
        <v>2</v>
      </c>
      <c r="C1423" s="17">
        <v>3</v>
      </c>
      <c r="D1423" s="17" t="s">
        <v>271</v>
      </c>
      <c r="E1423" s="17" t="s">
        <v>379</v>
      </c>
      <c r="F1423" s="17" t="str">
        <f>TEXT(data[[#This Row],[ShipDate]],"yyyy - mmmm")</f>
        <v>2016 - February</v>
      </c>
      <c r="G1423" s="17" t="str">
        <f>data[[#This Row],[OriginCity]] &amp; " - "  &amp; data[[#This Row],[DestinationCity]]</f>
        <v>Green Bay - Joliet</v>
      </c>
      <c r="H1423" s="17" t="s">
        <v>75</v>
      </c>
      <c r="I1423" s="17" t="s">
        <v>29</v>
      </c>
      <c r="J1423" s="17">
        <v>2</v>
      </c>
      <c r="K1423" s="17" t="s">
        <v>61</v>
      </c>
      <c r="L1423" s="17" t="s">
        <v>31</v>
      </c>
      <c r="M1423" s="17" t="s">
        <v>88</v>
      </c>
      <c r="N1423" s="17">
        <v>411</v>
      </c>
      <c r="O1423" s="17">
        <v>411</v>
      </c>
      <c r="P1423" s="26">
        <f>(data[[#This Row],[LoadedMiles]]/data[[#This Row],[TotalMiles]])*100</f>
        <v>100</v>
      </c>
      <c r="Q1423" s="25">
        <f>data[[#This Row],[ShippingCost]]/data[[#This Row],[TotalMiles]]</f>
        <v>3.5012165450121655</v>
      </c>
      <c r="R1423" s="17">
        <v>1439</v>
      </c>
      <c r="S1423" s="25">
        <f>data[[#This Row],[Revenue]]/data[[#This Row],[TotalMiles]]</f>
        <v>3.7639902676399029</v>
      </c>
      <c r="T1423" s="26">
        <f>data[[#This Row],[Revenue]]-data[[#This Row],[ShippingCost]]</f>
        <v>108</v>
      </c>
      <c r="U1423" s="17">
        <v>1547</v>
      </c>
      <c r="V1423" s="17">
        <v>71</v>
      </c>
      <c r="W1423" s="17" t="s">
        <v>25</v>
      </c>
      <c r="X1423" s="17">
        <v>1</v>
      </c>
      <c r="Y1423" s="17">
        <f>data[[#This Row],[DeliveryDate]]-data[[#This Row],[ShipDate]]</f>
        <v>2</v>
      </c>
      <c r="Z1423" s="17" t="str">
        <f>IF(data[[#This Row],[Actual Delivery Days]]&gt;AD1424,"Yes","No")</f>
        <v>Yes</v>
      </c>
    </row>
    <row r="1424" spans="1:26">
      <c r="A1424" s="17">
        <v>11266</v>
      </c>
      <c r="B1424" s="17">
        <v>3</v>
      </c>
      <c r="C1424" s="17">
        <v>4</v>
      </c>
      <c r="D1424" s="17" t="s">
        <v>273</v>
      </c>
      <c r="E1424" s="17" t="s">
        <v>82</v>
      </c>
      <c r="F1424" s="17" t="str">
        <f>TEXT(data[[#This Row],[ShipDate]],"yyyy - mmmm")</f>
        <v>2016 - March</v>
      </c>
      <c r="G1424" s="17" t="str">
        <f>data[[#This Row],[OriginCity]] &amp; " - "  &amp; data[[#This Row],[DestinationCity]]</f>
        <v>Naperville - Indianapolis</v>
      </c>
      <c r="H1424" s="17" t="s">
        <v>48</v>
      </c>
      <c r="I1424" s="17" t="s">
        <v>31</v>
      </c>
      <c r="J1424" s="17">
        <v>2</v>
      </c>
      <c r="K1424" s="17" t="s">
        <v>43</v>
      </c>
      <c r="L1424" s="17" t="s">
        <v>44</v>
      </c>
      <c r="M1424" s="17" t="s">
        <v>453</v>
      </c>
      <c r="N1424" s="17">
        <v>247</v>
      </c>
      <c r="O1424" s="17">
        <v>247</v>
      </c>
      <c r="P1424" s="26">
        <f>(data[[#This Row],[LoadedMiles]]/data[[#This Row],[TotalMiles]])*100</f>
        <v>100</v>
      </c>
      <c r="Q1424" s="25">
        <f>data[[#This Row],[ShippingCost]]/data[[#This Row],[TotalMiles]]</f>
        <v>18.348178137651821</v>
      </c>
      <c r="R1424" s="17">
        <v>4532</v>
      </c>
      <c r="S1424" s="25">
        <f>data[[#This Row],[Revenue]]/data[[#This Row],[TotalMiles]]</f>
        <v>11.396761133603238</v>
      </c>
      <c r="T1424" s="26">
        <f>data[[#This Row],[Revenue]]-data[[#This Row],[ShippingCost]]</f>
        <v>-1717</v>
      </c>
      <c r="U1424" s="17">
        <v>2815</v>
      </c>
      <c r="V1424" s="17">
        <v>65</v>
      </c>
      <c r="W1424" s="17" t="s">
        <v>25</v>
      </c>
      <c r="X1424" s="17">
        <v>9</v>
      </c>
      <c r="Y1424" s="17">
        <f>data[[#This Row],[DeliveryDate]]-data[[#This Row],[ShipDate]]</f>
        <v>2</v>
      </c>
      <c r="Z1424" s="17" t="str">
        <f>IF(data[[#This Row],[Actual Delivery Days]]&gt;AD1425,"Yes","No")</f>
        <v>Yes</v>
      </c>
    </row>
    <row r="1425" spans="1:26">
      <c r="A1425" s="17">
        <v>11277</v>
      </c>
      <c r="B1425" s="17">
        <v>2</v>
      </c>
      <c r="C1425" s="17">
        <v>3</v>
      </c>
      <c r="D1425" s="17" t="s">
        <v>294</v>
      </c>
      <c r="E1425" s="17" t="s">
        <v>553</v>
      </c>
      <c r="F1425" s="17" t="str">
        <f>TEXT(data[[#This Row],[ShipDate]],"yyyy - mmmm")</f>
        <v>2016 - July</v>
      </c>
      <c r="G1425" s="17" t="str">
        <f>data[[#This Row],[OriginCity]] &amp; " - "  &amp; data[[#This Row],[DestinationCity]]</f>
        <v>Davenport - Appleton</v>
      </c>
      <c r="H1425" s="17" t="s">
        <v>105</v>
      </c>
      <c r="I1425" s="17" t="s">
        <v>106</v>
      </c>
      <c r="J1425" s="17">
        <v>2</v>
      </c>
      <c r="K1425" s="17" t="s">
        <v>85</v>
      </c>
      <c r="L1425" s="17" t="s">
        <v>29</v>
      </c>
      <c r="M1425" s="17" t="s">
        <v>426</v>
      </c>
      <c r="N1425" s="17">
        <v>330</v>
      </c>
      <c r="O1425" s="17">
        <v>330</v>
      </c>
      <c r="P1425" s="26">
        <f>(data[[#This Row],[LoadedMiles]]/data[[#This Row],[TotalMiles]])*100</f>
        <v>100</v>
      </c>
      <c r="Q1425" s="25">
        <f>data[[#This Row],[ShippingCost]]/data[[#This Row],[TotalMiles]]</f>
        <v>16.47878787878788</v>
      </c>
      <c r="R1425" s="17">
        <v>5438</v>
      </c>
      <c r="S1425" s="25">
        <f>data[[#This Row],[Revenue]]/data[[#This Row],[TotalMiles]]</f>
        <v>18.539393939393939</v>
      </c>
      <c r="T1425" s="26">
        <f>data[[#This Row],[Revenue]]-data[[#This Row],[ShippingCost]]</f>
        <v>680</v>
      </c>
      <c r="U1425" s="17">
        <v>6118</v>
      </c>
      <c r="V1425" s="17">
        <v>65</v>
      </c>
      <c r="W1425" s="17" t="s">
        <v>25</v>
      </c>
      <c r="X1425" s="17">
        <v>1</v>
      </c>
      <c r="Y1425" s="17">
        <f>data[[#This Row],[DeliveryDate]]-data[[#This Row],[ShipDate]]</f>
        <v>2</v>
      </c>
      <c r="Z1425" s="17" t="str">
        <f>IF(data[[#This Row],[Actual Delivery Days]]&gt;AD1426,"Yes","No")</f>
        <v>Yes</v>
      </c>
    </row>
    <row r="1426" spans="1:26">
      <c r="A1426" s="17">
        <v>11278</v>
      </c>
      <c r="B1426" s="17">
        <v>2</v>
      </c>
      <c r="C1426" s="17">
        <v>4</v>
      </c>
      <c r="D1426" s="17" t="s">
        <v>297</v>
      </c>
      <c r="E1426" s="17" t="s">
        <v>426</v>
      </c>
      <c r="F1426" s="17" t="str">
        <f>TEXT(data[[#This Row],[ShipDate]],"yyyy - mmmm")</f>
        <v>2016 - July</v>
      </c>
      <c r="G1426" s="17" t="str">
        <f>data[[#This Row],[OriginCity]] &amp; " - "  &amp; data[[#This Row],[DestinationCity]]</f>
        <v>Milwaukee - Springfield</v>
      </c>
      <c r="H1426" s="17" t="s">
        <v>28</v>
      </c>
      <c r="I1426" s="17" t="s">
        <v>29</v>
      </c>
      <c r="J1426" s="17">
        <v>2</v>
      </c>
      <c r="K1426" s="17" t="s">
        <v>30</v>
      </c>
      <c r="L1426" s="17" t="s">
        <v>31</v>
      </c>
      <c r="M1426" s="17" t="s">
        <v>467</v>
      </c>
      <c r="N1426" s="17">
        <v>1157</v>
      </c>
      <c r="O1426" s="17">
        <v>749</v>
      </c>
      <c r="P1426" s="26">
        <f>(data[[#This Row],[LoadedMiles]]/data[[#This Row],[TotalMiles]])*100</f>
        <v>64.736387208297316</v>
      </c>
      <c r="Q1426" s="25">
        <f>data[[#This Row],[ShippingCost]]/data[[#This Row],[TotalMiles]]</f>
        <v>6.331028522039758</v>
      </c>
      <c r="R1426" s="17">
        <v>7325</v>
      </c>
      <c r="S1426" s="25">
        <f>data[[#This Row],[Revenue]]/data[[#This Row],[TotalMiles]]</f>
        <v>4.3923941227312016</v>
      </c>
      <c r="T1426" s="26">
        <f>data[[#This Row],[Revenue]]-data[[#This Row],[ShippingCost]]</f>
        <v>-2243</v>
      </c>
      <c r="U1426" s="17">
        <v>5082</v>
      </c>
      <c r="V1426" s="17">
        <v>99</v>
      </c>
      <c r="W1426" s="17" t="s">
        <v>25</v>
      </c>
      <c r="X1426" s="17">
        <v>4</v>
      </c>
      <c r="Y1426" s="17">
        <f>data[[#This Row],[DeliveryDate]]-data[[#This Row],[ShipDate]]</f>
        <v>2</v>
      </c>
      <c r="Z1426" s="17" t="str">
        <f>IF(data[[#This Row],[Actual Delivery Days]]&gt;AD1427,"Yes","No")</f>
        <v>Yes</v>
      </c>
    </row>
    <row r="1427" spans="1:26">
      <c r="A1427" s="17">
        <v>11281</v>
      </c>
      <c r="B1427" s="17">
        <v>3</v>
      </c>
      <c r="C1427" s="17">
        <v>2</v>
      </c>
      <c r="D1427" s="17" t="s">
        <v>305</v>
      </c>
      <c r="E1427" s="17" t="s">
        <v>153</v>
      </c>
      <c r="F1427" s="17" t="str">
        <f>TEXT(data[[#This Row],[ShipDate]],"yyyy - mmmm")</f>
        <v>2016 - February</v>
      </c>
      <c r="G1427" s="17" t="str">
        <f>data[[#This Row],[OriginCity]] &amp; " - "  &amp; data[[#This Row],[DestinationCity]]</f>
        <v>Indianapolis - Northbrook</v>
      </c>
      <c r="H1427" s="17" t="s">
        <v>43</v>
      </c>
      <c r="I1427" s="17" t="s">
        <v>44</v>
      </c>
      <c r="J1427" s="17">
        <v>2</v>
      </c>
      <c r="K1427" s="17" t="s">
        <v>45</v>
      </c>
      <c r="L1427" s="17" t="s">
        <v>31</v>
      </c>
      <c r="M1427" s="17" t="s">
        <v>259</v>
      </c>
      <c r="N1427" s="17">
        <v>503</v>
      </c>
      <c r="O1427" s="17">
        <v>503</v>
      </c>
      <c r="P1427" s="26">
        <f>(data[[#This Row],[LoadedMiles]]/data[[#This Row],[TotalMiles]])*100</f>
        <v>100</v>
      </c>
      <c r="Q1427" s="25">
        <f>data[[#This Row],[ShippingCost]]/data[[#This Row],[TotalMiles]]</f>
        <v>13.878727634194831</v>
      </c>
      <c r="R1427" s="17">
        <v>6981</v>
      </c>
      <c r="S1427" s="25">
        <f>data[[#This Row],[Revenue]]/data[[#This Row],[TotalMiles]]</f>
        <v>14.880715705765407</v>
      </c>
      <c r="T1427" s="26">
        <f>data[[#This Row],[Revenue]]-data[[#This Row],[ShippingCost]]</f>
        <v>504</v>
      </c>
      <c r="U1427" s="17">
        <v>7485</v>
      </c>
      <c r="V1427" s="17">
        <v>94</v>
      </c>
      <c r="W1427" s="17" t="s">
        <v>25</v>
      </c>
      <c r="X1427" s="17">
        <v>5</v>
      </c>
      <c r="Y1427" s="17">
        <f>data[[#This Row],[DeliveryDate]]-data[[#This Row],[ShipDate]]</f>
        <v>1</v>
      </c>
      <c r="Z1427" s="17" t="str">
        <f>IF(data[[#This Row],[Actual Delivery Days]]&gt;AD1428,"Yes","No")</f>
        <v>Yes</v>
      </c>
    </row>
    <row r="1428" spans="1:26">
      <c r="A1428" s="17">
        <v>11296</v>
      </c>
      <c r="B1428" s="17">
        <v>2</v>
      </c>
      <c r="C1428" s="17">
        <v>5</v>
      </c>
      <c r="D1428" s="17" t="s">
        <v>331</v>
      </c>
      <c r="E1428" s="17" t="s">
        <v>302</v>
      </c>
      <c r="F1428" s="17" t="str">
        <f>TEXT(data[[#This Row],[ShipDate]],"yyyy - mmmm")</f>
        <v>2016 - August</v>
      </c>
      <c r="G1428" s="17" t="str">
        <f>data[[#This Row],[OriginCity]] &amp; " - "  &amp; data[[#This Row],[DestinationCity]]</f>
        <v>Skokie - Chicago</v>
      </c>
      <c r="H1428" s="17" t="s">
        <v>35</v>
      </c>
      <c r="I1428" s="17" t="s">
        <v>31</v>
      </c>
      <c r="J1428" s="17">
        <v>2</v>
      </c>
      <c r="K1428" s="17" t="s">
        <v>39</v>
      </c>
      <c r="L1428" s="17" t="s">
        <v>31</v>
      </c>
      <c r="M1428" s="17" t="s">
        <v>138</v>
      </c>
      <c r="N1428" s="17">
        <v>516</v>
      </c>
      <c r="O1428" s="17">
        <v>516</v>
      </c>
      <c r="P1428" s="26">
        <f>(data[[#This Row],[LoadedMiles]]/data[[#This Row],[TotalMiles]])*100</f>
        <v>100</v>
      </c>
      <c r="Q1428" s="25">
        <f>data[[#This Row],[ShippingCost]]/data[[#This Row],[TotalMiles]]</f>
        <v>11.674418604651162</v>
      </c>
      <c r="R1428" s="17">
        <v>6024</v>
      </c>
      <c r="S1428" s="25">
        <f>data[[#This Row],[Revenue]]/data[[#This Row],[TotalMiles]]</f>
        <v>12.887596899224807</v>
      </c>
      <c r="T1428" s="26">
        <f>data[[#This Row],[Revenue]]-data[[#This Row],[ShippingCost]]</f>
        <v>626</v>
      </c>
      <c r="U1428" s="17">
        <v>6650</v>
      </c>
      <c r="V1428" s="17">
        <v>98</v>
      </c>
      <c r="W1428" s="17" t="s">
        <v>25</v>
      </c>
      <c r="X1428" s="17">
        <v>9</v>
      </c>
      <c r="Y1428" s="17">
        <f>data[[#This Row],[DeliveryDate]]-data[[#This Row],[ShipDate]]</f>
        <v>2</v>
      </c>
      <c r="Z1428" s="17" t="str">
        <f>IF(data[[#This Row],[Actual Delivery Days]]&gt;AD1429,"Yes","No")</f>
        <v>Yes</v>
      </c>
    </row>
    <row r="1429" spans="1:26">
      <c r="A1429" s="17">
        <v>11302</v>
      </c>
      <c r="B1429" s="17">
        <v>3</v>
      </c>
      <c r="C1429" s="17">
        <v>6</v>
      </c>
      <c r="D1429" s="17" t="s">
        <v>342</v>
      </c>
      <c r="E1429" s="17" t="s">
        <v>365</v>
      </c>
      <c r="F1429" s="17" t="str">
        <f>TEXT(data[[#This Row],[ShipDate]],"yyyy - mmmm")</f>
        <v>2016 - June</v>
      </c>
      <c r="G1429" s="17" t="str">
        <f>data[[#This Row],[OriginCity]] &amp; " - "  &amp; data[[#This Row],[DestinationCity]]</f>
        <v>Chicago - Rockford</v>
      </c>
      <c r="H1429" s="17" t="s">
        <v>39</v>
      </c>
      <c r="I1429" s="17" t="s">
        <v>31</v>
      </c>
      <c r="J1429" s="17">
        <v>2</v>
      </c>
      <c r="K1429" s="17" t="s">
        <v>40</v>
      </c>
      <c r="L1429" s="17" t="s">
        <v>31</v>
      </c>
      <c r="M1429" s="17" t="s">
        <v>410</v>
      </c>
      <c r="N1429" s="17">
        <v>569</v>
      </c>
      <c r="O1429" s="17">
        <v>268</v>
      </c>
      <c r="P1429" s="26">
        <f>(data[[#This Row],[LoadedMiles]]/data[[#This Row],[TotalMiles]])*100</f>
        <v>47.100175746924428</v>
      </c>
      <c r="Q1429" s="25">
        <f>data[[#This Row],[ShippingCost]]/data[[#This Row],[TotalMiles]]</f>
        <v>7.1775043936731109</v>
      </c>
      <c r="R1429" s="17">
        <v>4084</v>
      </c>
      <c r="S1429" s="25">
        <f>data[[#This Row],[Revenue]]/data[[#This Row],[TotalMiles]]</f>
        <v>8.1862917398945516</v>
      </c>
      <c r="T1429" s="26">
        <f>data[[#This Row],[Revenue]]-data[[#This Row],[ShippingCost]]</f>
        <v>574</v>
      </c>
      <c r="U1429" s="17">
        <v>4658</v>
      </c>
      <c r="V1429" s="17">
        <v>79</v>
      </c>
      <c r="W1429" s="17" t="s">
        <v>25</v>
      </c>
      <c r="X1429" s="17">
        <v>7</v>
      </c>
      <c r="Y1429" s="17">
        <f>data[[#This Row],[DeliveryDate]]-data[[#This Row],[ShipDate]]</f>
        <v>2</v>
      </c>
      <c r="Z1429" s="17" t="str">
        <f>IF(data[[#This Row],[Actual Delivery Days]]&gt;AD1430,"Yes","No")</f>
        <v>Yes</v>
      </c>
    </row>
    <row r="1430" spans="1:26">
      <c r="A1430" s="17">
        <v>11304</v>
      </c>
      <c r="B1430" s="17">
        <v>3</v>
      </c>
      <c r="C1430" s="17">
        <v>1</v>
      </c>
      <c r="D1430" s="17" t="s">
        <v>345</v>
      </c>
      <c r="E1430" s="17" t="s">
        <v>161</v>
      </c>
      <c r="F1430" s="17" t="str">
        <f>TEXT(data[[#This Row],[ShipDate]],"yyyy - mmmm")</f>
        <v>2016 - April</v>
      </c>
      <c r="G1430" s="17" t="str">
        <f>data[[#This Row],[OriginCity]] &amp; " - "  &amp; data[[#This Row],[DestinationCity]]</f>
        <v>Northbrook - Naperville</v>
      </c>
      <c r="H1430" s="17" t="s">
        <v>45</v>
      </c>
      <c r="I1430" s="17" t="s">
        <v>31</v>
      </c>
      <c r="J1430" s="17">
        <v>2</v>
      </c>
      <c r="K1430" s="17" t="s">
        <v>48</v>
      </c>
      <c r="L1430" s="17" t="s">
        <v>31</v>
      </c>
      <c r="M1430" s="17" t="s">
        <v>418</v>
      </c>
      <c r="N1430" s="17">
        <v>592</v>
      </c>
      <c r="O1430" s="17">
        <v>592</v>
      </c>
      <c r="P1430" s="26">
        <f>(data[[#This Row],[LoadedMiles]]/data[[#This Row],[TotalMiles]])*100</f>
        <v>100</v>
      </c>
      <c r="Q1430" s="25">
        <f>data[[#This Row],[ShippingCost]]/data[[#This Row],[TotalMiles]]</f>
        <v>14.369932432432432</v>
      </c>
      <c r="R1430" s="17">
        <v>8507</v>
      </c>
      <c r="S1430" s="25">
        <f>data[[#This Row],[Revenue]]/data[[#This Row],[TotalMiles]]</f>
        <v>21.631756756756758</v>
      </c>
      <c r="T1430" s="26">
        <f>data[[#This Row],[Revenue]]-data[[#This Row],[ShippingCost]]</f>
        <v>4299</v>
      </c>
      <c r="U1430" s="17">
        <v>12806</v>
      </c>
      <c r="V1430" s="17">
        <v>56</v>
      </c>
      <c r="W1430" s="17" t="s">
        <v>25</v>
      </c>
      <c r="X1430" s="17">
        <v>4</v>
      </c>
      <c r="Y1430" s="17">
        <f>data[[#This Row],[DeliveryDate]]-data[[#This Row],[ShipDate]]</f>
        <v>2</v>
      </c>
      <c r="Z1430" s="17" t="str">
        <f>IF(data[[#This Row],[Actual Delivery Days]]&gt;AD1431,"Yes","No")</f>
        <v>Yes</v>
      </c>
    </row>
    <row r="1431" spans="1:26">
      <c r="A1431" s="17">
        <v>11305</v>
      </c>
      <c r="B1431" s="17">
        <v>2</v>
      </c>
      <c r="C1431" s="17">
        <v>3</v>
      </c>
      <c r="D1431" s="17" t="s">
        <v>346</v>
      </c>
      <c r="E1431" s="17" t="s">
        <v>553</v>
      </c>
      <c r="F1431" s="17" t="str">
        <f>TEXT(data[[#This Row],[ShipDate]],"yyyy - mmmm")</f>
        <v>2016 - July</v>
      </c>
      <c r="G1431" s="17" t="str">
        <f>data[[#This Row],[OriginCity]] &amp; " - "  &amp; data[[#This Row],[DestinationCity]]</f>
        <v>Detriot - Monon</v>
      </c>
      <c r="H1431" s="17" t="s">
        <v>52</v>
      </c>
      <c r="I1431" s="17" t="s">
        <v>21</v>
      </c>
      <c r="J1431" s="17">
        <v>2</v>
      </c>
      <c r="K1431" s="17" t="s">
        <v>53</v>
      </c>
      <c r="L1431" s="17" t="s">
        <v>44</v>
      </c>
      <c r="M1431" s="17" t="s">
        <v>426</v>
      </c>
      <c r="N1431" s="17">
        <v>551</v>
      </c>
      <c r="O1431" s="17">
        <v>551</v>
      </c>
      <c r="P1431" s="26">
        <f>(data[[#This Row],[LoadedMiles]]/data[[#This Row],[TotalMiles]])*100</f>
        <v>100</v>
      </c>
      <c r="Q1431" s="25">
        <f>data[[#This Row],[ShippingCost]]/data[[#This Row],[TotalMiles]]</f>
        <v>13.854809437386569</v>
      </c>
      <c r="R1431" s="17">
        <v>7634</v>
      </c>
      <c r="S1431" s="25">
        <f>data[[#This Row],[Revenue]]/data[[#This Row],[TotalMiles]]</f>
        <v>15.366606170598912</v>
      </c>
      <c r="T1431" s="26">
        <f>data[[#This Row],[Revenue]]-data[[#This Row],[ShippingCost]]</f>
        <v>833</v>
      </c>
      <c r="U1431" s="17">
        <v>8467</v>
      </c>
      <c r="V1431" s="17">
        <v>89</v>
      </c>
      <c r="W1431" s="17" t="s">
        <v>25</v>
      </c>
      <c r="X1431" s="17">
        <v>8</v>
      </c>
      <c r="Y1431" s="17">
        <f>data[[#This Row],[DeliveryDate]]-data[[#This Row],[ShipDate]]</f>
        <v>2</v>
      </c>
      <c r="Z1431" s="17" t="str">
        <f>IF(data[[#This Row],[Actual Delivery Days]]&gt;AD1432,"Yes","No")</f>
        <v>Yes</v>
      </c>
    </row>
    <row r="1432" spans="1:26">
      <c r="A1432" s="17">
        <v>11307</v>
      </c>
      <c r="B1432" s="17">
        <v>2</v>
      </c>
      <c r="C1432" s="17">
        <v>5</v>
      </c>
      <c r="D1432" s="17" t="s">
        <v>349</v>
      </c>
      <c r="E1432" s="17" t="s">
        <v>353</v>
      </c>
      <c r="F1432" s="17" t="str">
        <f>TEXT(data[[#This Row],[ShipDate]],"yyyy - mmmm")</f>
        <v>2016 - March</v>
      </c>
      <c r="G1432" s="17" t="str">
        <f>data[[#This Row],[OriginCity]] &amp; " - "  &amp; data[[#This Row],[DestinationCity]]</f>
        <v>Joliet - Madison</v>
      </c>
      <c r="H1432" s="17" t="s">
        <v>61</v>
      </c>
      <c r="I1432" s="17" t="s">
        <v>31</v>
      </c>
      <c r="J1432" s="17">
        <v>2</v>
      </c>
      <c r="K1432" s="17" t="s">
        <v>62</v>
      </c>
      <c r="L1432" s="17" t="s">
        <v>29</v>
      </c>
      <c r="M1432" s="17" t="s">
        <v>76</v>
      </c>
      <c r="N1432" s="17">
        <v>277</v>
      </c>
      <c r="O1432" s="17">
        <v>277</v>
      </c>
      <c r="P1432" s="26">
        <f>(data[[#This Row],[LoadedMiles]]/data[[#This Row],[TotalMiles]])*100</f>
        <v>100</v>
      </c>
      <c r="Q1432" s="25">
        <f>data[[#This Row],[ShippingCost]]/data[[#This Row],[TotalMiles]]</f>
        <v>6.9638989169675094</v>
      </c>
      <c r="R1432" s="17">
        <v>1929</v>
      </c>
      <c r="S1432" s="25">
        <f>data[[#This Row],[Revenue]]/data[[#This Row],[TotalMiles]]</f>
        <v>9.5812274368231041</v>
      </c>
      <c r="T1432" s="26">
        <f>data[[#This Row],[Revenue]]-data[[#This Row],[ShippingCost]]</f>
        <v>725</v>
      </c>
      <c r="U1432" s="17">
        <v>2654</v>
      </c>
      <c r="V1432" s="17">
        <v>76</v>
      </c>
      <c r="W1432" s="17" t="s">
        <v>25</v>
      </c>
      <c r="X1432" s="17">
        <v>5</v>
      </c>
      <c r="Y1432" s="17">
        <f>data[[#This Row],[DeliveryDate]]-data[[#This Row],[ShipDate]]</f>
        <v>1</v>
      </c>
      <c r="Z1432" s="17" t="str">
        <f>IF(data[[#This Row],[Actual Delivery Days]]&gt;AD1433,"Yes","No")</f>
        <v>Yes</v>
      </c>
    </row>
    <row r="1433" spans="1:26">
      <c r="A1433" s="17">
        <v>11313</v>
      </c>
      <c r="B1433" s="17">
        <v>2</v>
      </c>
      <c r="C1433" s="17">
        <v>2</v>
      </c>
      <c r="D1433" s="17" t="s">
        <v>360</v>
      </c>
      <c r="E1433" s="17" t="s">
        <v>212</v>
      </c>
      <c r="F1433" s="17" t="str">
        <f>TEXT(data[[#This Row],[ShipDate]],"yyyy - mmmm")</f>
        <v>2016 - August</v>
      </c>
      <c r="G1433" s="17" t="str">
        <f>data[[#This Row],[OriginCity]] &amp; " - "  &amp; data[[#This Row],[DestinationCity]]</f>
        <v>Appleton - Grand Rapids</v>
      </c>
      <c r="H1433" s="17" t="s">
        <v>85</v>
      </c>
      <c r="I1433" s="17" t="s">
        <v>29</v>
      </c>
      <c r="J1433" s="17">
        <v>2</v>
      </c>
      <c r="K1433" s="17" t="s">
        <v>20</v>
      </c>
      <c r="L1433" s="17" t="s">
        <v>21</v>
      </c>
      <c r="M1433" s="17" t="s">
        <v>214</v>
      </c>
      <c r="N1433" s="17">
        <v>350</v>
      </c>
      <c r="O1433" s="17">
        <v>350</v>
      </c>
      <c r="P1433" s="26">
        <f>(data[[#This Row],[LoadedMiles]]/data[[#This Row],[TotalMiles]])*100</f>
        <v>100</v>
      </c>
      <c r="Q1433" s="25">
        <f>data[[#This Row],[ShippingCost]]/data[[#This Row],[TotalMiles]]</f>
        <v>20.411428571428573</v>
      </c>
      <c r="R1433" s="17">
        <v>7144</v>
      </c>
      <c r="S1433" s="25">
        <f>data[[#This Row],[Revenue]]/data[[#This Row],[TotalMiles]]</f>
        <v>22.437142857142856</v>
      </c>
      <c r="T1433" s="26">
        <f>data[[#This Row],[Revenue]]-data[[#This Row],[ShippingCost]]</f>
        <v>709</v>
      </c>
      <c r="U1433" s="17">
        <v>7853</v>
      </c>
      <c r="V1433" s="17">
        <v>73</v>
      </c>
      <c r="W1433" s="17" t="s">
        <v>86</v>
      </c>
      <c r="X1433" s="17">
        <v>5</v>
      </c>
      <c r="Y1433" s="17">
        <f>data[[#This Row],[DeliveryDate]]-data[[#This Row],[ShipDate]]</f>
        <v>2</v>
      </c>
      <c r="Z1433" s="17" t="str">
        <f>IF(data[[#This Row],[Actual Delivery Days]]&gt;AD1434,"Yes","No")</f>
        <v>Yes</v>
      </c>
    </row>
    <row r="1434" spans="1:26">
      <c r="A1434" s="17">
        <v>11319</v>
      </c>
      <c r="B1434" s="17">
        <v>2</v>
      </c>
      <c r="C1434" s="17">
        <v>2</v>
      </c>
      <c r="D1434" s="17" t="s">
        <v>370</v>
      </c>
      <c r="E1434" s="17" t="s">
        <v>355</v>
      </c>
      <c r="F1434" s="17" t="str">
        <f>TEXT(data[[#This Row],[ShipDate]],"yyyy - mmmm")</f>
        <v>2016 - March</v>
      </c>
      <c r="G1434" s="17" t="str">
        <f>data[[#This Row],[OriginCity]] &amp; " - "  &amp; data[[#This Row],[DestinationCity]]</f>
        <v>Elgin - Cincinnati</v>
      </c>
      <c r="H1434" s="17" t="s">
        <v>94</v>
      </c>
      <c r="I1434" s="17" t="s">
        <v>31</v>
      </c>
      <c r="J1434" s="17">
        <v>2</v>
      </c>
      <c r="K1434" s="17" t="s">
        <v>89</v>
      </c>
      <c r="L1434" s="17" t="s">
        <v>23</v>
      </c>
      <c r="M1434" s="17" t="s">
        <v>199</v>
      </c>
      <c r="N1434" s="17">
        <v>229</v>
      </c>
      <c r="O1434" s="17">
        <v>229</v>
      </c>
      <c r="P1434" s="26">
        <f>(data[[#This Row],[LoadedMiles]]/data[[#This Row],[TotalMiles]])*100</f>
        <v>100</v>
      </c>
      <c r="Q1434" s="25">
        <f>data[[#This Row],[ShippingCost]]/data[[#This Row],[TotalMiles]]</f>
        <v>10.93886462882096</v>
      </c>
      <c r="R1434" s="17">
        <v>2505</v>
      </c>
      <c r="S1434" s="25">
        <f>data[[#This Row],[Revenue]]/data[[#This Row],[TotalMiles]]</f>
        <v>11.812227074235809</v>
      </c>
      <c r="T1434" s="26">
        <f>data[[#This Row],[Revenue]]-data[[#This Row],[ShippingCost]]</f>
        <v>200</v>
      </c>
      <c r="U1434" s="17">
        <v>2705</v>
      </c>
      <c r="V1434" s="17">
        <v>89</v>
      </c>
      <c r="W1434" s="17" t="s">
        <v>25</v>
      </c>
      <c r="X1434" s="17">
        <v>5</v>
      </c>
      <c r="Y1434" s="17">
        <f>data[[#This Row],[DeliveryDate]]-data[[#This Row],[ShipDate]]</f>
        <v>1</v>
      </c>
      <c r="Z1434" s="17" t="str">
        <f>IF(data[[#This Row],[Actual Delivery Days]]&gt;AD1435,"Yes","No")</f>
        <v>Yes</v>
      </c>
    </row>
    <row r="1435" spans="1:26">
      <c r="A1435" s="17">
        <v>11321</v>
      </c>
      <c r="B1435" s="17">
        <v>3</v>
      </c>
      <c r="C1435" s="17">
        <v>3</v>
      </c>
      <c r="D1435" s="17" t="s">
        <v>374</v>
      </c>
      <c r="E1435" s="17" t="s">
        <v>293</v>
      </c>
      <c r="F1435" s="17" t="str">
        <f>TEXT(data[[#This Row],[ShipDate]],"yyyy - mmmm")</f>
        <v>2016 - June</v>
      </c>
      <c r="G1435" s="17" t="str">
        <f>data[[#This Row],[OriginCity]] &amp; " - "  &amp; data[[#This Row],[DestinationCity]]</f>
        <v>Davenport - Appleton</v>
      </c>
      <c r="H1435" s="17" t="s">
        <v>105</v>
      </c>
      <c r="I1435" s="17" t="s">
        <v>106</v>
      </c>
      <c r="J1435" s="17">
        <v>2</v>
      </c>
      <c r="K1435" s="17" t="s">
        <v>85</v>
      </c>
      <c r="L1435" s="17" t="s">
        <v>29</v>
      </c>
      <c r="M1435" s="17" t="s">
        <v>619</v>
      </c>
      <c r="N1435" s="17">
        <v>436</v>
      </c>
      <c r="O1435" s="17">
        <v>436</v>
      </c>
      <c r="P1435" s="26">
        <f>(data[[#This Row],[LoadedMiles]]/data[[#This Row],[TotalMiles]])*100</f>
        <v>100</v>
      </c>
      <c r="Q1435" s="25">
        <f>data[[#This Row],[ShippingCost]]/data[[#This Row],[TotalMiles]]</f>
        <v>16.013761467889907</v>
      </c>
      <c r="R1435" s="17">
        <v>6982</v>
      </c>
      <c r="S1435" s="25">
        <f>data[[#This Row],[Revenue]]/data[[#This Row],[TotalMiles]]</f>
        <v>17.337155963302752</v>
      </c>
      <c r="T1435" s="26">
        <f>data[[#This Row],[Revenue]]-data[[#This Row],[ShippingCost]]</f>
        <v>577</v>
      </c>
      <c r="U1435" s="17">
        <v>7559</v>
      </c>
      <c r="V1435" s="17">
        <v>74</v>
      </c>
      <c r="W1435" s="17" t="s">
        <v>25</v>
      </c>
      <c r="X1435" s="17">
        <v>6</v>
      </c>
      <c r="Y1435" s="17">
        <f>data[[#This Row],[DeliveryDate]]-data[[#This Row],[ShipDate]]</f>
        <v>2</v>
      </c>
      <c r="Z1435" s="17" t="str">
        <f>IF(data[[#This Row],[Actual Delivery Days]]&gt;AD1436,"Yes","No")</f>
        <v>Yes</v>
      </c>
    </row>
    <row r="1436" spans="1:26">
      <c r="A1436" s="17">
        <v>11340</v>
      </c>
      <c r="B1436" s="17">
        <v>3</v>
      </c>
      <c r="C1436" s="17">
        <v>6</v>
      </c>
      <c r="D1436" s="17" t="s">
        <v>406</v>
      </c>
      <c r="E1436" s="17" t="s">
        <v>67</v>
      </c>
      <c r="F1436" s="17" t="str">
        <f>TEXT(data[[#This Row],[ShipDate]],"yyyy - mmmm")</f>
        <v>2016 - April</v>
      </c>
      <c r="G1436" s="17" t="str">
        <f>data[[#This Row],[OriginCity]] &amp; " - "  &amp; data[[#This Row],[DestinationCity]]</f>
        <v>Elgin - Cincinnati</v>
      </c>
      <c r="H1436" s="17" t="s">
        <v>94</v>
      </c>
      <c r="I1436" s="17" t="s">
        <v>31</v>
      </c>
      <c r="J1436" s="17">
        <v>2</v>
      </c>
      <c r="K1436" s="17" t="s">
        <v>89</v>
      </c>
      <c r="L1436" s="17" t="s">
        <v>23</v>
      </c>
      <c r="M1436" s="17" t="s">
        <v>170</v>
      </c>
      <c r="N1436" s="17">
        <v>1078</v>
      </c>
      <c r="O1436" s="17">
        <v>511</v>
      </c>
      <c r="P1436" s="26">
        <f>(data[[#This Row],[LoadedMiles]]/data[[#This Row],[TotalMiles]])*100</f>
        <v>47.402597402597401</v>
      </c>
      <c r="Q1436" s="25">
        <f>data[[#This Row],[ShippingCost]]/data[[#This Row],[TotalMiles]]</f>
        <v>2.5426716141001857</v>
      </c>
      <c r="R1436" s="17">
        <v>2741</v>
      </c>
      <c r="S1436" s="25">
        <f>data[[#This Row],[Revenue]]/data[[#This Row],[TotalMiles]]</f>
        <v>2.8692022263450836</v>
      </c>
      <c r="T1436" s="26">
        <f>data[[#This Row],[Revenue]]-data[[#This Row],[ShippingCost]]</f>
        <v>352</v>
      </c>
      <c r="U1436" s="17">
        <v>3093</v>
      </c>
      <c r="V1436" s="17">
        <v>93</v>
      </c>
      <c r="W1436" s="17" t="s">
        <v>25</v>
      </c>
      <c r="X1436" s="17">
        <v>2</v>
      </c>
      <c r="Y1436" s="17">
        <f>data[[#This Row],[DeliveryDate]]-data[[#This Row],[ShipDate]]</f>
        <v>2</v>
      </c>
      <c r="Z1436" s="17" t="str">
        <f>IF(data[[#This Row],[Actual Delivery Days]]&gt;AD1437,"Yes","No")</f>
        <v>Yes</v>
      </c>
    </row>
    <row r="1437" spans="1:26">
      <c r="A1437" s="17">
        <v>11341</v>
      </c>
      <c r="B1437" s="17">
        <v>2</v>
      </c>
      <c r="C1437" s="17">
        <v>4</v>
      </c>
      <c r="D1437" s="17" t="s">
        <v>407</v>
      </c>
      <c r="E1437" s="17" t="s">
        <v>379</v>
      </c>
      <c r="F1437" s="17" t="str">
        <f>TEXT(data[[#This Row],[ShipDate]],"yyyy - mmmm")</f>
        <v>2016 - February</v>
      </c>
      <c r="G1437" s="17" t="str">
        <f>data[[#This Row],[OriginCity]] &amp; " - "  &amp; data[[#This Row],[DestinationCity]]</f>
        <v>Skokie - Chicago</v>
      </c>
      <c r="H1437" s="17" t="s">
        <v>35</v>
      </c>
      <c r="I1437" s="17" t="s">
        <v>31</v>
      </c>
      <c r="J1437" s="17">
        <v>2</v>
      </c>
      <c r="K1437" s="17" t="s">
        <v>39</v>
      </c>
      <c r="L1437" s="17" t="s">
        <v>31</v>
      </c>
      <c r="M1437" s="17" t="s">
        <v>88</v>
      </c>
      <c r="N1437" s="17">
        <v>660</v>
      </c>
      <c r="O1437" s="17">
        <v>378</v>
      </c>
      <c r="P1437" s="26">
        <f>(data[[#This Row],[LoadedMiles]]/data[[#This Row],[TotalMiles]])*100</f>
        <v>57.272727272727273</v>
      </c>
      <c r="Q1437" s="25">
        <f>data[[#This Row],[ShippingCost]]/data[[#This Row],[TotalMiles]]</f>
        <v>8.995454545454546</v>
      </c>
      <c r="R1437" s="17">
        <v>5937</v>
      </c>
      <c r="S1437" s="25">
        <f>data[[#This Row],[Revenue]]/data[[#This Row],[TotalMiles]]</f>
        <v>5.875757575757576</v>
      </c>
      <c r="T1437" s="26">
        <f>data[[#This Row],[Revenue]]-data[[#This Row],[ShippingCost]]</f>
        <v>-2059</v>
      </c>
      <c r="U1437" s="17">
        <v>3878</v>
      </c>
      <c r="V1437" s="17">
        <v>78</v>
      </c>
      <c r="W1437" s="17" t="s">
        <v>25</v>
      </c>
      <c r="X1437" s="17">
        <v>7</v>
      </c>
      <c r="Y1437" s="17">
        <f>data[[#This Row],[DeliveryDate]]-data[[#This Row],[ShipDate]]</f>
        <v>2</v>
      </c>
      <c r="Z1437" s="17" t="str">
        <f>IF(data[[#This Row],[Actual Delivery Days]]&gt;AD1438,"Yes","No")</f>
        <v>Yes</v>
      </c>
    </row>
    <row r="1438" spans="1:26">
      <c r="A1438" s="17">
        <v>11343</v>
      </c>
      <c r="B1438" s="17">
        <v>3</v>
      </c>
      <c r="C1438" s="17">
        <v>3</v>
      </c>
      <c r="D1438" s="17" t="s">
        <v>411</v>
      </c>
      <c r="E1438" s="17" t="s">
        <v>444</v>
      </c>
      <c r="F1438" s="17" t="str">
        <f>TEXT(data[[#This Row],[ShipDate]],"yyyy - mmmm")</f>
        <v>2016 - June</v>
      </c>
      <c r="G1438" s="17" t="str">
        <f>data[[#This Row],[OriginCity]] &amp; " - "  &amp; data[[#This Row],[DestinationCity]]</f>
        <v>Davenport - Appleton</v>
      </c>
      <c r="H1438" s="17" t="s">
        <v>105</v>
      </c>
      <c r="I1438" s="17" t="s">
        <v>106</v>
      </c>
      <c r="J1438" s="17">
        <v>2</v>
      </c>
      <c r="K1438" s="17" t="s">
        <v>85</v>
      </c>
      <c r="L1438" s="17" t="s">
        <v>29</v>
      </c>
      <c r="M1438" s="17" t="s">
        <v>135</v>
      </c>
      <c r="N1438" s="17">
        <v>254</v>
      </c>
      <c r="O1438" s="17">
        <v>254</v>
      </c>
      <c r="P1438" s="26">
        <f>(data[[#This Row],[LoadedMiles]]/data[[#This Row],[TotalMiles]])*100</f>
        <v>100</v>
      </c>
      <c r="Q1438" s="25">
        <f>data[[#This Row],[ShippingCost]]/data[[#This Row],[TotalMiles]]</f>
        <v>24.15748031496063</v>
      </c>
      <c r="R1438" s="17">
        <v>6136</v>
      </c>
      <c r="S1438" s="25">
        <f>data[[#This Row],[Revenue]]/data[[#This Row],[TotalMiles]]</f>
        <v>25.110236220472441</v>
      </c>
      <c r="T1438" s="26">
        <f>data[[#This Row],[Revenue]]-data[[#This Row],[ShippingCost]]</f>
        <v>242</v>
      </c>
      <c r="U1438" s="17">
        <v>6378</v>
      </c>
      <c r="V1438" s="17">
        <v>100</v>
      </c>
      <c r="W1438" s="17" t="s">
        <v>25</v>
      </c>
      <c r="X1438" s="17">
        <v>7</v>
      </c>
      <c r="Y1438" s="17">
        <f>data[[#This Row],[DeliveryDate]]-data[[#This Row],[ShipDate]]</f>
        <v>2</v>
      </c>
      <c r="Z1438" s="17" t="str">
        <f>IF(data[[#This Row],[Actual Delivery Days]]&gt;AD1439,"Yes","No")</f>
        <v>Yes</v>
      </c>
    </row>
    <row r="1439" spans="1:26">
      <c r="A1439" s="17">
        <v>11359</v>
      </c>
      <c r="B1439" s="17">
        <v>3</v>
      </c>
      <c r="C1439" s="17">
        <v>1</v>
      </c>
      <c r="D1439" s="17" t="s">
        <v>436</v>
      </c>
      <c r="E1439" s="17" t="s">
        <v>298</v>
      </c>
      <c r="F1439" s="17" t="str">
        <f>TEXT(data[[#This Row],[ShipDate]],"yyyy - mmmm")</f>
        <v>2016 - July</v>
      </c>
      <c r="G1439" s="17" t="str">
        <f>data[[#This Row],[OriginCity]] &amp; " - "  &amp; data[[#This Row],[DestinationCity]]</f>
        <v>Cincinnati - Gary</v>
      </c>
      <c r="H1439" s="17" t="s">
        <v>89</v>
      </c>
      <c r="I1439" s="17" t="s">
        <v>23</v>
      </c>
      <c r="J1439" s="17">
        <v>2</v>
      </c>
      <c r="K1439" s="17" t="s">
        <v>57</v>
      </c>
      <c r="L1439" s="17" t="s">
        <v>44</v>
      </c>
      <c r="M1439" s="17" t="s">
        <v>190</v>
      </c>
      <c r="N1439" s="17">
        <v>515</v>
      </c>
      <c r="O1439" s="17">
        <v>410</v>
      </c>
      <c r="P1439" s="26">
        <f>(data[[#This Row],[LoadedMiles]]/data[[#This Row],[TotalMiles]])*100</f>
        <v>79.611650485436897</v>
      </c>
      <c r="Q1439" s="25">
        <f>data[[#This Row],[ShippingCost]]/data[[#This Row],[TotalMiles]]</f>
        <v>9.6970873786407772</v>
      </c>
      <c r="R1439" s="17">
        <v>4994</v>
      </c>
      <c r="S1439" s="25">
        <f>data[[#This Row],[Revenue]]/data[[#This Row],[TotalMiles]]</f>
        <v>17.864077669902912</v>
      </c>
      <c r="T1439" s="26">
        <f>data[[#This Row],[Revenue]]-data[[#This Row],[ShippingCost]]</f>
        <v>4206</v>
      </c>
      <c r="U1439" s="17">
        <v>9200</v>
      </c>
      <c r="V1439" s="17">
        <v>97</v>
      </c>
      <c r="W1439" s="17" t="s">
        <v>25</v>
      </c>
      <c r="X1439" s="17">
        <v>9</v>
      </c>
      <c r="Y1439" s="17">
        <f>data[[#This Row],[DeliveryDate]]-data[[#This Row],[ShipDate]]</f>
        <v>2</v>
      </c>
      <c r="Z1439" s="17" t="str">
        <f>IF(data[[#This Row],[Actual Delivery Days]]&gt;AD1440,"Yes","No")</f>
        <v>Yes</v>
      </c>
    </row>
    <row r="1440" spans="1:26">
      <c r="A1440" s="17">
        <v>11389</v>
      </c>
      <c r="B1440" s="17">
        <v>2</v>
      </c>
      <c r="C1440" s="17">
        <v>3</v>
      </c>
      <c r="D1440" s="17" t="s">
        <v>481</v>
      </c>
      <c r="E1440" s="17" t="s">
        <v>408</v>
      </c>
      <c r="F1440" s="17" t="str">
        <f>TEXT(data[[#This Row],[ShipDate]],"yyyy - mmmm")</f>
        <v>2016 - August</v>
      </c>
      <c r="G1440" s="17" t="str">
        <f>data[[#This Row],[OriginCity]] &amp; " - "  &amp; data[[#This Row],[DestinationCity]]</f>
        <v>Kalamazoo - Bangor</v>
      </c>
      <c r="H1440" s="17" t="s">
        <v>71</v>
      </c>
      <c r="I1440" s="17" t="s">
        <v>21</v>
      </c>
      <c r="J1440" s="17">
        <v>2</v>
      </c>
      <c r="K1440" s="17" t="s">
        <v>104</v>
      </c>
      <c r="L1440" s="17" t="s">
        <v>21</v>
      </c>
      <c r="M1440" s="17" t="s">
        <v>307</v>
      </c>
      <c r="N1440" s="17">
        <v>835</v>
      </c>
      <c r="O1440" s="17">
        <v>637</v>
      </c>
      <c r="P1440" s="26">
        <f>(data[[#This Row],[LoadedMiles]]/data[[#This Row],[TotalMiles]])*100</f>
        <v>76.287425149700596</v>
      </c>
      <c r="Q1440" s="25">
        <f>data[[#This Row],[ShippingCost]]/data[[#This Row],[TotalMiles]]</f>
        <v>5.932934131736527</v>
      </c>
      <c r="R1440" s="17">
        <v>4954</v>
      </c>
      <c r="S1440" s="25">
        <f>data[[#This Row],[Revenue]]/data[[#This Row],[TotalMiles]]</f>
        <v>6.5149700598802394</v>
      </c>
      <c r="T1440" s="26">
        <f>data[[#This Row],[Revenue]]-data[[#This Row],[ShippingCost]]</f>
        <v>486</v>
      </c>
      <c r="U1440" s="17">
        <v>5440</v>
      </c>
      <c r="V1440" s="17">
        <v>73</v>
      </c>
      <c r="W1440" s="17" t="s">
        <v>86</v>
      </c>
      <c r="X1440" s="17">
        <v>2</v>
      </c>
      <c r="Y1440" s="17">
        <f>data[[#This Row],[DeliveryDate]]-data[[#This Row],[ShipDate]]</f>
        <v>2</v>
      </c>
      <c r="Z1440" s="17" t="str">
        <f>IF(data[[#This Row],[Actual Delivery Days]]&gt;AD1441,"Yes","No")</f>
        <v>Yes</v>
      </c>
    </row>
    <row r="1441" spans="1:26">
      <c r="A1441" s="17">
        <v>11396</v>
      </c>
      <c r="B1441" s="17">
        <v>2</v>
      </c>
      <c r="C1441" s="17">
        <v>4</v>
      </c>
      <c r="D1441" s="17" t="s">
        <v>491</v>
      </c>
      <c r="E1441" s="17" t="s">
        <v>240</v>
      </c>
      <c r="F1441" s="17" t="str">
        <f>TEXT(data[[#This Row],[ShipDate]],"yyyy - mmmm")</f>
        <v>2016 - August</v>
      </c>
      <c r="G1441" s="17" t="str">
        <f>data[[#This Row],[OriginCity]] &amp; " - "  &amp; data[[#This Row],[DestinationCity]]</f>
        <v>Joliet - Madison</v>
      </c>
      <c r="H1441" s="17" t="s">
        <v>61</v>
      </c>
      <c r="I1441" s="17" t="s">
        <v>31</v>
      </c>
      <c r="J1441" s="17">
        <v>2</v>
      </c>
      <c r="K1441" s="17" t="s">
        <v>62</v>
      </c>
      <c r="L1441" s="17" t="s">
        <v>29</v>
      </c>
      <c r="M1441" s="17" t="s">
        <v>339</v>
      </c>
      <c r="N1441" s="17">
        <v>303</v>
      </c>
      <c r="O1441" s="17">
        <v>303</v>
      </c>
      <c r="P1441" s="26">
        <f>(data[[#This Row],[LoadedMiles]]/data[[#This Row],[TotalMiles]])*100</f>
        <v>100</v>
      </c>
      <c r="Q1441" s="25">
        <f>data[[#This Row],[ShippingCost]]/data[[#This Row],[TotalMiles]]</f>
        <v>5.9207920792079207</v>
      </c>
      <c r="R1441" s="17">
        <v>1794</v>
      </c>
      <c r="S1441" s="25">
        <f>data[[#This Row],[Revenue]]/data[[#This Row],[TotalMiles]]</f>
        <v>0.45214521452145212</v>
      </c>
      <c r="T1441" s="26">
        <f>data[[#This Row],[Revenue]]-data[[#This Row],[ShippingCost]]</f>
        <v>-1657</v>
      </c>
      <c r="U1441" s="17">
        <v>137</v>
      </c>
      <c r="V1441" s="17">
        <v>63</v>
      </c>
      <c r="W1441" s="17" t="s">
        <v>25</v>
      </c>
      <c r="X1441" s="17">
        <v>6</v>
      </c>
      <c r="Y1441" s="17">
        <f>data[[#This Row],[DeliveryDate]]-data[[#This Row],[ShipDate]]</f>
        <v>2</v>
      </c>
      <c r="Z1441" s="17" t="str">
        <f>IF(data[[#This Row],[Actual Delivery Days]]&gt;AD1442,"Yes","No")</f>
        <v>Yes</v>
      </c>
    </row>
    <row r="1442" spans="1:26">
      <c r="A1442" s="17">
        <v>11407</v>
      </c>
      <c r="B1442" s="17">
        <v>2</v>
      </c>
      <c r="C1442" s="17">
        <v>3</v>
      </c>
      <c r="D1442" s="17" t="s">
        <v>505</v>
      </c>
      <c r="E1442" s="17" t="s">
        <v>312</v>
      </c>
      <c r="F1442" s="17" t="str">
        <f>TEXT(data[[#This Row],[ShipDate]],"yyyy - mmmm")</f>
        <v>2016 - May</v>
      </c>
      <c r="G1442" s="17" t="str">
        <f>data[[#This Row],[OriginCity]] &amp; " - "  &amp; data[[#This Row],[DestinationCity]]</f>
        <v>Bangor - Davenport</v>
      </c>
      <c r="H1442" s="17" t="s">
        <v>104</v>
      </c>
      <c r="I1442" s="17" t="s">
        <v>21</v>
      </c>
      <c r="J1442" s="17">
        <v>2</v>
      </c>
      <c r="K1442" s="17" t="s">
        <v>105</v>
      </c>
      <c r="L1442" s="17" t="s">
        <v>106</v>
      </c>
      <c r="M1442" s="17" t="s">
        <v>350</v>
      </c>
      <c r="N1442" s="17">
        <v>535</v>
      </c>
      <c r="O1442" s="17">
        <v>525</v>
      </c>
      <c r="P1442" s="26">
        <f>(data[[#This Row],[LoadedMiles]]/data[[#This Row],[TotalMiles]])*100</f>
        <v>98.130841121495322</v>
      </c>
      <c r="Q1442" s="25">
        <f>data[[#This Row],[ShippingCost]]/data[[#This Row],[TotalMiles]]</f>
        <v>5.9420560747663549</v>
      </c>
      <c r="R1442" s="17">
        <v>3179</v>
      </c>
      <c r="S1442" s="25">
        <f>data[[#This Row],[Revenue]]/data[[#This Row],[TotalMiles]]</f>
        <v>7.6074766355140184</v>
      </c>
      <c r="T1442" s="26">
        <f>data[[#This Row],[Revenue]]-data[[#This Row],[ShippingCost]]</f>
        <v>891</v>
      </c>
      <c r="U1442" s="17">
        <v>4070</v>
      </c>
      <c r="V1442" s="17">
        <v>56</v>
      </c>
      <c r="W1442" s="17" t="s">
        <v>25</v>
      </c>
      <c r="X1442" s="17">
        <v>5</v>
      </c>
      <c r="Y1442" s="17">
        <f>data[[#This Row],[DeliveryDate]]-data[[#This Row],[ShipDate]]</f>
        <v>2</v>
      </c>
      <c r="Z1442" s="17" t="str">
        <f>IF(data[[#This Row],[Actual Delivery Days]]&gt;AD1443,"Yes","No")</f>
        <v>Yes</v>
      </c>
    </row>
    <row r="1443" spans="1:26">
      <c r="A1443" s="17">
        <v>11408</v>
      </c>
      <c r="B1443" s="17">
        <v>3</v>
      </c>
      <c r="C1443" s="17">
        <v>1</v>
      </c>
      <c r="D1443" s="17" t="s">
        <v>506</v>
      </c>
      <c r="E1443" s="17" t="s">
        <v>282</v>
      </c>
      <c r="F1443" s="17" t="str">
        <f>TEXT(data[[#This Row],[ShipDate]],"yyyy - mmmm")</f>
        <v>2016 - June</v>
      </c>
      <c r="G1443" s="17" t="str">
        <f>data[[#This Row],[OriginCity]] &amp; " - "  &amp; data[[#This Row],[DestinationCity]]</f>
        <v>Elgin - Cincinnati</v>
      </c>
      <c r="H1443" s="17" t="s">
        <v>94</v>
      </c>
      <c r="I1443" s="17" t="s">
        <v>31</v>
      </c>
      <c r="J1443" s="17">
        <v>2</v>
      </c>
      <c r="K1443" s="17" t="s">
        <v>89</v>
      </c>
      <c r="L1443" s="17" t="s">
        <v>23</v>
      </c>
      <c r="M1443" s="17" t="s">
        <v>365</v>
      </c>
      <c r="N1443" s="17">
        <v>1038</v>
      </c>
      <c r="O1443" s="17">
        <v>313</v>
      </c>
      <c r="P1443" s="26">
        <f>(data[[#This Row],[LoadedMiles]]/data[[#This Row],[TotalMiles]])*100</f>
        <v>30.154142581888248</v>
      </c>
      <c r="Q1443" s="25">
        <f>data[[#This Row],[ShippingCost]]/data[[#This Row],[TotalMiles]]</f>
        <v>6.7032755298651256</v>
      </c>
      <c r="R1443" s="17">
        <v>6958</v>
      </c>
      <c r="S1443" s="25">
        <f>data[[#This Row],[Revenue]]/data[[#This Row],[TotalMiles]]</f>
        <v>11.105009633911369</v>
      </c>
      <c r="T1443" s="26">
        <f>data[[#This Row],[Revenue]]-data[[#This Row],[ShippingCost]]</f>
        <v>4569</v>
      </c>
      <c r="U1443" s="17">
        <v>11527</v>
      </c>
      <c r="V1443" s="17">
        <v>66</v>
      </c>
      <c r="W1443" s="17" t="s">
        <v>25</v>
      </c>
      <c r="X1443" s="17">
        <v>10</v>
      </c>
      <c r="Y1443" s="17">
        <f>data[[#This Row],[DeliveryDate]]-data[[#This Row],[ShipDate]]</f>
        <v>2</v>
      </c>
      <c r="Z1443" s="17" t="str">
        <f>IF(data[[#This Row],[Actual Delivery Days]]&gt;AD1444,"Yes","No")</f>
        <v>Yes</v>
      </c>
    </row>
    <row r="1444" spans="1:26">
      <c r="A1444" s="17">
        <v>11409</v>
      </c>
      <c r="B1444" s="17">
        <v>3</v>
      </c>
      <c r="C1444" s="17">
        <v>2</v>
      </c>
      <c r="D1444" s="17" t="s">
        <v>507</v>
      </c>
      <c r="E1444" s="17" t="s">
        <v>373</v>
      </c>
      <c r="F1444" s="17" t="str">
        <f>TEXT(data[[#This Row],[ShipDate]],"yyyy - mmmm")</f>
        <v>2016 - May</v>
      </c>
      <c r="G1444" s="17" t="str">
        <f>data[[#This Row],[OriginCity]] &amp; " - "  &amp; data[[#This Row],[DestinationCity]]</f>
        <v>Skokie - Chicago</v>
      </c>
      <c r="H1444" s="17" t="s">
        <v>35</v>
      </c>
      <c r="I1444" s="17" t="s">
        <v>31</v>
      </c>
      <c r="J1444" s="17">
        <v>2</v>
      </c>
      <c r="K1444" s="17" t="s">
        <v>39</v>
      </c>
      <c r="L1444" s="17" t="s">
        <v>31</v>
      </c>
      <c r="M1444" s="17" t="s">
        <v>344</v>
      </c>
      <c r="N1444" s="17">
        <v>814</v>
      </c>
      <c r="O1444" s="17">
        <v>505</v>
      </c>
      <c r="P1444" s="26">
        <f>(data[[#This Row],[LoadedMiles]]/data[[#This Row],[TotalMiles]])*100</f>
        <v>62.039312039312044</v>
      </c>
      <c r="Q1444" s="25">
        <f>data[[#This Row],[ShippingCost]]/data[[#This Row],[TotalMiles]]</f>
        <v>9.5847665847665855</v>
      </c>
      <c r="R1444" s="17">
        <v>7802</v>
      </c>
      <c r="S1444" s="25">
        <f>data[[#This Row],[Revenue]]/data[[#This Row],[TotalMiles]]</f>
        <v>10.328009828009828</v>
      </c>
      <c r="T1444" s="26">
        <f>data[[#This Row],[Revenue]]-data[[#This Row],[ShippingCost]]</f>
        <v>605</v>
      </c>
      <c r="U1444" s="17">
        <v>8407</v>
      </c>
      <c r="V1444" s="17">
        <v>99</v>
      </c>
      <c r="W1444" s="17" t="s">
        <v>25</v>
      </c>
      <c r="X1444" s="17">
        <v>10</v>
      </c>
      <c r="Y1444" s="17">
        <f>data[[#This Row],[DeliveryDate]]-data[[#This Row],[ShipDate]]</f>
        <v>2</v>
      </c>
      <c r="Z1444" s="17" t="str">
        <f>IF(data[[#This Row],[Actual Delivery Days]]&gt;AD1445,"Yes","No")</f>
        <v>Yes</v>
      </c>
    </row>
    <row r="1445" spans="1:26">
      <c r="A1445" s="17">
        <v>11411</v>
      </c>
      <c r="B1445" s="17">
        <v>3</v>
      </c>
      <c r="C1445" s="17">
        <v>3</v>
      </c>
      <c r="D1445" s="17" t="s">
        <v>511</v>
      </c>
      <c r="E1445" s="17" t="s">
        <v>72</v>
      </c>
      <c r="F1445" s="17" t="str">
        <f>TEXT(data[[#This Row],[ShipDate]],"yyyy - mmmm")</f>
        <v>2016 - January</v>
      </c>
      <c r="G1445" s="17" t="str">
        <f>data[[#This Row],[OriginCity]] &amp; " - "  &amp; data[[#This Row],[DestinationCity]]</f>
        <v>Grand Rapids - Toledo</v>
      </c>
      <c r="H1445" s="17" t="s">
        <v>20</v>
      </c>
      <c r="I1445" s="17" t="s">
        <v>21</v>
      </c>
      <c r="J1445" s="17">
        <v>2</v>
      </c>
      <c r="K1445" s="17" t="s">
        <v>22</v>
      </c>
      <c r="L1445" s="17" t="s">
        <v>23</v>
      </c>
      <c r="M1445" s="17" t="s">
        <v>264</v>
      </c>
      <c r="N1445" s="17">
        <v>338</v>
      </c>
      <c r="O1445" s="17">
        <v>338</v>
      </c>
      <c r="P1445" s="26">
        <f>(data[[#This Row],[LoadedMiles]]/data[[#This Row],[TotalMiles]])*100</f>
        <v>100</v>
      </c>
      <c r="Q1445" s="25">
        <f>data[[#This Row],[ShippingCost]]/data[[#This Row],[TotalMiles]]</f>
        <v>9.3550295857988157</v>
      </c>
      <c r="R1445" s="17">
        <v>3162</v>
      </c>
      <c r="S1445" s="25">
        <f>data[[#This Row],[Revenue]]/data[[#This Row],[TotalMiles]]</f>
        <v>9.896449704142011</v>
      </c>
      <c r="T1445" s="26">
        <f>data[[#This Row],[Revenue]]-data[[#This Row],[ShippingCost]]</f>
        <v>183</v>
      </c>
      <c r="U1445" s="17">
        <v>3345</v>
      </c>
      <c r="V1445" s="17">
        <v>76</v>
      </c>
      <c r="W1445" s="17" t="s">
        <v>25</v>
      </c>
      <c r="X1445" s="17">
        <v>10</v>
      </c>
      <c r="Y1445" s="17">
        <f>data[[#This Row],[DeliveryDate]]-data[[#This Row],[ShipDate]]</f>
        <v>1</v>
      </c>
      <c r="Z1445" s="17" t="str">
        <f>IF(data[[#This Row],[Actual Delivery Days]]&gt;AD1446,"Yes","No")</f>
        <v>Yes</v>
      </c>
    </row>
    <row r="1446" spans="1:26">
      <c r="A1446" s="17">
        <v>11412</v>
      </c>
      <c r="B1446" s="17">
        <v>3</v>
      </c>
      <c r="C1446" s="17">
        <v>2</v>
      </c>
      <c r="D1446" s="17" t="s">
        <v>512</v>
      </c>
      <c r="E1446" s="17" t="s">
        <v>108</v>
      </c>
      <c r="F1446" s="17" t="str">
        <f>TEXT(data[[#This Row],[ShipDate]],"yyyy - mmmm")</f>
        <v>2016 - May</v>
      </c>
      <c r="G1446" s="17" t="str">
        <f>data[[#This Row],[OriginCity]] &amp; " - "  &amp; data[[#This Row],[DestinationCity]]</f>
        <v>Milwaukee - Springfield</v>
      </c>
      <c r="H1446" s="17" t="s">
        <v>28</v>
      </c>
      <c r="I1446" s="17" t="s">
        <v>29</v>
      </c>
      <c r="J1446" s="17">
        <v>2</v>
      </c>
      <c r="K1446" s="17" t="s">
        <v>30</v>
      </c>
      <c r="L1446" s="17" t="s">
        <v>31</v>
      </c>
      <c r="M1446" s="17" t="s">
        <v>368</v>
      </c>
      <c r="N1446" s="17">
        <v>472</v>
      </c>
      <c r="O1446" s="17">
        <v>349</v>
      </c>
      <c r="P1446" s="26">
        <f>(data[[#This Row],[LoadedMiles]]/data[[#This Row],[TotalMiles]])*100</f>
        <v>73.940677966101703</v>
      </c>
      <c r="Q1446" s="25">
        <f>data[[#This Row],[ShippingCost]]/data[[#This Row],[TotalMiles]]</f>
        <v>14.533898305084746</v>
      </c>
      <c r="R1446" s="17">
        <v>6860</v>
      </c>
      <c r="S1446" s="25">
        <f>data[[#This Row],[Revenue]]/data[[#This Row],[TotalMiles]]</f>
        <v>15.879237288135593</v>
      </c>
      <c r="T1446" s="26">
        <f>data[[#This Row],[Revenue]]-data[[#This Row],[ShippingCost]]</f>
        <v>635</v>
      </c>
      <c r="U1446" s="17">
        <v>7495</v>
      </c>
      <c r="V1446" s="17">
        <v>82</v>
      </c>
      <c r="W1446" s="17" t="s">
        <v>25</v>
      </c>
      <c r="X1446" s="17">
        <v>8</v>
      </c>
      <c r="Y1446" s="17">
        <f>data[[#This Row],[DeliveryDate]]-data[[#This Row],[ShipDate]]</f>
        <v>2</v>
      </c>
      <c r="Z1446" s="17" t="str">
        <f>IF(data[[#This Row],[Actual Delivery Days]]&gt;AD1447,"Yes","No")</f>
        <v>Yes</v>
      </c>
    </row>
    <row r="1447" spans="1:26">
      <c r="A1447" s="17">
        <v>11416</v>
      </c>
      <c r="B1447" s="17">
        <v>3</v>
      </c>
      <c r="C1447" s="17">
        <v>2</v>
      </c>
      <c r="D1447" s="17" t="s">
        <v>518</v>
      </c>
      <c r="E1447" s="17" t="s">
        <v>253</v>
      </c>
      <c r="F1447" s="17" t="str">
        <f>TEXT(data[[#This Row],[ShipDate]],"yyyy - mmmm")</f>
        <v>2016 - April</v>
      </c>
      <c r="G1447" s="17" t="str">
        <f>data[[#This Row],[OriginCity]] &amp; " - "  &amp; data[[#This Row],[DestinationCity]]</f>
        <v>Detriot - Monon</v>
      </c>
      <c r="H1447" s="17" t="s">
        <v>52</v>
      </c>
      <c r="I1447" s="17" t="s">
        <v>21</v>
      </c>
      <c r="J1447" s="17">
        <v>2</v>
      </c>
      <c r="K1447" s="17" t="s">
        <v>53</v>
      </c>
      <c r="L1447" s="17" t="s">
        <v>44</v>
      </c>
      <c r="M1447" s="17" t="s">
        <v>51</v>
      </c>
      <c r="N1447" s="17">
        <v>259</v>
      </c>
      <c r="O1447" s="17">
        <v>231</v>
      </c>
      <c r="P1447" s="26">
        <f>(data[[#This Row],[LoadedMiles]]/data[[#This Row],[TotalMiles]])*100</f>
        <v>89.189189189189193</v>
      </c>
      <c r="Q1447" s="25">
        <f>data[[#This Row],[ShippingCost]]/data[[#This Row],[TotalMiles]]</f>
        <v>19.347490347490346</v>
      </c>
      <c r="R1447" s="17">
        <v>5011</v>
      </c>
      <c r="S1447" s="25">
        <f>data[[#This Row],[Revenue]]/data[[#This Row],[TotalMiles]]</f>
        <v>22.980694980694981</v>
      </c>
      <c r="T1447" s="26">
        <f>data[[#This Row],[Revenue]]-data[[#This Row],[ShippingCost]]</f>
        <v>941</v>
      </c>
      <c r="U1447" s="17">
        <v>5952</v>
      </c>
      <c r="V1447" s="17">
        <v>93</v>
      </c>
      <c r="W1447" s="17" t="s">
        <v>25</v>
      </c>
      <c r="X1447" s="17">
        <v>1</v>
      </c>
      <c r="Y1447" s="17">
        <f>data[[#This Row],[DeliveryDate]]-data[[#This Row],[ShipDate]]</f>
        <v>2</v>
      </c>
      <c r="Z1447" s="17" t="str">
        <f>IF(data[[#This Row],[Actual Delivery Days]]&gt;AD1448,"Yes","No")</f>
        <v>Yes</v>
      </c>
    </row>
    <row r="1448" spans="1:26">
      <c r="A1448" s="17">
        <v>11418</v>
      </c>
      <c r="B1448" s="17">
        <v>3</v>
      </c>
      <c r="C1448" s="17">
        <v>5</v>
      </c>
      <c r="D1448" s="17" t="s">
        <v>520</v>
      </c>
      <c r="E1448" s="17" t="s">
        <v>170</v>
      </c>
      <c r="F1448" s="17" t="str">
        <f>TEXT(data[[#This Row],[ShipDate]],"yyyy - mmmm")</f>
        <v>2016 - April</v>
      </c>
      <c r="G1448" s="17" t="str">
        <f>data[[#This Row],[OriginCity]] &amp; " - "  &amp; data[[#This Row],[DestinationCity]]</f>
        <v>Joliet - Madison</v>
      </c>
      <c r="H1448" s="17" t="s">
        <v>61</v>
      </c>
      <c r="I1448" s="17" t="s">
        <v>31</v>
      </c>
      <c r="J1448" s="17">
        <v>2</v>
      </c>
      <c r="K1448" s="17" t="s">
        <v>62</v>
      </c>
      <c r="L1448" s="17" t="s">
        <v>29</v>
      </c>
      <c r="M1448" s="17" t="s">
        <v>413</v>
      </c>
      <c r="N1448" s="17">
        <v>336</v>
      </c>
      <c r="O1448" s="17">
        <v>305</v>
      </c>
      <c r="P1448" s="26">
        <f>(data[[#This Row],[LoadedMiles]]/data[[#This Row],[TotalMiles]])*100</f>
        <v>90.773809523809518</v>
      </c>
      <c r="Q1448" s="25">
        <f>data[[#This Row],[ShippingCost]]/data[[#This Row],[TotalMiles]]</f>
        <v>23.68452380952381</v>
      </c>
      <c r="R1448" s="17">
        <v>7958</v>
      </c>
      <c r="S1448" s="25">
        <f>data[[#This Row],[Revenue]]/data[[#This Row],[TotalMiles]]</f>
        <v>25.577380952380953</v>
      </c>
      <c r="T1448" s="26">
        <f>data[[#This Row],[Revenue]]-data[[#This Row],[ShippingCost]]</f>
        <v>636</v>
      </c>
      <c r="U1448" s="17">
        <v>8594</v>
      </c>
      <c r="V1448" s="17">
        <v>66</v>
      </c>
      <c r="W1448" s="17" t="s">
        <v>25</v>
      </c>
      <c r="X1448" s="17">
        <v>10</v>
      </c>
      <c r="Y1448" s="17">
        <f>data[[#This Row],[DeliveryDate]]-data[[#This Row],[ShipDate]]</f>
        <v>1</v>
      </c>
      <c r="Z1448" s="17" t="str">
        <f>IF(data[[#This Row],[Actual Delivery Days]]&gt;AD1449,"Yes","No")</f>
        <v>Yes</v>
      </c>
    </row>
    <row r="1449" spans="1:26">
      <c r="A1449" s="17">
        <v>11423</v>
      </c>
      <c r="B1449" s="17">
        <v>3</v>
      </c>
      <c r="C1449" s="17">
        <v>5</v>
      </c>
      <c r="D1449" s="17" t="s">
        <v>529</v>
      </c>
      <c r="E1449" s="17" t="s">
        <v>171</v>
      </c>
      <c r="F1449" s="17" t="str">
        <f>TEXT(data[[#This Row],[ShipDate]],"yyyy - mmmm")</f>
        <v>2016 - April</v>
      </c>
      <c r="G1449" s="17" t="str">
        <f>data[[#This Row],[OriginCity]] &amp; " - "  &amp; data[[#This Row],[DestinationCity]]</f>
        <v>Cincinnati - Gary</v>
      </c>
      <c r="H1449" s="17" t="s">
        <v>89</v>
      </c>
      <c r="I1449" s="17" t="s">
        <v>23</v>
      </c>
      <c r="J1449" s="17">
        <v>2</v>
      </c>
      <c r="K1449" s="17" t="s">
        <v>57</v>
      </c>
      <c r="L1449" s="17" t="s">
        <v>44</v>
      </c>
      <c r="M1449" s="17" t="s">
        <v>47</v>
      </c>
      <c r="N1449" s="17">
        <v>279</v>
      </c>
      <c r="O1449" s="17">
        <v>231</v>
      </c>
      <c r="P1449" s="26">
        <f>(data[[#This Row],[LoadedMiles]]/data[[#This Row],[TotalMiles]])*100</f>
        <v>82.795698924731184</v>
      </c>
      <c r="Q1449" s="25">
        <f>data[[#This Row],[ShippingCost]]/data[[#This Row],[TotalMiles]]</f>
        <v>2.075268817204301</v>
      </c>
      <c r="R1449" s="17">
        <v>579</v>
      </c>
      <c r="S1449" s="25">
        <f>data[[#This Row],[Revenue]]/data[[#This Row],[TotalMiles]]</f>
        <v>3.5806451612903225</v>
      </c>
      <c r="T1449" s="26">
        <f>data[[#This Row],[Revenue]]-data[[#This Row],[ShippingCost]]</f>
        <v>420</v>
      </c>
      <c r="U1449" s="17">
        <v>999</v>
      </c>
      <c r="V1449" s="17">
        <v>79</v>
      </c>
      <c r="W1449" s="17" t="s">
        <v>25</v>
      </c>
      <c r="X1449" s="17">
        <v>9</v>
      </c>
      <c r="Y1449" s="17">
        <f>data[[#This Row],[DeliveryDate]]-data[[#This Row],[ShipDate]]</f>
        <v>2</v>
      </c>
      <c r="Z1449" s="17" t="str">
        <f>IF(data[[#This Row],[Actual Delivery Days]]&gt;AD1450,"Yes","No")</f>
        <v>Yes</v>
      </c>
    </row>
    <row r="1450" spans="1:26">
      <c r="A1450" s="17">
        <v>11425</v>
      </c>
      <c r="B1450" s="17">
        <v>2</v>
      </c>
      <c r="C1450" s="17">
        <v>6</v>
      </c>
      <c r="D1450" s="17" t="s">
        <v>533</v>
      </c>
      <c r="E1450" s="17" t="s">
        <v>344</v>
      </c>
      <c r="F1450" s="17" t="str">
        <f>TEXT(data[[#This Row],[ShipDate]],"yyyy - mmmm")</f>
        <v>2016 - May</v>
      </c>
      <c r="G1450" s="17" t="str">
        <f>data[[#This Row],[OriginCity]] &amp; " - "  &amp; data[[#This Row],[DestinationCity]]</f>
        <v>Toledo - Detriot</v>
      </c>
      <c r="H1450" s="17" t="s">
        <v>22</v>
      </c>
      <c r="I1450" s="17" t="s">
        <v>23</v>
      </c>
      <c r="J1450" s="17">
        <v>2</v>
      </c>
      <c r="K1450" s="17" t="s">
        <v>52</v>
      </c>
      <c r="L1450" s="17" t="s">
        <v>21</v>
      </c>
      <c r="M1450" s="17" t="s">
        <v>283</v>
      </c>
      <c r="N1450" s="17">
        <v>505</v>
      </c>
      <c r="O1450" s="17">
        <v>505</v>
      </c>
      <c r="P1450" s="26">
        <f>(data[[#This Row],[LoadedMiles]]/data[[#This Row],[TotalMiles]])*100</f>
        <v>100</v>
      </c>
      <c r="Q1450" s="25">
        <f>data[[#This Row],[ShippingCost]]/data[[#This Row],[TotalMiles]]</f>
        <v>1.3782178217821781</v>
      </c>
      <c r="R1450" s="17">
        <v>696</v>
      </c>
      <c r="S1450" s="25">
        <f>data[[#This Row],[Revenue]]/data[[#This Row],[TotalMiles]]</f>
        <v>1.8138613861386139</v>
      </c>
      <c r="T1450" s="26">
        <f>data[[#This Row],[Revenue]]-data[[#This Row],[ShippingCost]]</f>
        <v>220</v>
      </c>
      <c r="U1450" s="17">
        <v>916</v>
      </c>
      <c r="V1450" s="17">
        <v>77</v>
      </c>
      <c r="W1450" s="17" t="s">
        <v>25</v>
      </c>
      <c r="X1450" s="17">
        <v>5</v>
      </c>
      <c r="Y1450" s="17">
        <f>data[[#This Row],[DeliveryDate]]-data[[#This Row],[ShipDate]]</f>
        <v>2</v>
      </c>
      <c r="Z1450" s="17" t="str">
        <f>IF(data[[#This Row],[Actual Delivery Days]]&gt;AD1451,"Yes","No")</f>
        <v>Yes</v>
      </c>
    </row>
    <row r="1451" spans="1:26">
      <c r="A1451" s="17">
        <v>11430</v>
      </c>
      <c r="B1451" s="17">
        <v>2</v>
      </c>
      <c r="C1451" s="17">
        <v>3</v>
      </c>
      <c r="D1451" s="17" t="s">
        <v>541</v>
      </c>
      <c r="E1451" s="17" t="s">
        <v>453</v>
      </c>
      <c r="F1451" s="17" t="str">
        <f>TEXT(data[[#This Row],[ShipDate]],"yyyy - mmmm")</f>
        <v>2016 - March</v>
      </c>
      <c r="G1451" s="17" t="str">
        <f>data[[#This Row],[OriginCity]] &amp; " - "  &amp; data[[#This Row],[DestinationCity]]</f>
        <v>Kalamazoo - Bangor</v>
      </c>
      <c r="H1451" s="17" t="s">
        <v>71</v>
      </c>
      <c r="I1451" s="17" t="s">
        <v>21</v>
      </c>
      <c r="J1451" s="17">
        <v>2</v>
      </c>
      <c r="K1451" s="17" t="s">
        <v>104</v>
      </c>
      <c r="L1451" s="17" t="s">
        <v>21</v>
      </c>
      <c r="M1451" s="17" t="s">
        <v>272</v>
      </c>
      <c r="N1451" s="17">
        <v>492</v>
      </c>
      <c r="O1451" s="17">
        <v>492</v>
      </c>
      <c r="P1451" s="26">
        <f>(data[[#This Row],[LoadedMiles]]/data[[#This Row],[TotalMiles]])*100</f>
        <v>100</v>
      </c>
      <c r="Q1451" s="25">
        <f>data[[#This Row],[ShippingCost]]/data[[#This Row],[TotalMiles]]</f>
        <v>2.3252032520325203</v>
      </c>
      <c r="R1451" s="17">
        <v>1144</v>
      </c>
      <c r="S1451" s="25">
        <f>data[[#This Row],[Revenue]]/data[[#This Row],[TotalMiles]]</f>
        <v>3.565040650406504</v>
      </c>
      <c r="T1451" s="26">
        <f>data[[#This Row],[Revenue]]-data[[#This Row],[ShippingCost]]</f>
        <v>610</v>
      </c>
      <c r="U1451" s="17">
        <v>1754</v>
      </c>
      <c r="V1451" s="17">
        <v>73</v>
      </c>
      <c r="W1451" s="17" t="s">
        <v>25</v>
      </c>
      <c r="X1451" s="17">
        <v>8</v>
      </c>
      <c r="Y1451" s="17">
        <f>data[[#This Row],[DeliveryDate]]-data[[#This Row],[ShipDate]]</f>
        <v>2</v>
      </c>
      <c r="Z1451" s="17" t="str">
        <f>IF(data[[#This Row],[Actual Delivery Days]]&gt;AD1452,"Yes","No")</f>
        <v>Yes</v>
      </c>
    </row>
    <row r="1452" spans="1:26">
      <c r="A1452" s="17">
        <v>11441</v>
      </c>
      <c r="B1452" s="17">
        <v>3</v>
      </c>
      <c r="C1452" s="17">
        <v>6</v>
      </c>
      <c r="D1452" s="17" t="s">
        <v>555</v>
      </c>
      <c r="E1452" s="17" t="s">
        <v>274</v>
      </c>
      <c r="F1452" s="17" t="str">
        <f>TEXT(data[[#This Row],[ShipDate]],"yyyy - mmmm")</f>
        <v>2016 - March</v>
      </c>
      <c r="G1452" s="17" t="str">
        <f>data[[#This Row],[OriginCity]] &amp; " - "  &amp; data[[#This Row],[DestinationCity]]</f>
        <v>Madison - Kalamazoo</v>
      </c>
      <c r="H1452" s="17" t="s">
        <v>62</v>
      </c>
      <c r="I1452" s="17" t="s">
        <v>29</v>
      </c>
      <c r="J1452" s="17">
        <v>2</v>
      </c>
      <c r="K1452" s="17" t="s">
        <v>71</v>
      </c>
      <c r="L1452" s="17" t="s">
        <v>21</v>
      </c>
      <c r="M1452" s="17" t="s">
        <v>337</v>
      </c>
      <c r="N1452" s="17">
        <v>943</v>
      </c>
      <c r="O1452" s="17">
        <v>594</v>
      </c>
      <c r="P1452" s="26">
        <f>(data[[#This Row],[LoadedMiles]]/data[[#This Row],[TotalMiles]])*100</f>
        <v>62.990455991516434</v>
      </c>
      <c r="Q1452" s="25">
        <f>data[[#This Row],[ShippingCost]]/data[[#This Row],[TotalMiles]]</f>
        <v>1.7507953340402969</v>
      </c>
      <c r="R1452" s="17">
        <v>1651</v>
      </c>
      <c r="S1452" s="25">
        <f>data[[#This Row],[Revenue]]/data[[#This Row],[TotalMiles]]</f>
        <v>1.9490986214209969</v>
      </c>
      <c r="T1452" s="26">
        <f>data[[#This Row],[Revenue]]-data[[#This Row],[ShippingCost]]</f>
        <v>187</v>
      </c>
      <c r="U1452" s="17">
        <v>1838</v>
      </c>
      <c r="V1452" s="17">
        <v>82</v>
      </c>
      <c r="W1452" s="17" t="s">
        <v>86</v>
      </c>
      <c r="X1452" s="17">
        <v>4</v>
      </c>
      <c r="Y1452" s="17">
        <f>data[[#This Row],[DeliveryDate]]-data[[#This Row],[ShipDate]]</f>
        <v>2</v>
      </c>
      <c r="Z1452" s="17" t="str">
        <f>IF(data[[#This Row],[Actual Delivery Days]]&gt;AD1453,"Yes","No")</f>
        <v>Yes</v>
      </c>
    </row>
    <row r="1453" spans="1:26">
      <c r="A1453" s="17">
        <v>11444</v>
      </c>
      <c r="B1453" s="17">
        <v>2</v>
      </c>
      <c r="C1453" s="17">
        <v>2</v>
      </c>
      <c r="D1453" s="17" t="s">
        <v>558</v>
      </c>
      <c r="E1453" s="17" t="s">
        <v>332</v>
      </c>
      <c r="F1453" s="17" t="str">
        <f>TEXT(data[[#This Row],[ShipDate]],"yyyy - mmmm")</f>
        <v>2016 - February</v>
      </c>
      <c r="G1453" s="17" t="str">
        <f>data[[#This Row],[OriginCity]] &amp; " - "  &amp; data[[#This Row],[DestinationCity]]</f>
        <v>Rockford - Green Bay</v>
      </c>
      <c r="H1453" s="17" t="s">
        <v>40</v>
      </c>
      <c r="I1453" s="17" t="s">
        <v>31</v>
      </c>
      <c r="J1453" s="17">
        <v>2</v>
      </c>
      <c r="K1453" s="17" t="s">
        <v>75</v>
      </c>
      <c r="L1453" s="17" t="s">
        <v>29</v>
      </c>
      <c r="M1453" s="17" t="s">
        <v>611</v>
      </c>
      <c r="N1453" s="17">
        <v>1138</v>
      </c>
      <c r="O1453" s="17">
        <v>256</v>
      </c>
      <c r="P1453" s="26">
        <f>(data[[#This Row],[LoadedMiles]]/data[[#This Row],[TotalMiles]])*100</f>
        <v>22.495606326889277</v>
      </c>
      <c r="Q1453" s="25">
        <f>data[[#This Row],[ShippingCost]]/data[[#This Row],[TotalMiles]]</f>
        <v>3.7381370826010545</v>
      </c>
      <c r="R1453" s="17">
        <v>4254</v>
      </c>
      <c r="S1453" s="25">
        <f>data[[#This Row],[Revenue]]/data[[#This Row],[TotalMiles]]</f>
        <v>4.1309314586994725</v>
      </c>
      <c r="T1453" s="26">
        <f>data[[#This Row],[Revenue]]-data[[#This Row],[ShippingCost]]</f>
        <v>447</v>
      </c>
      <c r="U1453" s="17">
        <v>4701</v>
      </c>
      <c r="V1453" s="17">
        <v>61</v>
      </c>
      <c r="W1453" s="17" t="s">
        <v>25</v>
      </c>
      <c r="X1453" s="17">
        <v>7</v>
      </c>
      <c r="Y1453" s="17">
        <f>data[[#This Row],[DeliveryDate]]-data[[#This Row],[ShipDate]]</f>
        <v>2</v>
      </c>
      <c r="Z1453" s="17" t="str">
        <f>IF(data[[#This Row],[Actual Delivery Days]]&gt;AD1454,"Yes","No")</f>
        <v>Yes</v>
      </c>
    </row>
    <row r="1454" spans="1:26">
      <c r="A1454" s="17">
        <v>11447</v>
      </c>
      <c r="B1454" s="17">
        <v>3</v>
      </c>
      <c r="C1454" s="17">
        <v>5</v>
      </c>
      <c r="D1454" s="17" t="s">
        <v>561</v>
      </c>
      <c r="E1454" s="17" t="s">
        <v>153</v>
      </c>
      <c r="F1454" s="17" t="str">
        <f>TEXT(data[[#This Row],[ShipDate]],"yyyy - mmmm")</f>
        <v>2016 - February</v>
      </c>
      <c r="G1454" s="17" t="str">
        <f>data[[#This Row],[OriginCity]] &amp; " - "  &amp; data[[#This Row],[DestinationCity]]</f>
        <v>Dayton - Elgin</v>
      </c>
      <c r="H1454" s="17" t="s">
        <v>93</v>
      </c>
      <c r="I1454" s="17" t="s">
        <v>23</v>
      </c>
      <c r="J1454" s="17">
        <v>2</v>
      </c>
      <c r="K1454" s="17" t="s">
        <v>94</v>
      </c>
      <c r="L1454" s="17" t="s">
        <v>31</v>
      </c>
      <c r="M1454" s="17" t="s">
        <v>259</v>
      </c>
      <c r="N1454" s="17">
        <v>278</v>
      </c>
      <c r="O1454" s="17">
        <v>278</v>
      </c>
      <c r="P1454" s="26">
        <f>(data[[#This Row],[LoadedMiles]]/data[[#This Row],[TotalMiles]])*100</f>
        <v>100</v>
      </c>
      <c r="Q1454" s="25">
        <f>data[[#This Row],[ShippingCost]]/data[[#This Row],[TotalMiles]]</f>
        <v>2.6942446043165469</v>
      </c>
      <c r="R1454" s="17">
        <v>749</v>
      </c>
      <c r="S1454" s="25">
        <f>data[[#This Row],[Revenue]]/data[[#This Row],[TotalMiles]]</f>
        <v>4.3561151079136691</v>
      </c>
      <c r="T1454" s="26">
        <f>data[[#This Row],[Revenue]]-data[[#This Row],[ShippingCost]]</f>
        <v>462</v>
      </c>
      <c r="U1454" s="17">
        <v>1211</v>
      </c>
      <c r="V1454" s="17">
        <v>54</v>
      </c>
      <c r="W1454" s="17" t="s">
        <v>25</v>
      </c>
      <c r="X1454" s="17">
        <v>4</v>
      </c>
      <c r="Y1454" s="17">
        <f>data[[#This Row],[DeliveryDate]]-data[[#This Row],[ShipDate]]</f>
        <v>1</v>
      </c>
      <c r="Z1454" s="17" t="str">
        <f>IF(data[[#This Row],[Actual Delivery Days]]&gt;AD1455,"Yes","No")</f>
        <v>Yes</v>
      </c>
    </row>
    <row r="1455" spans="1:26">
      <c r="A1455" s="17">
        <v>11448</v>
      </c>
      <c r="B1455" s="17">
        <v>3</v>
      </c>
      <c r="C1455" s="17">
        <v>1</v>
      </c>
      <c r="D1455" s="17" t="s">
        <v>562</v>
      </c>
      <c r="E1455" s="17" t="s">
        <v>373</v>
      </c>
      <c r="F1455" s="17" t="str">
        <f>TEXT(data[[#This Row],[ShipDate]],"yyyy - mmmm")</f>
        <v>2016 - May</v>
      </c>
      <c r="G1455" s="17" t="str">
        <f>data[[#This Row],[OriginCity]] &amp; " - "  &amp; data[[#This Row],[DestinationCity]]</f>
        <v>Toledo - Detriot</v>
      </c>
      <c r="H1455" s="17" t="s">
        <v>22</v>
      </c>
      <c r="I1455" s="17" t="s">
        <v>23</v>
      </c>
      <c r="J1455" s="17">
        <v>2</v>
      </c>
      <c r="K1455" s="17" t="s">
        <v>52</v>
      </c>
      <c r="L1455" s="17" t="s">
        <v>21</v>
      </c>
      <c r="M1455" s="17" t="s">
        <v>344</v>
      </c>
      <c r="N1455" s="17">
        <v>248</v>
      </c>
      <c r="O1455" s="17">
        <v>248</v>
      </c>
      <c r="P1455" s="26">
        <f>(data[[#This Row],[LoadedMiles]]/data[[#This Row],[TotalMiles]])*100</f>
        <v>100</v>
      </c>
      <c r="Q1455" s="25">
        <f>data[[#This Row],[ShippingCost]]/data[[#This Row],[TotalMiles]]</f>
        <v>0.16935483870967741</v>
      </c>
      <c r="R1455" s="17">
        <v>42</v>
      </c>
      <c r="S1455" s="25">
        <f>data[[#This Row],[Revenue]]/data[[#This Row],[TotalMiles]]</f>
        <v>17.096774193548388</v>
      </c>
      <c r="T1455" s="26">
        <f>data[[#This Row],[Revenue]]-data[[#This Row],[ShippingCost]]</f>
        <v>4198</v>
      </c>
      <c r="U1455" s="17">
        <v>4240</v>
      </c>
      <c r="V1455" s="17">
        <v>51</v>
      </c>
      <c r="W1455" s="17" t="s">
        <v>25</v>
      </c>
      <c r="X1455" s="17">
        <v>9</v>
      </c>
      <c r="Y1455" s="17">
        <f>data[[#This Row],[DeliveryDate]]-data[[#This Row],[ShipDate]]</f>
        <v>2</v>
      </c>
      <c r="Z1455" s="17" t="str">
        <f>IF(data[[#This Row],[Actual Delivery Days]]&gt;AD1456,"Yes","No")</f>
        <v>Yes</v>
      </c>
    </row>
    <row r="1456" spans="1:26">
      <c r="A1456" s="17">
        <v>11449</v>
      </c>
      <c r="B1456" s="17">
        <v>2</v>
      </c>
      <c r="C1456" s="17">
        <v>4</v>
      </c>
      <c r="D1456" s="17" t="s">
        <v>563</v>
      </c>
      <c r="E1456" s="17" t="s">
        <v>499</v>
      </c>
      <c r="F1456" s="17" t="str">
        <f>TEXT(data[[#This Row],[ShipDate]],"yyyy - mmmm")</f>
        <v>2016 - July</v>
      </c>
      <c r="G1456" s="17" t="str">
        <f>data[[#This Row],[OriginCity]] &amp; " - "  &amp; data[[#This Row],[DestinationCity]]</f>
        <v>Lansing - Dayton</v>
      </c>
      <c r="H1456" s="17" t="s">
        <v>66</v>
      </c>
      <c r="I1456" s="17" t="s">
        <v>21</v>
      </c>
      <c r="J1456" s="17">
        <v>2</v>
      </c>
      <c r="K1456" s="17" t="s">
        <v>93</v>
      </c>
      <c r="L1456" s="17" t="s">
        <v>23</v>
      </c>
      <c r="M1456" s="17" t="s">
        <v>19</v>
      </c>
      <c r="N1456" s="17">
        <v>863</v>
      </c>
      <c r="O1456" s="17">
        <v>243</v>
      </c>
      <c r="P1456" s="26">
        <f>(data[[#This Row],[LoadedMiles]]/data[[#This Row],[TotalMiles]])*100</f>
        <v>28.157589803012744</v>
      </c>
      <c r="Q1456" s="25">
        <f>data[[#This Row],[ShippingCost]]/data[[#This Row],[TotalMiles]]</f>
        <v>3.062572421784473</v>
      </c>
      <c r="R1456" s="17">
        <v>2643</v>
      </c>
      <c r="S1456" s="25">
        <f>data[[#This Row],[Revenue]]/data[[#This Row],[TotalMiles]]</f>
        <v>0.89107763615295477</v>
      </c>
      <c r="T1456" s="26">
        <f>data[[#This Row],[Revenue]]-data[[#This Row],[ShippingCost]]</f>
        <v>-1874</v>
      </c>
      <c r="U1456" s="17">
        <v>769</v>
      </c>
      <c r="V1456" s="17">
        <v>53</v>
      </c>
      <c r="W1456" s="17" t="s">
        <v>25</v>
      </c>
      <c r="X1456" s="17">
        <v>6</v>
      </c>
      <c r="Y1456" s="17">
        <f>data[[#This Row],[DeliveryDate]]-data[[#This Row],[ShipDate]]</f>
        <v>2</v>
      </c>
      <c r="Z1456" s="17" t="str">
        <f>IF(data[[#This Row],[Actual Delivery Days]]&gt;AD1457,"Yes","No")</f>
        <v>Yes</v>
      </c>
    </row>
    <row r="1457" spans="1:26">
      <c r="A1457" s="17">
        <v>11451</v>
      </c>
      <c r="B1457" s="17">
        <v>3</v>
      </c>
      <c r="C1457" s="17">
        <v>2</v>
      </c>
      <c r="D1457" s="17" t="s">
        <v>565</v>
      </c>
      <c r="E1457" s="17" t="s">
        <v>49</v>
      </c>
      <c r="F1457" s="17" t="str">
        <f>TEXT(data[[#This Row],[ShipDate]],"yyyy - mmmm")</f>
        <v>2016 - April</v>
      </c>
      <c r="G1457" s="17" t="str">
        <f>data[[#This Row],[OriginCity]] &amp; " - "  &amp; data[[#This Row],[DestinationCity]]</f>
        <v>Elgin - Cincinnati</v>
      </c>
      <c r="H1457" s="17" t="s">
        <v>94</v>
      </c>
      <c r="I1457" s="17" t="s">
        <v>31</v>
      </c>
      <c r="J1457" s="17">
        <v>2</v>
      </c>
      <c r="K1457" s="17" t="s">
        <v>89</v>
      </c>
      <c r="L1457" s="17" t="s">
        <v>23</v>
      </c>
      <c r="M1457" s="17" t="s">
        <v>624</v>
      </c>
      <c r="N1457" s="17">
        <v>1031</v>
      </c>
      <c r="O1457" s="17">
        <v>541</v>
      </c>
      <c r="P1457" s="26">
        <f>(data[[#This Row],[LoadedMiles]]/data[[#This Row],[TotalMiles]])*100</f>
        <v>52.473326867119297</v>
      </c>
      <c r="Q1457" s="25">
        <f>data[[#This Row],[ShippingCost]]/data[[#This Row],[TotalMiles]]</f>
        <v>6.2308438409311346</v>
      </c>
      <c r="R1457" s="17">
        <v>6424</v>
      </c>
      <c r="S1457" s="25">
        <f>data[[#This Row],[Revenue]]/data[[#This Row],[TotalMiles]]</f>
        <v>6.8234723569350146</v>
      </c>
      <c r="T1457" s="26">
        <f>data[[#This Row],[Revenue]]-data[[#This Row],[ShippingCost]]</f>
        <v>611</v>
      </c>
      <c r="U1457" s="17">
        <v>7035</v>
      </c>
      <c r="V1457" s="17">
        <v>84</v>
      </c>
      <c r="W1457" s="17" t="s">
        <v>25</v>
      </c>
      <c r="X1457" s="17">
        <v>9</v>
      </c>
      <c r="Y1457" s="17">
        <f>data[[#This Row],[DeliveryDate]]-data[[#This Row],[ShipDate]]</f>
        <v>2</v>
      </c>
      <c r="Z1457" s="17" t="str">
        <f>IF(data[[#This Row],[Actual Delivery Days]]&gt;AD1458,"Yes","No")</f>
        <v>Yes</v>
      </c>
    </row>
    <row r="1458" spans="1:26">
      <c r="A1458" s="17">
        <v>11452</v>
      </c>
      <c r="B1458" s="17">
        <v>3</v>
      </c>
      <c r="C1458" s="17">
        <v>1</v>
      </c>
      <c r="D1458" s="17" t="s">
        <v>566</v>
      </c>
      <c r="E1458" s="17" t="s">
        <v>221</v>
      </c>
      <c r="F1458" s="17" t="str">
        <f>TEXT(data[[#This Row],[ShipDate]],"yyyy - mmmm")</f>
        <v>2016 - April</v>
      </c>
      <c r="G1458" s="17" t="str">
        <f>data[[#This Row],[OriginCity]] &amp; " - "  &amp; data[[#This Row],[DestinationCity]]</f>
        <v>Skokie - Chicago</v>
      </c>
      <c r="H1458" s="17" t="s">
        <v>35</v>
      </c>
      <c r="I1458" s="17" t="s">
        <v>31</v>
      </c>
      <c r="J1458" s="17">
        <v>2</v>
      </c>
      <c r="K1458" s="17" t="s">
        <v>39</v>
      </c>
      <c r="L1458" s="17" t="s">
        <v>31</v>
      </c>
      <c r="M1458" s="17" t="s">
        <v>158</v>
      </c>
      <c r="N1458" s="17">
        <v>271</v>
      </c>
      <c r="O1458" s="17">
        <v>271</v>
      </c>
      <c r="P1458" s="26">
        <f>(data[[#This Row],[LoadedMiles]]/data[[#This Row],[TotalMiles]])*100</f>
        <v>100</v>
      </c>
      <c r="Q1458" s="25">
        <f>data[[#This Row],[ShippingCost]]/data[[#This Row],[TotalMiles]]</f>
        <v>6.9815498154981546</v>
      </c>
      <c r="R1458" s="17">
        <v>1892</v>
      </c>
      <c r="S1458" s="25">
        <f>data[[#This Row],[Revenue]]/data[[#This Row],[TotalMiles]]</f>
        <v>22.726937269372694</v>
      </c>
      <c r="T1458" s="26">
        <f>data[[#This Row],[Revenue]]-data[[#This Row],[ShippingCost]]</f>
        <v>4267</v>
      </c>
      <c r="U1458" s="17">
        <v>6159</v>
      </c>
      <c r="V1458" s="17">
        <v>69</v>
      </c>
      <c r="W1458" s="17" t="s">
        <v>25</v>
      </c>
      <c r="X1458" s="17">
        <v>1</v>
      </c>
      <c r="Y1458" s="17">
        <f>data[[#This Row],[DeliveryDate]]-data[[#This Row],[ShipDate]]</f>
        <v>2</v>
      </c>
      <c r="Z1458" s="17" t="str">
        <f>IF(data[[#This Row],[Actual Delivery Days]]&gt;AD1459,"Yes","No")</f>
        <v>Yes</v>
      </c>
    </row>
    <row r="1459" spans="1:26">
      <c r="A1459" s="17">
        <v>11453</v>
      </c>
      <c r="B1459" s="17">
        <v>3</v>
      </c>
      <c r="C1459" s="17">
        <v>2</v>
      </c>
      <c r="D1459" s="17" t="s">
        <v>568</v>
      </c>
      <c r="E1459" s="17" t="s">
        <v>149</v>
      </c>
      <c r="F1459" s="17" t="str">
        <f>TEXT(data[[#This Row],[ShipDate]],"yyyy - mmmm")</f>
        <v>2016 - July</v>
      </c>
      <c r="G1459" s="17" t="str">
        <f>data[[#This Row],[OriginCity]] &amp; " - "  &amp; data[[#This Row],[DestinationCity]]</f>
        <v>Kalamazoo - Bangor</v>
      </c>
      <c r="H1459" s="17" t="s">
        <v>71</v>
      </c>
      <c r="I1459" s="17" t="s">
        <v>21</v>
      </c>
      <c r="J1459" s="17">
        <v>2</v>
      </c>
      <c r="K1459" s="17" t="s">
        <v>104</v>
      </c>
      <c r="L1459" s="17" t="s">
        <v>21</v>
      </c>
      <c r="M1459" s="17" t="s">
        <v>492</v>
      </c>
      <c r="N1459" s="17">
        <v>480</v>
      </c>
      <c r="O1459" s="17">
        <v>335</v>
      </c>
      <c r="P1459" s="26">
        <f>(data[[#This Row],[LoadedMiles]]/data[[#This Row],[TotalMiles]])*100</f>
        <v>69.791666666666657</v>
      </c>
      <c r="Q1459" s="25">
        <f>data[[#This Row],[ShippingCost]]/data[[#This Row],[TotalMiles]]</f>
        <v>4.4249999999999998</v>
      </c>
      <c r="R1459" s="17">
        <v>2124</v>
      </c>
      <c r="S1459" s="25">
        <f>data[[#This Row],[Revenue]]/data[[#This Row],[TotalMiles]]</f>
        <v>5.4874999999999998</v>
      </c>
      <c r="T1459" s="26">
        <f>data[[#This Row],[Revenue]]-data[[#This Row],[ShippingCost]]</f>
        <v>510</v>
      </c>
      <c r="U1459" s="17">
        <v>2634</v>
      </c>
      <c r="V1459" s="17">
        <v>61</v>
      </c>
      <c r="W1459" s="17" t="s">
        <v>25</v>
      </c>
      <c r="X1459" s="17">
        <v>2</v>
      </c>
      <c r="Y1459" s="17">
        <f>data[[#This Row],[DeliveryDate]]-data[[#This Row],[ShipDate]]</f>
        <v>2</v>
      </c>
      <c r="Z1459" s="17" t="str">
        <f>IF(data[[#This Row],[Actual Delivery Days]]&gt;AD1460,"Yes","No")</f>
        <v>Yes</v>
      </c>
    </row>
    <row r="1460" spans="1:26">
      <c r="A1460" s="17">
        <v>11455</v>
      </c>
      <c r="B1460" s="17">
        <v>2</v>
      </c>
      <c r="C1460" s="17">
        <v>3</v>
      </c>
      <c r="D1460" s="17" t="s">
        <v>570</v>
      </c>
      <c r="E1460" s="17" t="s">
        <v>252</v>
      </c>
      <c r="F1460" s="17" t="str">
        <f>TEXT(data[[#This Row],[ShipDate]],"yyyy - mmmm")</f>
        <v>2016 - March</v>
      </c>
      <c r="G1460" s="17" t="str">
        <f>data[[#This Row],[OriginCity]] &amp; " - "  &amp; data[[#This Row],[DestinationCity]]</f>
        <v>Grand Rapids - Toledo</v>
      </c>
      <c r="H1460" s="17" t="s">
        <v>20</v>
      </c>
      <c r="I1460" s="17" t="s">
        <v>21</v>
      </c>
      <c r="J1460" s="17">
        <v>2</v>
      </c>
      <c r="K1460" s="17" t="s">
        <v>22</v>
      </c>
      <c r="L1460" s="17" t="s">
        <v>23</v>
      </c>
      <c r="M1460" s="17" t="s">
        <v>252</v>
      </c>
      <c r="N1460" s="17">
        <v>741</v>
      </c>
      <c r="O1460" s="17">
        <v>366</v>
      </c>
      <c r="P1460" s="26">
        <f>(data[[#This Row],[LoadedMiles]]/data[[#This Row],[TotalMiles]])*100</f>
        <v>49.392712550607285</v>
      </c>
      <c r="Q1460" s="25">
        <f>data[[#This Row],[ShippingCost]]/data[[#This Row],[TotalMiles]]</f>
        <v>7.2982456140350873</v>
      </c>
      <c r="R1460" s="17">
        <v>5408</v>
      </c>
      <c r="S1460" s="25">
        <f>data[[#This Row],[Revenue]]/data[[#This Row],[TotalMiles]]</f>
        <v>8.3225371120107958</v>
      </c>
      <c r="T1460" s="26">
        <f>data[[#This Row],[Revenue]]-data[[#This Row],[ShippingCost]]</f>
        <v>759</v>
      </c>
      <c r="U1460" s="17">
        <v>6167</v>
      </c>
      <c r="V1460" s="17">
        <v>71</v>
      </c>
      <c r="W1460" s="17" t="s">
        <v>25</v>
      </c>
      <c r="X1460" s="17">
        <v>10</v>
      </c>
      <c r="Y1460" s="17">
        <f>data[[#This Row],[DeliveryDate]]-data[[#This Row],[ShipDate]]</f>
        <v>0</v>
      </c>
      <c r="Z1460" s="17" t="str">
        <f>IF(data[[#This Row],[Actual Delivery Days]]&gt;AD1461,"Yes","No")</f>
        <v>No</v>
      </c>
    </row>
    <row r="1461" spans="1:26">
      <c r="A1461" s="17">
        <v>11461</v>
      </c>
      <c r="B1461" s="17">
        <v>2</v>
      </c>
      <c r="C1461" s="17">
        <v>4</v>
      </c>
      <c r="D1461" s="17" t="s">
        <v>577</v>
      </c>
      <c r="E1461" s="17" t="s">
        <v>36</v>
      </c>
      <c r="F1461" s="17" t="str">
        <f>TEXT(data[[#This Row],[ShipDate]],"yyyy - mmmm")</f>
        <v>2016 - August</v>
      </c>
      <c r="G1461" s="17" t="str">
        <f>data[[#This Row],[OriginCity]] &amp; " - "  &amp; data[[#This Row],[DestinationCity]]</f>
        <v>Detriot - Monon</v>
      </c>
      <c r="H1461" s="17" t="s">
        <v>52</v>
      </c>
      <c r="I1461" s="17" t="s">
        <v>21</v>
      </c>
      <c r="J1461" s="17">
        <v>2</v>
      </c>
      <c r="K1461" s="17" t="s">
        <v>53</v>
      </c>
      <c r="L1461" s="17" t="s">
        <v>44</v>
      </c>
      <c r="M1461" s="17" t="s">
        <v>243</v>
      </c>
      <c r="N1461" s="17">
        <v>684</v>
      </c>
      <c r="O1461" s="17">
        <v>590</v>
      </c>
      <c r="P1461" s="26">
        <f>(data[[#This Row],[LoadedMiles]]/data[[#This Row],[TotalMiles]])*100</f>
        <v>86.257309941520461</v>
      </c>
      <c r="Q1461" s="25">
        <f>data[[#This Row],[ShippingCost]]/data[[#This Row],[TotalMiles]]</f>
        <v>10.776315789473685</v>
      </c>
      <c r="R1461" s="17">
        <v>7371</v>
      </c>
      <c r="S1461" s="25">
        <f>data[[#This Row],[Revenue]]/data[[#This Row],[TotalMiles]]</f>
        <v>7.3538011695906436</v>
      </c>
      <c r="T1461" s="26">
        <f>data[[#This Row],[Revenue]]-data[[#This Row],[ShippingCost]]</f>
        <v>-2341</v>
      </c>
      <c r="U1461" s="17">
        <v>5030</v>
      </c>
      <c r="V1461" s="17">
        <v>50</v>
      </c>
      <c r="W1461" s="17" t="s">
        <v>86</v>
      </c>
      <c r="X1461" s="17">
        <v>5</v>
      </c>
      <c r="Y1461" s="17">
        <f>data[[#This Row],[DeliveryDate]]-data[[#This Row],[ShipDate]]</f>
        <v>2</v>
      </c>
      <c r="Z1461" s="17" t="str">
        <f>IF(data[[#This Row],[Actual Delivery Days]]&gt;AD1462,"Yes","No")</f>
        <v>Yes</v>
      </c>
    </row>
    <row r="1462" spans="1:26">
      <c r="A1462" s="17">
        <v>11468</v>
      </c>
      <c r="B1462" s="17">
        <v>2</v>
      </c>
      <c r="C1462" s="17">
        <v>6</v>
      </c>
      <c r="D1462" s="17" t="s">
        <v>586</v>
      </c>
      <c r="E1462" s="17" t="s">
        <v>212</v>
      </c>
      <c r="F1462" s="17" t="str">
        <f>TEXT(data[[#This Row],[ShipDate]],"yyyy - mmmm")</f>
        <v>2016 - August</v>
      </c>
      <c r="G1462" s="17" t="str">
        <f>data[[#This Row],[OriginCity]] &amp; " - "  &amp; data[[#This Row],[DestinationCity]]</f>
        <v>Appleton - Grand Rapids</v>
      </c>
      <c r="H1462" s="17" t="s">
        <v>85</v>
      </c>
      <c r="I1462" s="17" t="s">
        <v>29</v>
      </c>
      <c r="J1462" s="17">
        <v>2</v>
      </c>
      <c r="K1462" s="17" t="s">
        <v>20</v>
      </c>
      <c r="L1462" s="17" t="s">
        <v>21</v>
      </c>
      <c r="M1462" s="17" t="s">
        <v>214</v>
      </c>
      <c r="N1462" s="17">
        <v>1086</v>
      </c>
      <c r="O1462" s="17">
        <v>206</v>
      </c>
      <c r="P1462" s="26">
        <f>(data[[#This Row],[LoadedMiles]]/data[[#This Row],[TotalMiles]])*100</f>
        <v>18.96869244935543</v>
      </c>
      <c r="Q1462" s="25">
        <f>data[[#This Row],[ShippingCost]]/data[[#This Row],[TotalMiles]]</f>
        <v>5.8766114180478821</v>
      </c>
      <c r="R1462" s="17">
        <v>6382</v>
      </c>
      <c r="S1462" s="25">
        <f>data[[#This Row],[Revenue]]/data[[#This Row],[TotalMiles]]</f>
        <v>6.0202578268876614</v>
      </c>
      <c r="T1462" s="26">
        <f>data[[#This Row],[Revenue]]-data[[#This Row],[ShippingCost]]</f>
        <v>156</v>
      </c>
      <c r="U1462" s="17">
        <v>6538</v>
      </c>
      <c r="V1462" s="17">
        <v>53</v>
      </c>
      <c r="W1462" s="17" t="s">
        <v>25</v>
      </c>
      <c r="X1462" s="17">
        <v>9</v>
      </c>
      <c r="Y1462" s="17">
        <f>data[[#This Row],[DeliveryDate]]-data[[#This Row],[ShipDate]]</f>
        <v>2</v>
      </c>
      <c r="Z1462" s="17" t="str">
        <f>IF(data[[#This Row],[Actual Delivery Days]]&gt;AD1463,"Yes","No")</f>
        <v>Yes</v>
      </c>
    </row>
    <row r="1463" spans="1:26">
      <c r="A1463" s="17">
        <v>11479</v>
      </c>
      <c r="B1463" s="17">
        <v>2</v>
      </c>
      <c r="C1463" s="17">
        <v>5</v>
      </c>
      <c r="D1463" s="17" t="s">
        <v>600</v>
      </c>
      <c r="E1463" s="17" t="s">
        <v>209</v>
      </c>
      <c r="F1463" s="17" t="str">
        <f>TEXT(data[[#This Row],[ShipDate]],"yyyy - mmmm")</f>
        <v>2016 - March</v>
      </c>
      <c r="G1463" s="17" t="str">
        <f>data[[#This Row],[OriginCity]] &amp; " - "  &amp; data[[#This Row],[DestinationCity]]</f>
        <v>Springfield - Skokie</v>
      </c>
      <c r="H1463" s="17" t="s">
        <v>30</v>
      </c>
      <c r="I1463" s="17" t="s">
        <v>31</v>
      </c>
      <c r="J1463" s="17">
        <v>2</v>
      </c>
      <c r="K1463" s="17" t="s">
        <v>35</v>
      </c>
      <c r="L1463" s="17" t="s">
        <v>31</v>
      </c>
      <c r="M1463" s="17" t="s">
        <v>352</v>
      </c>
      <c r="N1463" s="17">
        <v>233</v>
      </c>
      <c r="O1463" s="17">
        <v>203</v>
      </c>
      <c r="P1463" s="26">
        <f>(data[[#This Row],[LoadedMiles]]/data[[#This Row],[TotalMiles]])*100</f>
        <v>87.124463519313295</v>
      </c>
      <c r="Q1463" s="25">
        <f>data[[#This Row],[ShippingCost]]/data[[#This Row],[TotalMiles]]</f>
        <v>24.137339055793991</v>
      </c>
      <c r="R1463" s="17">
        <v>5624</v>
      </c>
      <c r="S1463" s="25">
        <f>data[[#This Row],[Revenue]]/data[[#This Row],[TotalMiles]]</f>
        <v>25.751072961373392</v>
      </c>
      <c r="T1463" s="26">
        <f>data[[#This Row],[Revenue]]-data[[#This Row],[ShippingCost]]</f>
        <v>376</v>
      </c>
      <c r="U1463" s="17">
        <v>6000</v>
      </c>
      <c r="V1463" s="17">
        <v>95</v>
      </c>
      <c r="W1463" s="17" t="s">
        <v>86</v>
      </c>
      <c r="X1463" s="17">
        <v>4</v>
      </c>
      <c r="Y1463" s="17">
        <f>data[[#This Row],[DeliveryDate]]-data[[#This Row],[ShipDate]]</f>
        <v>2</v>
      </c>
      <c r="Z1463" s="17" t="str">
        <f>IF(data[[#This Row],[Actual Delivery Days]]&gt;AD1464,"Yes","No")</f>
        <v>Yes</v>
      </c>
    </row>
    <row r="1464" spans="1:26">
      <c r="A1464" s="17">
        <v>11487</v>
      </c>
      <c r="B1464" s="17">
        <v>3</v>
      </c>
      <c r="C1464" s="17">
        <v>1</v>
      </c>
      <c r="D1464" s="17" t="s">
        <v>37</v>
      </c>
      <c r="E1464" s="17" t="s">
        <v>379</v>
      </c>
      <c r="F1464" s="17" t="str">
        <f>TEXT(data[[#This Row],[ShipDate]],"yyyy - mmmm")</f>
        <v>2016 - February</v>
      </c>
      <c r="G1464" s="17" t="str">
        <f>data[[#This Row],[OriginCity]] &amp; " - "  &amp; data[[#This Row],[DestinationCity]]</f>
        <v>Green Bay - Joliet</v>
      </c>
      <c r="H1464" s="17" t="s">
        <v>75</v>
      </c>
      <c r="I1464" s="17" t="s">
        <v>29</v>
      </c>
      <c r="J1464" s="17">
        <v>2</v>
      </c>
      <c r="K1464" s="17" t="s">
        <v>61</v>
      </c>
      <c r="L1464" s="17" t="s">
        <v>31</v>
      </c>
      <c r="M1464" s="17" t="s">
        <v>88</v>
      </c>
      <c r="N1464" s="17">
        <v>702</v>
      </c>
      <c r="O1464" s="17">
        <v>222</v>
      </c>
      <c r="P1464" s="26">
        <f>(data[[#This Row],[LoadedMiles]]/data[[#This Row],[TotalMiles]])*100</f>
        <v>31.623931623931622</v>
      </c>
      <c r="Q1464" s="25">
        <f>data[[#This Row],[ShippingCost]]/data[[#This Row],[TotalMiles]]</f>
        <v>2.0071225071225069</v>
      </c>
      <c r="R1464" s="17">
        <v>1409</v>
      </c>
      <c r="S1464" s="25">
        <f>data[[#This Row],[Revenue]]/data[[#This Row],[TotalMiles]]</f>
        <v>8.3803418803418808</v>
      </c>
      <c r="T1464" s="26">
        <f>data[[#This Row],[Revenue]]-data[[#This Row],[ShippingCost]]</f>
        <v>4474</v>
      </c>
      <c r="U1464" s="17">
        <v>5883</v>
      </c>
      <c r="V1464" s="17">
        <v>81</v>
      </c>
      <c r="W1464" s="17" t="s">
        <v>25</v>
      </c>
      <c r="X1464" s="17">
        <v>4</v>
      </c>
      <c r="Y1464" s="17">
        <f>data[[#This Row],[DeliveryDate]]-data[[#This Row],[ShipDate]]</f>
        <v>2</v>
      </c>
      <c r="Z1464" s="17" t="str">
        <f>IF(data[[#This Row],[Actual Delivery Days]]&gt;AD1465,"Yes","No")</f>
        <v>Yes</v>
      </c>
    </row>
    <row r="1465" spans="1:26">
      <c r="A1465" s="17">
        <v>11488</v>
      </c>
      <c r="B1465" s="17">
        <v>3</v>
      </c>
      <c r="C1465" s="17">
        <v>3</v>
      </c>
      <c r="D1465" s="17" t="s">
        <v>41</v>
      </c>
      <c r="E1465" s="17" t="s">
        <v>413</v>
      </c>
      <c r="F1465" s="17" t="str">
        <f>TEXT(data[[#This Row],[ShipDate]],"yyyy - mmmm")</f>
        <v>2016 - April</v>
      </c>
      <c r="G1465" s="17" t="str">
        <f>data[[#This Row],[OriginCity]] &amp; " - "  &amp; data[[#This Row],[DestinationCity]]</f>
        <v>Naperville - Indianapolis</v>
      </c>
      <c r="H1465" s="17" t="s">
        <v>48</v>
      </c>
      <c r="I1465" s="17" t="s">
        <v>31</v>
      </c>
      <c r="J1465" s="17">
        <v>2</v>
      </c>
      <c r="K1465" s="17" t="s">
        <v>43</v>
      </c>
      <c r="L1465" s="17" t="s">
        <v>44</v>
      </c>
      <c r="M1465" s="17" t="s">
        <v>47</v>
      </c>
      <c r="N1465" s="17">
        <v>868</v>
      </c>
      <c r="O1465" s="17">
        <v>349</v>
      </c>
      <c r="P1465" s="26">
        <f>(data[[#This Row],[LoadedMiles]]/data[[#This Row],[TotalMiles]])*100</f>
        <v>40.207373271889402</v>
      </c>
      <c r="Q1465" s="25">
        <f>data[[#This Row],[ShippingCost]]/data[[#This Row],[TotalMiles]]</f>
        <v>8.5368663594470053</v>
      </c>
      <c r="R1465" s="17">
        <v>7410</v>
      </c>
      <c r="S1465" s="25">
        <f>data[[#This Row],[Revenue]]/data[[#This Row],[TotalMiles]]</f>
        <v>9.5138248847926263</v>
      </c>
      <c r="T1465" s="26">
        <f>data[[#This Row],[Revenue]]-data[[#This Row],[ShippingCost]]</f>
        <v>848</v>
      </c>
      <c r="U1465" s="17">
        <v>8258</v>
      </c>
      <c r="V1465" s="17">
        <v>88</v>
      </c>
      <c r="W1465" s="17" t="s">
        <v>25</v>
      </c>
      <c r="X1465" s="17">
        <v>6</v>
      </c>
      <c r="Y1465" s="17">
        <f>data[[#This Row],[DeliveryDate]]-data[[#This Row],[ShipDate]]</f>
        <v>4</v>
      </c>
      <c r="Z1465" s="17" t="str">
        <f>IF(data[[#This Row],[Actual Delivery Days]]&gt;AD1466,"Yes","No")</f>
        <v>Yes</v>
      </c>
    </row>
    <row r="1466" spans="1:26">
      <c r="A1466" s="17">
        <v>11490</v>
      </c>
      <c r="B1466" s="17">
        <v>2</v>
      </c>
      <c r="C1466" s="17">
        <v>2</v>
      </c>
      <c r="D1466" s="17" t="s">
        <v>50</v>
      </c>
      <c r="E1466" s="17" t="s">
        <v>109</v>
      </c>
      <c r="F1466" s="17" t="str">
        <f>TEXT(data[[#This Row],[ShipDate]],"yyyy - mmmm")</f>
        <v>2016 - May</v>
      </c>
      <c r="G1466" s="17" t="str">
        <f>data[[#This Row],[OriginCity]] &amp; " - "  &amp; data[[#This Row],[DestinationCity]]</f>
        <v>Appleton - Grand Rapids</v>
      </c>
      <c r="H1466" s="17" t="s">
        <v>85</v>
      </c>
      <c r="I1466" s="17" t="s">
        <v>29</v>
      </c>
      <c r="J1466" s="17">
        <v>2</v>
      </c>
      <c r="K1466" s="17" t="s">
        <v>20</v>
      </c>
      <c r="L1466" s="17" t="s">
        <v>21</v>
      </c>
      <c r="M1466" s="17" t="s">
        <v>616</v>
      </c>
      <c r="N1466" s="17">
        <v>518</v>
      </c>
      <c r="O1466" s="17">
        <v>426</v>
      </c>
      <c r="P1466" s="26">
        <f>(data[[#This Row],[LoadedMiles]]/data[[#This Row],[TotalMiles]])*100</f>
        <v>82.239382239382238</v>
      </c>
      <c r="Q1466" s="25">
        <f>data[[#This Row],[ShippingCost]]/data[[#This Row],[TotalMiles]]</f>
        <v>0.62548262548262545</v>
      </c>
      <c r="R1466" s="17">
        <v>324</v>
      </c>
      <c r="S1466" s="25">
        <f>data[[#This Row],[Revenue]]/data[[#This Row],[TotalMiles]]</f>
        <v>2.5559845559845562</v>
      </c>
      <c r="T1466" s="26">
        <f>data[[#This Row],[Revenue]]-data[[#This Row],[ShippingCost]]</f>
        <v>1000</v>
      </c>
      <c r="U1466" s="17">
        <v>1324</v>
      </c>
      <c r="V1466" s="17">
        <v>76</v>
      </c>
      <c r="W1466" s="17" t="s">
        <v>25</v>
      </c>
      <c r="X1466" s="17">
        <v>2</v>
      </c>
      <c r="Y1466" s="17">
        <f>data[[#This Row],[DeliveryDate]]-data[[#This Row],[ShipDate]]</f>
        <v>2</v>
      </c>
      <c r="Z1466" s="17" t="str">
        <f>IF(data[[#This Row],[Actual Delivery Days]]&gt;AD1467,"Yes","No")</f>
        <v>Yes</v>
      </c>
    </row>
    <row r="1467" spans="1:26">
      <c r="A1467" s="17">
        <v>11491</v>
      </c>
      <c r="B1467" s="17">
        <v>3</v>
      </c>
      <c r="C1467" s="17">
        <v>2</v>
      </c>
      <c r="D1467" s="17" t="s">
        <v>55</v>
      </c>
      <c r="E1467" s="17" t="s">
        <v>454</v>
      </c>
      <c r="F1467" s="17" t="str">
        <f>TEXT(data[[#This Row],[ShipDate]],"yyyy - mmmm")</f>
        <v>2016 - March</v>
      </c>
      <c r="G1467" s="17" t="str">
        <f>data[[#This Row],[OriginCity]] &amp; " - "  &amp; data[[#This Row],[DestinationCity]]</f>
        <v>Cincinnati - Gary</v>
      </c>
      <c r="H1467" s="17" t="s">
        <v>89</v>
      </c>
      <c r="I1467" s="17" t="s">
        <v>23</v>
      </c>
      <c r="J1467" s="17">
        <v>2</v>
      </c>
      <c r="K1467" s="17" t="s">
        <v>57</v>
      </c>
      <c r="L1467" s="17" t="s">
        <v>44</v>
      </c>
      <c r="M1467" s="17" t="s">
        <v>355</v>
      </c>
      <c r="N1467" s="17">
        <v>1127</v>
      </c>
      <c r="O1467" s="17">
        <v>659</v>
      </c>
      <c r="P1467" s="26">
        <f>(data[[#This Row],[LoadedMiles]]/data[[#This Row],[TotalMiles]])*100</f>
        <v>58.473824312333633</v>
      </c>
      <c r="Q1467" s="25">
        <f>data[[#This Row],[ShippingCost]]/data[[#This Row],[TotalMiles]]</f>
        <v>4.1401952085181897</v>
      </c>
      <c r="R1467" s="17">
        <v>4666</v>
      </c>
      <c r="S1467" s="25">
        <f>data[[#This Row],[Revenue]]/data[[#This Row],[TotalMiles]]</f>
        <v>4.4614019520851818</v>
      </c>
      <c r="T1467" s="26">
        <f>data[[#This Row],[Revenue]]-data[[#This Row],[ShippingCost]]</f>
        <v>362</v>
      </c>
      <c r="U1467" s="17">
        <v>5028</v>
      </c>
      <c r="V1467" s="17">
        <v>70</v>
      </c>
      <c r="W1467" s="17" t="s">
        <v>25</v>
      </c>
      <c r="X1467" s="17">
        <v>8</v>
      </c>
      <c r="Y1467" s="17">
        <f>data[[#This Row],[DeliveryDate]]-data[[#This Row],[ShipDate]]</f>
        <v>2</v>
      </c>
      <c r="Z1467" s="17" t="str">
        <f>IF(data[[#This Row],[Actual Delivery Days]]&gt;AD1468,"Yes","No")</f>
        <v>Yes</v>
      </c>
    </row>
    <row r="1468" spans="1:26">
      <c r="A1468" s="17">
        <v>11492</v>
      </c>
      <c r="B1468" s="17">
        <v>2</v>
      </c>
      <c r="C1468" s="17">
        <v>3</v>
      </c>
      <c r="D1468" s="17" t="s">
        <v>59</v>
      </c>
      <c r="E1468" s="17" t="s">
        <v>253</v>
      </c>
      <c r="F1468" s="17" t="str">
        <f>TEXT(data[[#This Row],[ShipDate]],"yyyy - mmmm")</f>
        <v>2016 - April</v>
      </c>
      <c r="G1468" s="17" t="str">
        <f>data[[#This Row],[OriginCity]] &amp; " - "  &amp; data[[#This Row],[DestinationCity]]</f>
        <v>Dayton - Elgin</v>
      </c>
      <c r="H1468" s="17" t="s">
        <v>93</v>
      </c>
      <c r="I1468" s="17" t="s">
        <v>23</v>
      </c>
      <c r="J1468" s="17">
        <v>2</v>
      </c>
      <c r="K1468" s="17" t="s">
        <v>94</v>
      </c>
      <c r="L1468" s="17" t="s">
        <v>31</v>
      </c>
      <c r="M1468" s="17" t="s">
        <v>186</v>
      </c>
      <c r="N1468" s="17">
        <v>939</v>
      </c>
      <c r="O1468" s="17">
        <v>446</v>
      </c>
      <c r="P1468" s="26">
        <f>(data[[#This Row],[LoadedMiles]]/data[[#This Row],[TotalMiles]])*100</f>
        <v>47.497337593184241</v>
      </c>
      <c r="Q1468" s="25">
        <f>data[[#This Row],[ShippingCost]]/data[[#This Row],[TotalMiles]]</f>
        <v>6.7848775292864749</v>
      </c>
      <c r="R1468" s="17">
        <v>6371</v>
      </c>
      <c r="S1468" s="25">
        <f>data[[#This Row],[Revenue]]/data[[#This Row],[TotalMiles]]</f>
        <v>7.6932907348242807</v>
      </c>
      <c r="T1468" s="26">
        <f>data[[#This Row],[Revenue]]-data[[#This Row],[ShippingCost]]</f>
        <v>853</v>
      </c>
      <c r="U1468" s="17">
        <v>7224</v>
      </c>
      <c r="V1468" s="17">
        <v>93</v>
      </c>
      <c r="W1468" s="17" t="s">
        <v>25</v>
      </c>
      <c r="X1468" s="17">
        <v>6</v>
      </c>
      <c r="Y1468" s="17">
        <f>data[[#This Row],[DeliveryDate]]-data[[#This Row],[ShipDate]]</f>
        <v>1</v>
      </c>
      <c r="Z1468" s="17" t="str">
        <f>IF(data[[#This Row],[Actual Delivery Days]]&gt;AD1469,"Yes","No")</f>
        <v>Yes</v>
      </c>
    </row>
    <row r="1469" spans="1:26">
      <c r="A1469" s="17">
        <v>11497</v>
      </c>
      <c r="B1469" s="17">
        <v>2</v>
      </c>
      <c r="C1469" s="17">
        <v>6</v>
      </c>
      <c r="D1469" s="17" t="s">
        <v>83</v>
      </c>
      <c r="E1469" s="17" t="s">
        <v>144</v>
      </c>
      <c r="F1469" s="17" t="str">
        <f>TEXT(data[[#This Row],[ShipDate]],"yyyy - mmmm")</f>
        <v>2016 - July</v>
      </c>
      <c r="G1469" s="17" t="str">
        <f>data[[#This Row],[OriginCity]] &amp; " - "  &amp; data[[#This Row],[DestinationCity]]</f>
        <v>Kalamazoo - Bangor</v>
      </c>
      <c r="H1469" s="17" t="s">
        <v>71</v>
      </c>
      <c r="I1469" s="17" t="s">
        <v>21</v>
      </c>
      <c r="J1469" s="17">
        <v>2</v>
      </c>
      <c r="K1469" s="17" t="s">
        <v>104</v>
      </c>
      <c r="L1469" s="17" t="s">
        <v>21</v>
      </c>
      <c r="M1469" s="17" t="s">
        <v>404</v>
      </c>
      <c r="N1469" s="17">
        <v>1042</v>
      </c>
      <c r="O1469" s="17">
        <v>602</v>
      </c>
      <c r="P1469" s="26">
        <f>(data[[#This Row],[LoadedMiles]]/data[[#This Row],[TotalMiles]])*100</f>
        <v>57.773512476007681</v>
      </c>
      <c r="Q1469" s="25">
        <f>data[[#This Row],[ShippingCost]]/data[[#This Row],[TotalMiles]]</f>
        <v>7.4069097888675621</v>
      </c>
      <c r="R1469" s="17">
        <v>7718</v>
      </c>
      <c r="S1469" s="25">
        <f>data[[#This Row],[Revenue]]/data[[#This Row],[TotalMiles]]</f>
        <v>7.8157389635316701</v>
      </c>
      <c r="T1469" s="26">
        <f>data[[#This Row],[Revenue]]-data[[#This Row],[ShippingCost]]</f>
        <v>426</v>
      </c>
      <c r="U1469" s="17">
        <v>8144</v>
      </c>
      <c r="V1469" s="17">
        <v>54</v>
      </c>
      <c r="W1469" s="17" t="s">
        <v>86</v>
      </c>
      <c r="X1469" s="17">
        <v>10</v>
      </c>
      <c r="Y1469" s="17">
        <f>data[[#This Row],[DeliveryDate]]-data[[#This Row],[ShipDate]]</f>
        <v>2</v>
      </c>
      <c r="Z1469" s="17" t="str">
        <f>IF(data[[#This Row],[Actual Delivery Days]]&gt;AD1470,"Yes","No")</f>
        <v>Yes</v>
      </c>
    </row>
    <row r="1470" spans="1:26">
      <c r="A1470" s="17">
        <v>11502</v>
      </c>
      <c r="B1470" s="17">
        <v>3</v>
      </c>
      <c r="C1470" s="17">
        <v>4</v>
      </c>
      <c r="D1470" s="17" t="s">
        <v>107</v>
      </c>
      <c r="E1470" s="17" t="s">
        <v>531</v>
      </c>
      <c r="F1470" s="17" t="str">
        <f>TEXT(data[[#This Row],[ShipDate]],"yyyy - mmmm")</f>
        <v>2016 - January</v>
      </c>
      <c r="G1470" s="17" t="str">
        <f>data[[#This Row],[OriginCity]] &amp; " - "  &amp; data[[#This Row],[DestinationCity]]</f>
        <v>Indianapolis - Northbrook</v>
      </c>
      <c r="H1470" s="17" t="s">
        <v>43</v>
      </c>
      <c r="I1470" s="17" t="s">
        <v>44</v>
      </c>
      <c r="J1470" s="17">
        <v>2</v>
      </c>
      <c r="K1470" s="17" t="s">
        <v>45</v>
      </c>
      <c r="L1470" s="17" t="s">
        <v>31</v>
      </c>
      <c r="M1470" s="17" t="s">
        <v>531</v>
      </c>
      <c r="N1470" s="17">
        <v>595</v>
      </c>
      <c r="O1470" s="17">
        <v>585</v>
      </c>
      <c r="P1470" s="26">
        <f>(data[[#This Row],[LoadedMiles]]/data[[#This Row],[TotalMiles]])*100</f>
        <v>98.319327731092429</v>
      </c>
      <c r="Q1470" s="25">
        <f>data[[#This Row],[ShippingCost]]/data[[#This Row],[TotalMiles]]</f>
        <v>10.658823529411764</v>
      </c>
      <c r="R1470" s="17">
        <v>6342</v>
      </c>
      <c r="S1470" s="25">
        <f>data[[#This Row],[Revenue]]/data[[#This Row],[TotalMiles]]</f>
        <v>7.2521008403361344</v>
      </c>
      <c r="T1470" s="26">
        <f>data[[#This Row],[Revenue]]-data[[#This Row],[ShippingCost]]</f>
        <v>-2027</v>
      </c>
      <c r="U1470" s="17">
        <v>4315</v>
      </c>
      <c r="V1470" s="17">
        <v>83</v>
      </c>
      <c r="W1470" s="17" t="s">
        <v>25</v>
      </c>
      <c r="X1470" s="17">
        <v>4</v>
      </c>
      <c r="Y1470" s="17">
        <f>data[[#This Row],[DeliveryDate]]-data[[#This Row],[ShipDate]]</f>
        <v>0</v>
      </c>
      <c r="Z1470" s="17" t="str">
        <f>IF(data[[#This Row],[Actual Delivery Days]]&gt;AD1471,"Yes","No")</f>
        <v>No</v>
      </c>
    </row>
    <row r="1471" spans="1:26">
      <c r="A1471" s="17">
        <v>11504</v>
      </c>
      <c r="B1471" s="17">
        <v>2</v>
      </c>
      <c r="C1471" s="17">
        <v>5</v>
      </c>
      <c r="D1471" s="17" t="s">
        <v>113</v>
      </c>
      <c r="E1471" s="17" t="s">
        <v>616</v>
      </c>
      <c r="F1471" s="17" t="str">
        <f>TEXT(data[[#This Row],[ShipDate]],"yyyy - mmmm")</f>
        <v>2016 - May</v>
      </c>
      <c r="G1471" s="17" t="str">
        <f>data[[#This Row],[OriginCity]] &amp; " - "  &amp; data[[#This Row],[DestinationCity]]</f>
        <v>Detriot - Monon</v>
      </c>
      <c r="H1471" s="17" t="s">
        <v>52</v>
      </c>
      <c r="I1471" s="17" t="s">
        <v>21</v>
      </c>
      <c r="J1471" s="17">
        <v>2</v>
      </c>
      <c r="K1471" s="17" t="s">
        <v>53</v>
      </c>
      <c r="L1471" s="17" t="s">
        <v>44</v>
      </c>
      <c r="M1471" s="17" t="s">
        <v>373</v>
      </c>
      <c r="N1471" s="17">
        <v>436</v>
      </c>
      <c r="O1471" s="17">
        <v>436</v>
      </c>
      <c r="P1471" s="26">
        <f>(data[[#This Row],[LoadedMiles]]/data[[#This Row],[TotalMiles]])*100</f>
        <v>100</v>
      </c>
      <c r="Q1471" s="25">
        <f>data[[#This Row],[ShippingCost]]/data[[#This Row],[TotalMiles]]</f>
        <v>11.509174311926605</v>
      </c>
      <c r="R1471" s="17">
        <v>5018</v>
      </c>
      <c r="S1471" s="25">
        <f>data[[#This Row],[Revenue]]/data[[#This Row],[TotalMiles]]</f>
        <v>11.761467889908257</v>
      </c>
      <c r="T1471" s="26">
        <f>data[[#This Row],[Revenue]]-data[[#This Row],[ShippingCost]]</f>
        <v>110</v>
      </c>
      <c r="U1471" s="17">
        <v>5128</v>
      </c>
      <c r="V1471" s="17">
        <v>89</v>
      </c>
      <c r="W1471" s="17" t="s">
        <v>25</v>
      </c>
      <c r="X1471" s="17">
        <v>2</v>
      </c>
      <c r="Y1471" s="17">
        <f>data[[#This Row],[DeliveryDate]]-data[[#This Row],[ShipDate]]</f>
        <v>2</v>
      </c>
      <c r="Z1471" s="17" t="str">
        <f>IF(data[[#This Row],[Actual Delivery Days]]&gt;AD1472,"Yes","No")</f>
        <v>Yes</v>
      </c>
    </row>
    <row r="1472" spans="1:26">
      <c r="A1472" s="17">
        <v>11506</v>
      </c>
      <c r="B1472" s="17">
        <v>2</v>
      </c>
      <c r="C1472" s="17">
        <v>3</v>
      </c>
      <c r="D1472" s="17" t="s">
        <v>117</v>
      </c>
      <c r="E1472" s="17" t="s">
        <v>498</v>
      </c>
      <c r="F1472" s="17" t="str">
        <f>TEXT(data[[#This Row],[ShipDate]],"yyyy - mmmm")</f>
        <v>2016 - July</v>
      </c>
      <c r="G1472" s="17" t="str">
        <f>data[[#This Row],[OriginCity]] &amp; " - "  &amp; data[[#This Row],[DestinationCity]]</f>
        <v>Joliet - Madison</v>
      </c>
      <c r="H1472" s="17" t="s">
        <v>61</v>
      </c>
      <c r="I1472" s="17" t="s">
        <v>31</v>
      </c>
      <c r="J1472" s="17">
        <v>2</v>
      </c>
      <c r="K1472" s="17" t="s">
        <v>62</v>
      </c>
      <c r="L1472" s="17" t="s">
        <v>29</v>
      </c>
      <c r="M1472" s="17" t="s">
        <v>499</v>
      </c>
      <c r="N1472" s="17">
        <v>1102</v>
      </c>
      <c r="O1472" s="17">
        <v>771</v>
      </c>
      <c r="P1472" s="26">
        <f>(data[[#This Row],[LoadedMiles]]/data[[#This Row],[TotalMiles]])*100</f>
        <v>69.963702359346641</v>
      </c>
      <c r="Q1472" s="25">
        <f>data[[#This Row],[ShippingCost]]/data[[#This Row],[TotalMiles]]</f>
        <v>1.4500907441016333</v>
      </c>
      <c r="R1472" s="17">
        <v>1598</v>
      </c>
      <c r="S1472" s="25">
        <f>data[[#This Row],[Revenue]]/data[[#This Row],[TotalMiles]]</f>
        <v>1.9337568058076224</v>
      </c>
      <c r="T1472" s="26">
        <f>data[[#This Row],[Revenue]]-data[[#This Row],[ShippingCost]]</f>
        <v>533</v>
      </c>
      <c r="U1472" s="17">
        <v>2131</v>
      </c>
      <c r="V1472" s="17">
        <v>59</v>
      </c>
      <c r="W1472" s="17" t="s">
        <v>25</v>
      </c>
      <c r="X1472" s="17">
        <v>8</v>
      </c>
      <c r="Y1472" s="17">
        <f>data[[#This Row],[DeliveryDate]]-data[[#This Row],[ShipDate]]</f>
        <v>3</v>
      </c>
      <c r="Z1472" s="17" t="str">
        <f>IF(data[[#This Row],[Actual Delivery Days]]&gt;AD1473,"Yes","No")</f>
        <v>Yes</v>
      </c>
    </row>
    <row r="1473" spans="1:26">
      <c r="A1473" s="17">
        <v>11507</v>
      </c>
      <c r="B1473" s="17">
        <v>3</v>
      </c>
      <c r="C1473" s="17">
        <v>1</v>
      </c>
      <c r="D1473" s="17" t="s">
        <v>120</v>
      </c>
      <c r="E1473" s="17" t="s">
        <v>282</v>
      </c>
      <c r="F1473" s="17" t="str">
        <f>TEXT(data[[#This Row],[ShipDate]],"yyyy - mmmm")</f>
        <v>2016 - June</v>
      </c>
      <c r="G1473" s="17" t="str">
        <f>data[[#This Row],[OriginCity]] &amp; " - "  &amp; data[[#This Row],[DestinationCity]]</f>
        <v>Monon - Lansing</v>
      </c>
      <c r="H1473" s="17" t="s">
        <v>53</v>
      </c>
      <c r="I1473" s="17" t="s">
        <v>44</v>
      </c>
      <c r="J1473" s="17">
        <v>2</v>
      </c>
      <c r="K1473" s="17" t="s">
        <v>66</v>
      </c>
      <c r="L1473" s="17" t="s">
        <v>21</v>
      </c>
      <c r="M1473" s="17" t="s">
        <v>365</v>
      </c>
      <c r="N1473" s="17">
        <v>290</v>
      </c>
      <c r="O1473" s="17">
        <v>290</v>
      </c>
      <c r="P1473" s="26">
        <f>(data[[#This Row],[LoadedMiles]]/data[[#This Row],[TotalMiles]])*100</f>
        <v>100</v>
      </c>
      <c r="Q1473" s="25">
        <f>data[[#This Row],[ShippingCost]]/data[[#This Row],[TotalMiles]]</f>
        <v>17.544827586206896</v>
      </c>
      <c r="R1473" s="17">
        <v>5088</v>
      </c>
      <c r="S1473" s="25">
        <f>data[[#This Row],[Revenue]]/data[[#This Row],[TotalMiles]]</f>
        <v>33.175862068965515</v>
      </c>
      <c r="T1473" s="26">
        <f>data[[#This Row],[Revenue]]-data[[#This Row],[ShippingCost]]</f>
        <v>4533</v>
      </c>
      <c r="U1473" s="17">
        <v>9621</v>
      </c>
      <c r="V1473" s="17">
        <v>87</v>
      </c>
      <c r="W1473" s="17" t="s">
        <v>25</v>
      </c>
      <c r="X1473" s="17">
        <v>9</v>
      </c>
      <c r="Y1473" s="17">
        <f>data[[#This Row],[DeliveryDate]]-data[[#This Row],[ShipDate]]</f>
        <v>2</v>
      </c>
      <c r="Z1473" s="17" t="str">
        <f>IF(data[[#This Row],[Actual Delivery Days]]&gt;AD1474,"Yes","No")</f>
        <v>Yes</v>
      </c>
    </row>
    <row r="1474" spans="1:26">
      <c r="A1474" s="17">
        <v>11510</v>
      </c>
      <c r="B1474" s="17">
        <v>3</v>
      </c>
      <c r="C1474" s="17">
        <v>1</v>
      </c>
      <c r="D1474" s="17" t="s">
        <v>128</v>
      </c>
      <c r="E1474" s="17" t="s">
        <v>111</v>
      </c>
      <c r="F1474" s="17" t="str">
        <f>TEXT(data[[#This Row],[ShipDate]],"yyyy - mmmm")</f>
        <v>2016 - January</v>
      </c>
      <c r="G1474" s="17" t="str">
        <f>data[[#This Row],[OriginCity]] &amp; " - "  &amp; data[[#This Row],[DestinationCity]]</f>
        <v>Naperville - Indianapolis</v>
      </c>
      <c r="H1474" s="17" t="s">
        <v>48</v>
      </c>
      <c r="I1474" s="17" t="s">
        <v>31</v>
      </c>
      <c r="J1474" s="17">
        <v>2</v>
      </c>
      <c r="K1474" s="17" t="s">
        <v>43</v>
      </c>
      <c r="L1474" s="17" t="s">
        <v>44</v>
      </c>
      <c r="M1474" s="17" t="s">
        <v>530</v>
      </c>
      <c r="N1474" s="17">
        <v>719</v>
      </c>
      <c r="O1474" s="17">
        <v>263</v>
      </c>
      <c r="P1474" s="26">
        <f>(data[[#This Row],[LoadedMiles]]/data[[#This Row],[TotalMiles]])*100</f>
        <v>36.578581363004169</v>
      </c>
      <c r="Q1474" s="25">
        <f>data[[#This Row],[ShippingCost]]/data[[#This Row],[TotalMiles]]</f>
        <v>5.9527121001390819</v>
      </c>
      <c r="R1474" s="17">
        <v>4280</v>
      </c>
      <c r="S1474" s="25">
        <f>data[[#This Row],[Revenue]]/data[[#This Row],[TotalMiles]]</f>
        <v>12.503477051460361</v>
      </c>
      <c r="T1474" s="26">
        <f>data[[#This Row],[Revenue]]-data[[#This Row],[ShippingCost]]</f>
        <v>4710</v>
      </c>
      <c r="U1474" s="17">
        <v>8990</v>
      </c>
      <c r="V1474" s="17">
        <v>94</v>
      </c>
      <c r="W1474" s="17" t="s">
        <v>25</v>
      </c>
      <c r="X1474" s="17">
        <v>2</v>
      </c>
      <c r="Y1474" s="17">
        <f>data[[#This Row],[DeliveryDate]]-data[[#This Row],[ShipDate]]</f>
        <v>1</v>
      </c>
      <c r="Z1474" s="17" t="str">
        <f>IF(data[[#This Row],[Actual Delivery Days]]&gt;AD1475,"Yes","No")</f>
        <v>Yes</v>
      </c>
    </row>
    <row r="1475" spans="1:26">
      <c r="A1475" s="17">
        <v>11519</v>
      </c>
      <c r="B1475" s="17">
        <v>3</v>
      </c>
      <c r="C1475" s="17">
        <v>4</v>
      </c>
      <c r="D1475" s="17" t="s">
        <v>154</v>
      </c>
      <c r="E1475" s="17" t="s">
        <v>473</v>
      </c>
      <c r="F1475" s="17" t="str">
        <f>TEXT(data[[#This Row],[ShipDate]],"yyyy - mmmm")</f>
        <v>2016 - June</v>
      </c>
      <c r="G1475" s="17" t="str">
        <f>data[[#This Row],[OriginCity]] &amp; " - "  &amp; data[[#This Row],[DestinationCity]]</f>
        <v>Skokie - Chicago</v>
      </c>
      <c r="H1475" s="17" t="s">
        <v>35</v>
      </c>
      <c r="I1475" s="17" t="s">
        <v>31</v>
      </c>
      <c r="J1475" s="17">
        <v>2</v>
      </c>
      <c r="K1475" s="17" t="s">
        <v>39</v>
      </c>
      <c r="L1475" s="17" t="s">
        <v>31</v>
      </c>
      <c r="M1475" s="17" t="s">
        <v>278</v>
      </c>
      <c r="N1475" s="17">
        <v>560</v>
      </c>
      <c r="O1475" s="17">
        <v>345</v>
      </c>
      <c r="P1475" s="26">
        <f>(data[[#This Row],[LoadedMiles]]/data[[#This Row],[TotalMiles]])*100</f>
        <v>61.607142857142861</v>
      </c>
      <c r="Q1475" s="25">
        <f>data[[#This Row],[ShippingCost]]/data[[#This Row],[TotalMiles]]</f>
        <v>3.8821428571428571</v>
      </c>
      <c r="R1475" s="17">
        <v>2174</v>
      </c>
      <c r="S1475" s="25">
        <f>data[[#This Row],[Revenue]]/data[[#This Row],[TotalMiles]]</f>
        <v>1.1000000000000001</v>
      </c>
      <c r="T1475" s="26">
        <f>data[[#This Row],[Revenue]]-data[[#This Row],[ShippingCost]]</f>
        <v>-1558</v>
      </c>
      <c r="U1475" s="17">
        <v>616</v>
      </c>
      <c r="V1475" s="17">
        <v>88</v>
      </c>
      <c r="W1475" s="17" t="s">
        <v>25</v>
      </c>
      <c r="X1475" s="17">
        <v>6</v>
      </c>
      <c r="Y1475" s="17">
        <f>data[[#This Row],[DeliveryDate]]-data[[#This Row],[ShipDate]]</f>
        <v>2</v>
      </c>
      <c r="Z1475" s="17" t="str">
        <f>IF(data[[#This Row],[Actual Delivery Days]]&gt;AD1476,"Yes","No")</f>
        <v>Yes</v>
      </c>
    </row>
    <row r="1476" spans="1:26">
      <c r="A1476" s="17">
        <v>11522</v>
      </c>
      <c r="B1476" s="17">
        <v>2</v>
      </c>
      <c r="C1476" s="17">
        <v>1</v>
      </c>
      <c r="D1476" s="17" t="s">
        <v>162</v>
      </c>
      <c r="E1476" s="17" t="s">
        <v>72</v>
      </c>
      <c r="F1476" s="17" t="str">
        <f>TEXT(data[[#This Row],[ShipDate]],"yyyy - mmmm")</f>
        <v>2016 - January</v>
      </c>
      <c r="G1476" s="17" t="str">
        <f>data[[#This Row],[OriginCity]] &amp; " - "  &amp; data[[#This Row],[DestinationCity]]</f>
        <v>Grand Rapids - Toledo</v>
      </c>
      <c r="H1476" s="17" t="s">
        <v>20</v>
      </c>
      <c r="I1476" s="17" t="s">
        <v>21</v>
      </c>
      <c r="J1476" s="17">
        <v>2</v>
      </c>
      <c r="K1476" s="17" t="s">
        <v>22</v>
      </c>
      <c r="L1476" s="17" t="s">
        <v>23</v>
      </c>
      <c r="M1476" s="17" t="s">
        <v>264</v>
      </c>
      <c r="N1476" s="17">
        <v>330</v>
      </c>
      <c r="O1476" s="17">
        <v>330</v>
      </c>
      <c r="P1476" s="26">
        <f>(data[[#This Row],[LoadedMiles]]/data[[#This Row],[TotalMiles]])*100</f>
        <v>100</v>
      </c>
      <c r="Q1476" s="25">
        <f>data[[#This Row],[ShippingCost]]/data[[#This Row],[TotalMiles]]</f>
        <v>24.218181818181819</v>
      </c>
      <c r="R1476" s="17">
        <v>7992</v>
      </c>
      <c r="S1476" s="25">
        <f>data[[#This Row],[Revenue]]/data[[#This Row],[TotalMiles]]</f>
        <v>37.860606060606059</v>
      </c>
      <c r="T1476" s="26">
        <f>data[[#This Row],[Revenue]]-data[[#This Row],[ShippingCost]]</f>
        <v>4502</v>
      </c>
      <c r="U1476" s="17">
        <v>12494</v>
      </c>
      <c r="V1476" s="17">
        <v>68</v>
      </c>
      <c r="W1476" s="17" t="s">
        <v>25</v>
      </c>
      <c r="X1476" s="17">
        <v>5</v>
      </c>
      <c r="Y1476" s="17">
        <f>data[[#This Row],[DeliveryDate]]-data[[#This Row],[ShipDate]]</f>
        <v>1</v>
      </c>
      <c r="Z1476" s="17" t="str">
        <f>IF(data[[#This Row],[Actual Delivery Days]]&gt;AD1477,"Yes","No")</f>
        <v>Yes</v>
      </c>
    </row>
    <row r="1477" spans="1:26">
      <c r="A1477" s="17">
        <v>11527</v>
      </c>
      <c r="B1477" s="17">
        <v>2</v>
      </c>
      <c r="C1477" s="17">
        <v>5</v>
      </c>
      <c r="D1477" s="17" t="s">
        <v>173</v>
      </c>
      <c r="E1477" s="17" t="s">
        <v>386</v>
      </c>
      <c r="F1477" s="17" t="str">
        <f>TEXT(data[[#This Row],[ShipDate]],"yyyy - mmmm")</f>
        <v>2016 - July</v>
      </c>
      <c r="G1477" s="17" t="str">
        <f>data[[#This Row],[OriginCity]] &amp; " - "  &amp; data[[#This Row],[DestinationCity]]</f>
        <v>Northbrook - Naperville</v>
      </c>
      <c r="H1477" s="17" t="s">
        <v>45</v>
      </c>
      <c r="I1477" s="17" t="s">
        <v>31</v>
      </c>
      <c r="J1477" s="17">
        <v>2</v>
      </c>
      <c r="K1477" s="17" t="s">
        <v>48</v>
      </c>
      <c r="L1477" s="17" t="s">
        <v>31</v>
      </c>
      <c r="M1477" s="17" t="s">
        <v>405</v>
      </c>
      <c r="N1477" s="17">
        <v>336</v>
      </c>
      <c r="O1477" s="17">
        <v>254</v>
      </c>
      <c r="P1477" s="26">
        <f>(data[[#This Row],[LoadedMiles]]/data[[#This Row],[TotalMiles]])*100</f>
        <v>75.595238095238088</v>
      </c>
      <c r="Q1477" s="25">
        <f>data[[#This Row],[ShippingCost]]/data[[#This Row],[TotalMiles]]</f>
        <v>16.13095238095238</v>
      </c>
      <c r="R1477" s="17">
        <v>5420</v>
      </c>
      <c r="S1477" s="25">
        <f>data[[#This Row],[Revenue]]/data[[#This Row],[TotalMiles]]</f>
        <v>16.75595238095238</v>
      </c>
      <c r="T1477" s="26">
        <f>data[[#This Row],[Revenue]]-data[[#This Row],[ShippingCost]]</f>
        <v>210</v>
      </c>
      <c r="U1477" s="17">
        <v>5630</v>
      </c>
      <c r="V1477" s="17">
        <v>71</v>
      </c>
      <c r="W1477" s="17" t="s">
        <v>25</v>
      </c>
      <c r="X1477" s="17">
        <v>2</v>
      </c>
      <c r="Y1477" s="17">
        <f>data[[#This Row],[DeliveryDate]]-data[[#This Row],[ShipDate]]</f>
        <v>2</v>
      </c>
      <c r="Z1477" s="17" t="str">
        <f>IF(data[[#This Row],[Actual Delivery Days]]&gt;AD1478,"Yes","No")</f>
        <v>Yes</v>
      </c>
    </row>
    <row r="1478" spans="1:26">
      <c r="A1478" s="17">
        <v>11529</v>
      </c>
      <c r="B1478" s="17">
        <v>3</v>
      </c>
      <c r="C1478" s="17">
        <v>6</v>
      </c>
      <c r="D1478" s="17" t="s">
        <v>178</v>
      </c>
      <c r="E1478" s="17" t="s">
        <v>363</v>
      </c>
      <c r="F1478" s="17" t="str">
        <f>TEXT(data[[#This Row],[ShipDate]],"yyyy - mmmm")</f>
        <v>2016 - February</v>
      </c>
      <c r="G1478" s="17" t="str">
        <f>data[[#This Row],[OriginCity]] &amp; " - "  &amp; data[[#This Row],[DestinationCity]]</f>
        <v>Gary - Milwaukee</v>
      </c>
      <c r="H1478" s="17" t="s">
        <v>57</v>
      </c>
      <c r="I1478" s="17" t="s">
        <v>44</v>
      </c>
      <c r="J1478" s="17">
        <v>2</v>
      </c>
      <c r="K1478" s="17" t="s">
        <v>28</v>
      </c>
      <c r="L1478" s="17" t="s">
        <v>29</v>
      </c>
      <c r="M1478" s="17" t="s">
        <v>379</v>
      </c>
      <c r="N1478" s="17">
        <v>737</v>
      </c>
      <c r="O1478" s="17">
        <v>253</v>
      </c>
      <c r="P1478" s="26">
        <f>(data[[#This Row],[LoadedMiles]]/data[[#This Row],[TotalMiles]])*100</f>
        <v>34.328358208955223</v>
      </c>
      <c r="Q1478" s="25">
        <f>data[[#This Row],[ShippingCost]]/data[[#This Row],[TotalMiles]]</f>
        <v>10.994572591587517</v>
      </c>
      <c r="R1478" s="17">
        <v>8103</v>
      </c>
      <c r="S1478" s="25">
        <f>data[[#This Row],[Revenue]]/data[[#This Row],[TotalMiles]]</f>
        <v>11.483039348710991</v>
      </c>
      <c r="T1478" s="26">
        <f>data[[#This Row],[Revenue]]-data[[#This Row],[ShippingCost]]</f>
        <v>360</v>
      </c>
      <c r="U1478" s="17">
        <v>8463</v>
      </c>
      <c r="V1478" s="17">
        <v>83</v>
      </c>
      <c r="W1478" s="17" t="s">
        <v>25</v>
      </c>
      <c r="X1478" s="17">
        <v>1</v>
      </c>
      <c r="Y1478" s="17">
        <f>data[[#This Row],[DeliveryDate]]-data[[#This Row],[ShipDate]]</f>
        <v>2</v>
      </c>
      <c r="Z1478" s="17" t="str">
        <f>IF(data[[#This Row],[Actual Delivery Days]]&gt;AD1479,"Yes","No")</f>
        <v>Yes</v>
      </c>
    </row>
    <row r="1479" spans="1:26">
      <c r="A1479" s="17">
        <v>11530</v>
      </c>
      <c r="B1479" s="17">
        <v>3</v>
      </c>
      <c r="C1479" s="17">
        <v>2</v>
      </c>
      <c r="D1479" s="17" t="s">
        <v>181</v>
      </c>
      <c r="E1479" s="17" t="s">
        <v>617</v>
      </c>
      <c r="F1479" s="17" t="str">
        <f>TEXT(data[[#This Row],[ShipDate]],"yyyy - mmmm")</f>
        <v>2016 - June</v>
      </c>
      <c r="G1479" s="17" t="str">
        <f>data[[#This Row],[OriginCity]] &amp; " - "  &amp; data[[#This Row],[DestinationCity]]</f>
        <v>Joliet - Madison</v>
      </c>
      <c r="H1479" s="17" t="s">
        <v>61</v>
      </c>
      <c r="I1479" s="17" t="s">
        <v>31</v>
      </c>
      <c r="J1479" s="17">
        <v>2</v>
      </c>
      <c r="K1479" s="17" t="s">
        <v>62</v>
      </c>
      <c r="L1479" s="17" t="s">
        <v>29</v>
      </c>
      <c r="M1479" s="17" t="s">
        <v>473</v>
      </c>
      <c r="N1479" s="17">
        <v>219</v>
      </c>
      <c r="O1479" s="17">
        <v>219</v>
      </c>
      <c r="P1479" s="26">
        <f>(data[[#This Row],[LoadedMiles]]/data[[#This Row],[TotalMiles]])*100</f>
        <v>100</v>
      </c>
      <c r="Q1479" s="25">
        <f>data[[#This Row],[ShippingCost]]/data[[#This Row],[TotalMiles]]</f>
        <v>0.74429223744292239</v>
      </c>
      <c r="R1479" s="17">
        <v>163</v>
      </c>
      <c r="S1479" s="25">
        <f>data[[#This Row],[Revenue]]/data[[#This Row],[TotalMiles]]</f>
        <v>1.2100456621004567</v>
      </c>
      <c r="T1479" s="26">
        <f>data[[#This Row],[Revenue]]-data[[#This Row],[ShippingCost]]</f>
        <v>102</v>
      </c>
      <c r="U1479" s="17">
        <v>265</v>
      </c>
      <c r="V1479" s="17">
        <v>94</v>
      </c>
      <c r="W1479" s="17" t="s">
        <v>25</v>
      </c>
      <c r="X1479" s="17">
        <v>4</v>
      </c>
      <c r="Y1479" s="17">
        <f>data[[#This Row],[DeliveryDate]]-data[[#This Row],[ShipDate]]</f>
        <v>1</v>
      </c>
      <c r="Z1479" s="17" t="str">
        <f>IF(data[[#This Row],[Actual Delivery Days]]&gt;AD1480,"Yes","No")</f>
        <v>Yes</v>
      </c>
    </row>
    <row r="1480" spans="1:26">
      <c r="A1480" s="17">
        <v>11537</v>
      </c>
      <c r="B1480" s="17">
        <v>3</v>
      </c>
      <c r="C1480" s="17">
        <v>6</v>
      </c>
      <c r="D1480" s="17" t="s">
        <v>195</v>
      </c>
      <c r="E1480" s="17" t="s">
        <v>607</v>
      </c>
      <c r="F1480" s="17" t="str">
        <f>TEXT(data[[#This Row],[ShipDate]],"yyyy - mmmm")</f>
        <v>2016 - June</v>
      </c>
      <c r="G1480" s="17" t="str">
        <f>data[[#This Row],[OriginCity]] &amp; " - "  &amp; data[[#This Row],[DestinationCity]]</f>
        <v>Cincinnati - Gary</v>
      </c>
      <c r="H1480" s="17" t="s">
        <v>89</v>
      </c>
      <c r="I1480" s="17" t="s">
        <v>23</v>
      </c>
      <c r="J1480" s="17">
        <v>2</v>
      </c>
      <c r="K1480" s="17" t="s">
        <v>57</v>
      </c>
      <c r="L1480" s="17" t="s">
        <v>44</v>
      </c>
      <c r="M1480" s="17" t="s">
        <v>79</v>
      </c>
      <c r="N1480" s="17">
        <v>719</v>
      </c>
      <c r="O1480" s="17">
        <v>547</v>
      </c>
      <c r="P1480" s="26">
        <f>(data[[#This Row],[LoadedMiles]]/data[[#This Row],[TotalMiles]])*100</f>
        <v>76.077885952712094</v>
      </c>
      <c r="Q1480" s="25">
        <f>data[[#This Row],[ShippingCost]]/data[[#This Row],[TotalMiles]]</f>
        <v>7.6815020862308758</v>
      </c>
      <c r="R1480" s="17">
        <v>5523</v>
      </c>
      <c r="S1480" s="25">
        <f>data[[#This Row],[Revenue]]/data[[#This Row],[TotalMiles]]</f>
        <v>8.9360222531293463</v>
      </c>
      <c r="T1480" s="26">
        <f>data[[#This Row],[Revenue]]-data[[#This Row],[ShippingCost]]</f>
        <v>902</v>
      </c>
      <c r="U1480" s="17">
        <v>6425</v>
      </c>
      <c r="V1480" s="17">
        <v>67</v>
      </c>
      <c r="W1480" s="17" t="s">
        <v>25</v>
      </c>
      <c r="X1480" s="17">
        <v>7</v>
      </c>
      <c r="Y1480" s="17">
        <f>data[[#This Row],[DeliveryDate]]-data[[#This Row],[ShipDate]]</f>
        <v>2</v>
      </c>
      <c r="Z1480" s="17" t="str">
        <f>IF(data[[#This Row],[Actual Delivery Days]]&gt;AD1481,"Yes","No")</f>
        <v>Yes</v>
      </c>
    </row>
    <row r="1481" spans="1:26">
      <c r="A1481" s="17">
        <v>11549</v>
      </c>
      <c r="B1481" s="17">
        <v>3</v>
      </c>
      <c r="C1481" s="17">
        <v>2</v>
      </c>
      <c r="D1481" s="17" t="s">
        <v>225</v>
      </c>
      <c r="E1481" s="17" t="s">
        <v>84</v>
      </c>
      <c r="F1481" s="17" t="str">
        <f>TEXT(data[[#This Row],[ShipDate]],"yyyy - mmmm")</f>
        <v>2016 - May</v>
      </c>
      <c r="G1481" s="17" t="str">
        <f>data[[#This Row],[OriginCity]] &amp; " - "  &amp; data[[#This Row],[DestinationCity]]</f>
        <v>Indianapolis - Northbrook</v>
      </c>
      <c r="H1481" s="17" t="s">
        <v>43</v>
      </c>
      <c r="I1481" s="17" t="s">
        <v>44</v>
      </c>
      <c r="J1481" s="17">
        <v>2</v>
      </c>
      <c r="K1481" s="17" t="s">
        <v>45</v>
      </c>
      <c r="L1481" s="17" t="s">
        <v>31</v>
      </c>
      <c r="M1481" s="17" t="s">
        <v>42</v>
      </c>
      <c r="N1481" s="17">
        <v>489</v>
      </c>
      <c r="O1481" s="17">
        <v>489</v>
      </c>
      <c r="P1481" s="26">
        <f>(data[[#This Row],[LoadedMiles]]/data[[#This Row],[TotalMiles]])*100</f>
        <v>100</v>
      </c>
      <c r="Q1481" s="25">
        <f>data[[#This Row],[ShippingCost]]/data[[#This Row],[TotalMiles]]</f>
        <v>16.016359918200408</v>
      </c>
      <c r="R1481" s="17">
        <v>7832</v>
      </c>
      <c r="S1481" s="25">
        <f>data[[#This Row],[Revenue]]/data[[#This Row],[TotalMiles]]</f>
        <v>17.163599182004091</v>
      </c>
      <c r="T1481" s="26">
        <f>data[[#This Row],[Revenue]]-data[[#This Row],[ShippingCost]]</f>
        <v>561</v>
      </c>
      <c r="U1481" s="17">
        <v>8393</v>
      </c>
      <c r="V1481" s="17">
        <v>78</v>
      </c>
      <c r="W1481" s="17" t="s">
        <v>25</v>
      </c>
      <c r="X1481" s="17">
        <v>6</v>
      </c>
      <c r="Y1481" s="17">
        <f>data[[#This Row],[DeliveryDate]]-data[[#This Row],[ShipDate]]</f>
        <v>1</v>
      </c>
      <c r="Z1481" s="17" t="str">
        <f>IF(data[[#This Row],[Actual Delivery Days]]&gt;AD1482,"Yes","No")</f>
        <v>Yes</v>
      </c>
    </row>
    <row r="1482" spans="1:26">
      <c r="A1482" s="17">
        <v>11555</v>
      </c>
      <c r="B1482" s="17">
        <v>2</v>
      </c>
      <c r="C1482" s="17">
        <v>6</v>
      </c>
      <c r="D1482" s="17" t="s">
        <v>237</v>
      </c>
      <c r="E1482" s="17" t="s">
        <v>209</v>
      </c>
      <c r="F1482" s="17" t="str">
        <f>TEXT(data[[#This Row],[ShipDate]],"yyyy - mmmm")</f>
        <v>2016 - March</v>
      </c>
      <c r="G1482" s="17" t="str">
        <f>data[[#This Row],[OriginCity]] &amp; " - "  &amp; data[[#This Row],[DestinationCity]]</f>
        <v>Madison - Kalamazoo</v>
      </c>
      <c r="H1482" s="17" t="s">
        <v>62</v>
      </c>
      <c r="I1482" s="17" t="s">
        <v>29</v>
      </c>
      <c r="J1482" s="17">
        <v>2</v>
      </c>
      <c r="K1482" s="17" t="s">
        <v>71</v>
      </c>
      <c r="L1482" s="17" t="s">
        <v>21</v>
      </c>
      <c r="M1482" s="17" t="s">
        <v>352</v>
      </c>
      <c r="N1482" s="17">
        <v>634</v>
      </c>
      <c r="O1482" s="17">
        <v>634</v>
      </c>
      <c r="P1482" s="26">
        <f>(data[[#This Row],[LoadedMiles]]/data[[#This Row],[TotalMiles]])*100</f>
        <v>100</v>
      </c>
      <c r="Q1482" s="25">
        <f>data[[#This Row],[ShippingCost]]/data[[#This Row],[TotalMiles]]</f>
        <v>9.9652996845425861</v>
      </c>
      <c r="R1482" s="17">
        <v>6318</v>
      </c>
      <c r="S1482" s="25">
        <f>data[[#This Row],[Revenue]]/data[[#This Row],[TotalMiles]]</f>
        <v>10.6198738170347</v>
      </c>
      <c r="T1482" s="26">
        <f>data[[#This Row],[Revenue]]-data[[#This Row],[ShippingCost]]</f>
        <v>415</v>
      </c>
      <c r="U1482" s="17">
        <v>6733</v>
      </c>
      <c r="V1482" s="17">
        <v>96</v>
      </c>
      <c r="W1482" s="17" t="s">
        <v>86</v>
      </c>
      <c r="X1482" s="17">
        <v>9</v>
      </c>
      <c r="Y1482" s="17">
        <f>data[[#This Row],[DeliveryDate]]-data[[#This Row],[ShipDate]]</f>
        <v>2</v>
      </c>
      <c r="Z1482" s="17" t="str">
        <f>IF(data[[#This Row],[Actual Delivery Days]]&gt;AD1483,"Yes","No")</f>
        <v>Yes</v>
      </c>
    </row>
    <row r="1483" spans="1:26">
      <c r="A1483" s="17">
        <v>11557</v>
      </c>
      <c r="B1483" s="17">
        <v>2</v>
      </c>
      <c r="C1483" s="17">
        <v>1</v>
      </c>
      <c r="D1483" s="17" t="s">
        <v>242</v>
      </c>
      <c r="E1483" s="17" t="s">
        <v>473</v>
      </c>
      <c r="F1483" s="17" t="str">
        <f>TEXT(data[[#This Row],[ShipDate]],"yyyy - mmmm")</f>
        <v>2016 - June</v>
      </c>
      <c r="G1483" s="17" t="str">
        <f>data[[#This Row],[OriginCity]] &amp; " - "  &amp; data[[#This Row],[DestinationCity]]</f>
        <v>Naperville - Indianapolis</v>
      </c>
      <c r="H1483" s="17" t="s">
        <v>48</v>
      </c>
      <c r="I1483" s="17" t="s">
        <v>31</v>
      </c>
      <c r="J1483" s="17">
        <v>2</v>
      </c>
      <c r="K1483" s="17" t="s">
        <v>43</v>
      </c>
      <c r="L1483" s="17" t="s">
        <v>44</v>
      </c>
      <c r="M1483" s="17" t="s">
        <v>278</v>
      </c>
      <c r="N1483" s="17">
        <v>249</v>
      </c>
      <c r="O1483" s="17">
        <v>249</v>
      </c>
      <c r="P1483" s="26">
        <f>(data[[#This Row],[LoadedMiles]]/data[[#This Row],[TotalMiles]])*100</f>
        <v>100</v>
      </c>
      <c r="Q1483" s="25">
        <f>data[[#This Row],[ShippingCost]]/data[[#This Row],[TotalMiles]]</f>
        <v>23.662650602409638</v>
      </c>
      <c r="R1483" s="17">
        <v>5892</v>
      </c>
      <c r="S1483" s="25">
        <f>data[[#This Row],[Revenue]]/data[[#This Row],[TotalMiles]]</f>
        <v>41.714859437751002</v>
      </c>
      <c r="T1483" s="26">
        <f>data[[#This Row],[Revenue]]-data[[#This Row],[ShippingCost]]</f>
        <v>4495</v>
      </c>
      <c r="U1483" s="17">
        <v>10387</v>
      </c>
      <c r="V1483" s="17">
        <v>100</v>
      </c>
      <c r="W1483" s="17" t="s">
        <v>25</v>
      </c>
      <c r="X1483" s="17">
        <v>10</v>
      </c>
      <c r="Y1483" s="17">
        <f>data[[#This Row],[DeliveryDate]]-data[[#This Row],[ShipDate]]</f>
        <v>2</v>
      </c>
      <c r="Z1483" s="17" t="str">
        <f>IF(data[[#This Row],[Actual Delivery Days]]&gt;AD1484,"Yes","No")</f>
        <v>Yes</v>
      </c>
    </row>
    <row r="1484" spans="1:26">
      <c r="A1484" s="17">
        <v>11561</v>
      </c>
      <c r="B1484" s="17">
        <v>3</v>
      </c>
      <c r="C1484" s="17">
        <v>1</v>
      </c>
      <c r="D1484" s="17" t="s">
        <v>251</v>
      </c>
      <c r="E1484" s="17" t="s">
        <v>318</v>
      </c>
      <c r="F1484" s="17" t="str">
        <f>TEXT(data[[#This Row],[ShipDate]],"yyyy - mmmm")</f>
        <v>2016 - June</v>
      </c>
      <c r="G1484" s="17" t="str">
        <f>data[[#This Row],[OriginCity]] &amp; " - "  &amp; data[[#This Row],[DestinationCity]]</f>
        <v>Toledo - Detriot</v>
      </c>
      <c r="H1484" s="17" t="s">
        <v>22</v>
      </c>
      <c r="I1484" s="17" t="s">
        <v>23</v>
      </c>
      <c r="J1484" s="17">
        <v>2</v>
      </c>
      <c r="K1484" s="17" t="s">
        <v>52</v>
      </c>
      <c r="L1484" s="17" t="s">
        <v>21</v>
      </c>
      <c r="M1484" s="17" t="s">
        <v>319</v>
      </c>
      <c r="N1484" s="17">
        <v>254</v>
      </c>
      <c r="O1484" s="17">
        <v>230</v>
      </c>
      <c r="P1484" s="26">
        <f>(data[[#This Row],[LoadedMiles]]/data[[#This Row],[TotalMiles]])*100</f>
        <v>90.551181102362193</v>
      </c>
      <c r="Q1484" s="25">
        <f>data[[#This Row],[ShippingCost]]/data[[#This Row],[TotalMiles]]</f>
        <v>9.8425196850393704</v>
      </c>
      <c r="R1484" s="17">
        <v>2500</v>
      </c>
      <c r="S1484" s="25">
        <f>data[[#This Row],[Revenue]]/data[[#This Row],[TotalMiles]]</f>
        <v>29.011811023622048</v>
      </c>
      <c r="T1484" s="26">
        <f>data[[#This Row],[Revenue]]-data[[#This Row],[ShippingCost]]</f>
        <v>4869</v>
      </c>
      <c r="U1484" s="17">
        <v>7369</v>
      </c>
      <c r="V1484" s="17">
        <v>59</v>
      </c>
      <c r="W1484" s="17" t="s">
        <v>25</v>
      </c>
      <c r="X1484" s="17">
        <v>3</v>
      </c>
      <c r="Y1484" s="17">
        <f>data[[#This Row],[DeliveryDate]]-data[[#This Row],[ShipDate]]</f>
        <v>2</v>
      </c>
      <c r="Z1484" s="17" t="str">
        <f>IF(data[[#This Row],[Actual Delivery Days]]&gt;AD1485,"Yes","No")</f>
        <v>Yes</v>
      </c>
    </row>
    <row r="1485" spans="1:26">
      <c r="A1485" s="17">
        <v>11568</v>
      </c>
      <c r="B1485" s="17">
        <v>3</v>
      </c>
      <c r="C1485" s="17">
        <v>1</v>
      </c>
      <c r="D1485" s="17" t="s">
        <v>266</v>
      </c>
      <c r="E1485" s="17" t="s">
        <v>179</v>
      </c>
      <c r="F1485" s="17" t="str">
        <f>TEXT(data[[#This Row],[ShipDate]],"yyyy - mmmm")</f>
        <v>2016 - July</v>
      </c>
      <c r="G1485" s="17" t="str">
        <f>data[[#This Row],[OriginCity]] &amp; " - "  &amp; data[[#This Row],[DestinationCity]]</f>
        <v>Grand Rapids - Toledo</v>
      </c>
      <c r="H1485" s="17" t="s">
        <v>20</v>
      </c>
      <c r="I1485" s="17" t="s">
        <v>21</v>
      </c>
      <c r="J1485" s="17">
        <v>2</v>
      </c>
      <c r="K1485" s="17" t="s">
        <v>22</v>
      </c>
      <c r="L1485" s="17" t="s">
        <v>23</v>
      </c>
      <c r="M1485" s="17" t="s">
        <v>540</v>
      </c>
      <c r="N1485" s="17">
        <v>818</v>
      </c>
      <c r="O1485" s="17">
        <v>553</v>
      </c>
      <c r="P1485" s="26">
        <f>(data[[#This Row],[LoadedMiles]]/data[[#This Row],[TotalMiles]])*100</f>
        <v>67.603911980440103</v>
      </c>
      <c r="Q1485" s="25">
        <f>data[[#This Row],[ShippingCost]]/data[[#This Row],[TotalMiles]]</f>
        <v>3.7897310513447434E-2</v>
      </c>
      <c r="R1485" s="17">
        <v>31</v>
      </c>
      <c r="S1485" s="25">
        <f>data[[#This Row],[Revenue]]/data[[#This Row],[TotalMiles]]</f>
        <v>6.288508557457213</v>
      </c>
      <c r="T1485" s="26">
        <f>data[[#This Row],[Revenue]]-data[[#This Row],[ShippingCost]]</f>
        <v>5113</v>
      </c>
      <c r="U1485" s="17">
        <v>5144</v>
      </c>
      <c r="V1485" s="17">
        <v>97</v>
      </c>
      <c r="W1485" s="17" t="s">
        <v>25</v>
      </c>
      <c r="X1485" s="17">
        <v>2</v>
      </c>
      <c r="Y1485" s="17">
        <f>data[[#This Row],[DeliveryDate]]-data[[#This Row],[ShipDate]]</f>
        <v>1</v>
      </c>
      <c r="Z1485" s="17" t="str">
        <f>IF(data[[#This Row],[Actual Delivery Days]]&gt;AD1486,"Yes","No")</f>
        <v>Yes</v>
      </c>
    </row>
    <row r="1486" spans="1:26">
      <c r="A1486" s="17">
        <v>11577</v>
      </c>
      <c r="B1486" s="17">
        <v>3</v>
      </c>
      <c r="C1486" s="17">
        <v>6</v>
      </c>
      <c r="D1486" s="17" t="s">
        <v>288</v>
      </c>
      <c r="E1486" s="17" t="s">
        <v>410</v>
      </c>
      <c r="F1486" s="17" t="str">
        <f>TEXT(data[[#This Row],[ShipDate]],"yyyy - mmmm")</f>
        <v>2016 - June</v>
      </c>
      <c r="G1486" s="17" t="str">
        <f>data[[#This Row],[OriginCity]] &amp; " - "  &amp; data[[#This Row],[DestinationCity]]</f>
        <v>Naperville - Indianapolis</v>
      </c>
      <c r="H1486" s="17" t="s">
        <v>48</v>
      </c>
      <c r="I1486" s="17" t="s">
        <v>31</v>
      </c>
      <c r="J1486" s="17">
        <v>2</v>
      </c>
      <c r="K1486" s="17" t="s">
        <v>43</v>
      </c>
      <c r="L1486" s="17" t="s">
        <v>44</v>
      </c>
      <c r="M1486" s="17" t="s">
        <v>410</v>
      </c>
      <c r="N1486" s="17">
        <v>1171</v>
      </c>
      <c r="O1486" s="17">
        <v>376</v>
      </c>
      <c r="P1486" s="26">
        <f>(data[[#This Row],[LoadedMiles]]/data[[#This Row],[TotalMiles]])*100</f>
        <v>32.109308283518359</v>
      </c>
      <c r="Q1486" s="25">
        <f>data[[#This Row],[ShippingCost]]/data[[#This Row],[TotalMiles]]</f>
        <v>2.573014517506405</v>
      </c>
      <c r="R1486" s="17">
        <v>3013</v>
      </c>
      <c r="S1486" s="25">
        <f>data[[#This Row],[Revenue]]/data[[#This Row],[TotalMiles]]</f>
        <v>3.4184457728437234</v>
      </c>
      <c r="T1486" s="26">
        <f>data[[#This Row],[Revenue]]-data[[#This Row],[ShippingCost]]</f>
        <v>990</v>
      </c>
      <c r="U1486" s="17">
        <v>4003</v>
      </c>
      <c r="V1486" s="17">
        <v>74</v>
      </c>
      <c r="W1486" s="17" t="s">
        <v>25</v>
      </c>
      <c r="X1486" s="17">
        <v>7</v>
      </c>
      <c r="Y1486" s="17">
        <f>data[[#This Row],[DeliveryDate]]-data[[#This Row],[ShipDate]]</f>
        <v>0</v>
      </c>
      <c r="Z1486" s="17" t="str">
        <f>IF(data[[#This Row],[Actual Delivery Days]]&gt;AD1487,"Yes","No")</f>
        <v>No</v>
      </c>
    </row>
    <row r="1487" spans="1:26">
      <c r="A1487" s="17">
        <v>11578</v>
      </c>
      <c r="B1487" s="17">
        <v>3</v>
      </c>
      <c r="C1487" s="17">
        <v>4</v>
      </c>
      <c r="D1487" s="17" t="s">
        <v>289</v>
      </c>
      <c r="E1487" s="17" t="s">
        <v>454</v>
      </c>
      <c r="F1487" s="17" t="str">
        <f>TEXT(data[[#This Row],[ShipDate]],"yyyy - mmmm")</f>
        <v>2016 - March</v>
      </c>
      <c r="G1487" s="17" t="str">
        <f>data[[#This Row],[OriginCity]] &amp; " - "  &amp; data[[#This Row],[DestinationCity]]</f>
        <v>Rockford - Green Bay</v>
      </c>
      <c r="H1487" s="17" t="s">
        <v>40</v>
      </c>
      <c r="I1487" s="17" t="s">
        <v>31</v>
      </c>
      <c r="J1487" s="17">
        <v>2</v>
      </c>
      <c r="K1487" s="17" t="s">
        <v>75</v>
      </c>
      <c r="L1487" s="17" t="s">
        <v>29</v>
      </c>
      <c r="M1487" s="17" t="s">
        <v>355</v>
      </c>
      <c r="N1487" s="17">
        <v>246</v>
      </c>
      <c r="O1487" s="17">
        <v>246</v>
      </c>
      <c r="P1487" s="26">
        <f>(data[[#This Row],[LoadedMiles]]/data[[#This Row],[TotalMiles]])*100</f>
        <v>100</v>
      </c>
      <c r="Q1487" s="25">
        <f>data[[#This Row],[ShippingCost]]/data[[#This Row],[TotalMiles]]</f>
        <v>19.036585365853657</v>
      </c>
      <c r="R1487" s="17">
        <v>4683</v>
      </c>
      <c r="S1487" s="25">
        <f>data[[#This Row],[Revenue]]/data[[#This Row],[TotalMiles]]</f>
        <v>9.4105691056910565</v>
      </c>
      <c r="T1487" s="26">
        <f>data[[#This Row],[Revenue]]-data[[#This Row],[ShippingCost]]</f>
        <v>-2368</v>
      </c>
      <c r="U1487" s="17">
        <v>2315</v>
      </c>
      <c r="V1487" s="17">
        <v>64</v>
      </c>
      <c r="W1487" s="17" t="s">
        <v>25</v>
      </c>
      <c r="X1487" s="17">
        <v>2</v>
      </c>
      <c r="Y1487" s="17">
        <f>data[[#This Row],[DeliveryDate]]-data[[#This Row],[ShipDate]]</f>
        <v>2</v>
      </c>
      <c r="Z1487" s="17" t="str">
        <f>IF(data[[#This Row],[Actual Delivery Days]]&gt;AD1488,"Yes","No")</f>
        <v>Yes</v>
      </c>
    </row>
    <row r="1488" spans="1:26">
      <c r="A1488" s="17">
        <v>11589</v>
      </c>
      <c r="B1488" s="17">
        <v>2</v>
      </c>
      <c r="C1488" s="17">
        <v>2</v>
      </c>
      <c r="D1488" s="17" t="s">
        <v>314</v>
      </c>
      <c r="E1488" s="17" t="s">
        <v>103</v>
      </c>
      <c r="F1488" s="17" t="str">
        <f>TEXT(data[[#This Row],[ShipDate]],"yyyy - mmmm")</f>
        <v>2016 - August</v>
      </c>
      <c r="G1488" s="17" t="str">
        <f>data[[#This Row],[OriginCity]] &amp; " - "  &amp; data[[#This Row],[DestinationCity]]</f>
        <v>Springfield - Skokie</v>
      </c>
      <c r="H1488" s="17" t="s">
        <v>30</v>
      </c>
      <c r="I1488" s="17" t="s">
        <v>31</v>
      </c>
      <c r="J1488" s="17">
        <v>2</v>
      </c>
      <c r="K1488" s="17" t="s">
        <v>35</v>
      </c>
      <c r="L1488" s="17" t="s">
        <v>31</v>
      </c>
      <c r="M1488" s="17" t="s">
        <v>587</v>
      </c>
      <c r="N1488" s="17">
        <v>1041</v>
      </c>
      <c r="O1488" s="17">
        <v>539</v>
      </c>
      <c r="P1488" s="26">
        <f>(data[[#This Row],[LoadedMiles]]/data[[#This Row],[TotalMiles]])*100</f>
        <v>51.777137367915472</v>
      </c>
      <c r="Q1488" s="25">
        <f>data[[#This Row],[ShippingCost]]/data[[#This Row],[TotalMiles]]</f>
        <v>4.8655139289145053</v>
      </c>
      <c r="R1488" s="17">
        <v>5065</v>
      </c>
      <c r="S1488" s="25">
        <f>data[[#This Row],[Revenue]]/data[[#This Row],[TotalMiles]]</f>
        <v>5.317963496637848</v>
      </c>
      <c r="T1488" s="26">
        <f>data[[#This Row],[Revenue]]-data[[#This Row],[ShippingCost]]</f>
        <v>471</v>
      </c>
      <c r="U1488" s="17">
        <v>5536</v>
      </c>
      <c r="V1488" s="17">
        <v>77</v>
      </c>
      <c r="W1488" s="17" t="s">
        <v>86</v>
      </c>
      <c r="X1488" s="17">
        <v>8</v>
      </c>
      <c r="Y1488" s="17">
        <f>data[[#This Row],[DeliveryDate]]-data[[#This Row],[ShipDate]]</f>
        <v>2</v>
      </c>
      <c r="Z1488" s="17" t="str">
        <f>IF(data[[#This Row],[Actual Delivery Days]]&gt;AD1489,"Yes","No")</f>
        <v>Yes</v>
      </c>
    </row>
    <row r="1489" spans="1:26">
      <c r="A1489" s="17">
        <v>11594</v>
      </c>
      <c r="B1489" s="17">
        <v>3</v>
      </c>
      <c r="C1489" s="17">
        <v>5</v>
      </c>
      <c r="D1489" s="17" t="s">
        <v>325</v>
      </c>
      <c r="E1489" s="17" t="s">
        <v>344</v>
      </c>
      <c r="F1489" s="17" t="str">
        <f>TEXT(data[[#This Row],[ShipDate]],"yyyy - mmmm")</f>
        <v>2016 - May</v>
      </c>
      <c r="G1489" s="17" t="str">
        <f>data[[#This Row],[OriginCity]] &amp; " - "  &amp; data[[#This Row],[DestinationCity]]</f>
        <v>Joliet - Madison</v>
      </c>
      <c r="H1489" s="17" t="s">
        <v>61</v>
      </c>
      <c r="I1489" s="17" t="s">
        <v>31</v>
      </c>
      <c r="J1489" s="17">
        <v>2</v>
      </c>
      <c r="K1489" s="17" t="s">
        <v>62</v>
      </c>
      <c r="L1489" s="17" t="s">
        <v>29</v>
      </c>
      <c r="M1489" s="17" t="s">
        <v>282</v>
      </c>
      <c r="N1489" s="17">
        <v>270</v>
      </c>
      <c r="O1489" s="17">
        <v>270</v>
      </c>
      <c r="P1489" s="26">
        <f>(data[[#This Row],[LoadedMiles]]/data[[#This Row],[TotalMiles]])*100</f>
        <v>100</v>
      </c>
      <c r="Q1489" s="25">
        <f>data[[#This Row],[ShippingCost]]/data[[#This Row],[TotalMiles]]</f>
        <v>31.162962962962961</v>
      </c>
      <c r="R1489" s="17">
        <v>8414</v>
      </c>
      <c r="S1489" s="25">
        <f>data[[#This Row],[Revenue]]/data[[#This Row],[TotalMiles]]</f>
        <v>32.481481481481481</v>
      </c>
      <c r="T1489" s="26">
        <f>data[[#This Row],[Revenue]]-data[[#This Row],[ShippingCost]]</f>
        <v>356</v>
      </c>
      <c r="U1489" s="17">
        <v>8770</v>
      </c>
      <c r="V1489" s="17">
        <v>81</v>
      </c>
      <c r="W1489" s="17" t="s">
        <v>25</v>
      </c>
      <c r="X1489" s="17">
        <v>2</v>
      </c>
      <c r="Y1489" s="17">
        <f>data[[#This Row],[DeliveryDate]]-data[[#This Row],[ShipDate]]</f>
        <v>1</v>
      </c>
      <c r="Z1489" s="17" t="str">
        <f>IF(data[[#This Row],[Actual Delivery Days]]&gt;AD1490,"Yes","No")</f>
        <v>Yes</v>
      </c>
    </row>
    <row r="1490" spans="1:26">
      <c r="A1490" s="17">
        <v>11606</v>
      </c>
      <c r="B1490" s="17">
        <v>2</v>
      </c>
      <c r="C1490" s="17">
        <v>3</v>
      </c>
      <c r="D1490" s="17" t="s">
        <v>346</v>
      </c>
      <c r="E1490" s="17" t="s">
        <v>535</v>
      </c>
      <c r="F1490" s="17" t="str">
        <f>TEXT(data[[#This Row],[ShipDate]],"yyyy - mmmm")</f>
        <v>2016 - August</v>
      </c>
      <c r="G1490" s="17" t="str">
        <f>data[[#This Row],[OriginCity]] &amp; " - "  &amp; data[[#This Row],[DestinationCity]]</f>
        <v>Kalamazoo - Bangor</v>
      </c>
      <c r="H1490" s="17" t="s">
        <v>71</v>
      </c>
      <c r="I1490" s="17" t="s">
        <v>21</v>
      </c>
      <c r="J1490" s="17">
        <v>2</v>
      </c>
      <c r="K1490" s="17" t="s">
        <v>104</v>
      </c>
      <c r="L1490" s="17" t="s">
        <v>21</v>
      </c>
      <c r="M1490" s="17" t="s">
        <v>141</v>
      </c>
      <c r="N1490" s="17">
        <v>630</v>
      </c>
      <c r="O1490" s="17">
        <v>513</v>
      </c>
      <c r="P1490" s="26">
        <f>(data[[#This Row],[LoadedMiles]]/data[[#This Row],[TotalMiles]])*100</f>
        <v>81.428571428571431</v>
      </c>
      <c r="Q1490" s="25">
        <f>data[[#This Row],[ShippingCost]]/data[[#This Row],[TotalMiles]]</f>
        <v>7.2333333333333334</v>
      </c>
      <c r="R1490" s="17">
        <v>4557</v>
      </c>
      <c r="S1490" s="25">
        <f>data[[#This Row],[Revenue]]/data[[#This Row],[TotalMiles]]</f>
        <v>8.0571428571428569</v>
      </c>
      <c r="T1490" s="26">
        <f>data[[#This Row],[Revenue]]-data[[#This Row],[ShippingCost]]</f>
        <v>519</v>
      </c>
      <c r="U1490" s="17">
        <v>5076</v>
      </c>
      <c r="V1490" s="17">
        <v>92</v>
      </c>
      <c r="W1490" s="17" t="s">
        <v>86</v>
      </c>
      <c r="X1490" s="17">
        <v>2</v>
      </c>
      <c r="Y1490" s="17">
        <f>data[[#This Row],[DeliveryDate]]-data[[#This Row],[ShipDate]]</f>
        <v>2</v>
      </c>
      <c r="Z1490" s="17" t="str">
        <f>IF(data[[#This Row],[Actual Delivery Days]]&gt;AD1491,"Yes","No")</f>
        <v>Yes</v>
      </c>
    </row>
    <row r="1491" spans="1:26">
      <c r="A1491" s="17">
        <v>11615</v>
      </c>
      <c r="B1491" s="17">
        <v>2</v>
      </c>
      <c r="C1491" s="17">
        <v>3</v>
      </c>
      <c r="D1491" s="17" t="s">
        <v>364</v>
      </c>
      <c r="E1491" s="17" t="s">
        <v>111</v>
      </c>
      <c r="F1491" s="17" t="str">
        <f>TEXT(data[[#This Row],[ShipDate]],"yyyy - mmmm")</f>
        <v>2016 - January</v>
      </c>
      <c r="G1491" s="17" t="str">
        <f>data[[#This Row],[OriginCity]] &amp; " - "  &amp; data[[#This Row],[DestinationCity]]</f>
        <v>Monon - Lansing</v>
      </c>
      <c r="H1491" s="17" t="s">
        <v>53</v>
      </c>
      <c r="I1491" s="17" t="s">
        <v>44</v>
      </c>
      <c r="J1491" s="17">
        <v>2</v>
      </c>
      <c r="K1491" s="17" t="s">
        <v>66</v>
      </c>
      <c r="L1491" s="17" t="s">
        <v>21</v>
      </c>
      <c r="M1491" s="17" t="s">
        <v>112</v>
      </c>
      <c r="N1491" s="17">
        <v>719</v>
      </c>
      <c r="O1491" s="17">
        <v>655</v>
      </c>
      <c r="P1491" s="26">
        <f>(data[[#This Row],[LoadedMiles]]/data[[#This Row],[TotalMiles]])*100</f>
        <v>91.09874826147427</v>
      </c>
      <c r="Q1491" s="25">
        <f>data[[#This Row],[ShippingCost]]/data[[#This Row],[TotalMiles]]</f>
        <v>2.2030598052851182</v>
      </c>
      <c r="R1491" s="17">
        <v>1584</v>
      </c>
      <c r="S1491" s="25">
        <f>data[[#This Row],[Revenue]]/data[[#This Row],[TotalMiles]]</f>
        <v>2.7913769123783032</v>
      </c>
      <c r="T1491" s="26">
        <f>data[[#This Row],[Revenue]]-data[[#This Row],[ShippingCost]]</f>
        <v>423</v>
      </c>
      <c r="U1491" s="17">
        <v>2007</v>
      </c>
      <c r="V1491" s="17">
        <v>76</v>
      </c>
      <c r="W1491" s="17" t="s">
        <v>25</v>
      </c>
      <c r="X1491" s="17">
        <v>9</v>
      </c>
      <c r="Y1491" s="17">
        <f>data[[#This Row],[DeliveryDate]]-data[[#This Row],[ShipDate]]</f>
        <v>2</v>
      </c>
      <c r="Z1491" s="17" t="str">
        <f>IF(data[[#This Row],[Actual Delivery Days]]&gt;AD1492,"Yes","No")</f>
        <v>Yes</v>
      </c>
    </row>
    <row r="1492" spans="1:26">
      <c r="A1492" s="17">
        <v>11616</v>
      </c>
      <c r="B1492" s="17">
        <v>2</v>
      </c>
      <c r="C1492" s="17">
        <v>6</v>
      </c>
      <c r="D1492" s="17" t="s">
        <v>366</v>
      </c>
      <c r="E1492" s="17" t="s">
        <v>264</v>
      </c>
      <c r="F1492" s="17" t="str">
        <f>TEXT(data[[#This Row],[ShipDate]],"yyyy - mmmm")</f>
        <v>2016 - January</v>
      </c>
      <c r="G1492" s="17" t="str">
        <f>data[[#This Row],[OriginCity]] &amp; " - "  &amp; data[[#This Row],[DestinationCity]]</f>
        <v>Madison - Kalamazoo</v>
      </c>
      <c r="H1492" s="17" t="s">
        <v>62</v>
      </c>
      <c r="I1492" s="17" t="s">
        <v>29</v>
      </c>
      <c r="J1492" s="17">
        <v>2</v>
      </c>
      <c r="K1492" s="17" t="s">
        <v>71</v>
      </c>
      <c r="L1492" s="17" t="s">
        <v>21</v>
      </c>
      <c r="M1492" s="17" t="s">
        <v>245</v>
      </c>
      <c r="N1492" s="17">
        <v>319</v>
      </c>
      <c r="O1492" s="17">
        <v>319</v>
      </c>
      <c r="P1492" s="26">
        <f>(data[[#This Row],[LoadedMiles]]/data[[#This Row],[TotalMiles]])*100</f>
        <v>100</v>
      </c>
      <c r="Q1492" s="25">
        <f>data[[#This Row],[ShippingCost]]/data[[#This Row],[TotalMiles]]</f>
        <v>3.8683385579937304</v>
      </c>
      <c r="R1492" s="17">
        <v>1234</v>
      </c>
      <c r="S1492" s="25">
        <f>data[[#This Row],[Revenue]]/data[[#This Row],[TotalMiles]]</f>
        <v>6.4106583072100314</v>
      </c>
      <c r="T1492" s="26">
        <f>data[[#This Row],[Revenue]]-data[[#This Row],[ShippingCost]]</f>
        <v>811</v>
      </c>
      <c r="U1492" s="17">
        <v>2045</v>
      </c>
      <c r="V1492" s="17">
        <v>65</v>
      </c>
      <c r="W1492" s="17" t="s">
        <v>25</v>
      </c>
      <c r="X1492" s="17">
        <v>7</v>
      </c>
      <c r="Y1492" s="17">
        <f>data[[#This Row],[DeliveryDate]]-data[[#This Row],[ShipDate]]</f>
        <v>2</v>
      </c>
      <c r="Z1492" s="17" t="str">
        <f>IF(data[[#This Row],[Actual Delivery Days]]&gt;AD1493,"Yes","No")</f>
        <v>Yes</v>
      </c>
    </row>
    <row r="1493" spans="1:26">
      <c r="A1493" s="17">
        <v>11618</v>
      </c>
      <c r="B1493" s="17">
        <v>2</v>
      </c>
      <c r="C1493" s="17">
        <v>3</v>
      </c>
      <c r="D1493" s="17" t="s">
        <v>370</v>
      </c>
      <c r="E1493" s="17" t="s">
        <v>132</v>
      </c>
      <c r="F1493" s="17" t="str">
        <f>TEXT(data[[#This Row],[ShipDate]],"yyyy - mmmm")</f>
        <v>2016 - February</v>
      </c>
      <c r="G1493" s="17" t="str">
        <f>data[[#This Row],[OriginCity]] &amp; " - "  &amp; data[[#This Row],[DestinationCity]]</f>
        <v>Naperville - Indianapolis</v>
      </c>
      <c r="H1493" s="17" t="s">
        <v>48</v>
      </c>
      <c r="I1493" s="17" t="s">
        <v>31</v>
      </c>
      <c r="J1493" s="17">
        <v>2</v>
      </c>
      <c r="K1493" s="17" t="s">
        <v>43</v>
      </c>
      <c r="L1493" s="17" t="s">
        <v>44</v>
      </c>
      <c r="M1493" s="17" t="s">
        <v>206</v>
      </c>
      <c r="N1493" s="17">
        <v>967</v>
      </c>
      <c r="O1493" s="17">
        <v>581</v>
      </c>
      <c r="P1493" s="26">
        <f>(data[[#This Row],[LoadedMiles]]/data[[#This Row],[TotalMiles]])*100</f>
        <v>60.082730093071355</v>
      </c>
      <c r="Q1493" s="25">
        <f>data[[#This Row],[ShippingCost]]/data[[#This Row],[TotalMiles]]</f>
        <v>0.37538779731127198</v>
      </c>
      <c r="R1493" s="17">
        <v>363</v>
      </c>
      <c r="S1493" s="25">
        <f>data[[#This Row],[Revenue]]/data[[#This Row],[TotalMiles]]</f>
        <v>0.73526370217166492</v>
      </c>
      <c r="T1493" s="26">
        <f>data[[#This Row],[Revenue]]-data[[#This Row],[ShippingCost]]</f>
        <v>348</v>
      </c>
      <c r="U1493" s="17">
        <v>711</v>
      </c>
      <c r="V1493" s="17">
        <v>70</v>
      </c>
      <c r="W1493" s="17" t="s">
        <v>25</v>
      </c>
      <c r="X1493" s="17">
        <v>7</v>
      </c>
      <c r="Y1493" s="17">
        <f>data[[#This Row],[DeliveryDate]]-data[[#This Row],[ShipDate]]</f>
        <v>1</v>
      </c>
      <c r="Z1493" s="17" t="str">
        <f>IF(data[[#This Row],[Actual Delivery Days]]&gt;AD1494,"Yes","No")</f>
        <v>Yes</v>
      </c>
    </row>
    <row r="1494" spans="1:26">
      <c r="A1494" s="17">
        <v>11624</v>
      </c>
      <c r="B1494" s="17">
        <v>3</v>
      </c>
      <c r="C1494" s="17">
        <v>4</v>
      </c>
      <c r="D1494" s="17" t="s">
        <v>378</v>
      </c>
      <c r="E1494" s="17" t="s">
        <v>473</v>
      </c>
      <c r="F1494" s="17" t="str">
        <f>TEXT(data[[#This Row],[ShipDate]],"yyyy - mmmm")</f>
        <v>2016 - June</v>
      </c>
      <c r="G1494" s="17" t="str">
        <f>data[[#This Row],[OriginCity]] &amp; " - "  &amp; data[[#This Row],[DestinationCity]]</f>
        <v>Lansing - Dayton</v>
      </c>
      <c r="H1494" s="17" t="s">
        <v>66</v>
      </c>
      <c r="I1494" s="17" t="s">
        <v>21</v>
      </c>
      <c r="J1494" s="17">
        <v>2</v>
      </c>
      <c r="K1494" s="17" t="s">
        <v>93</v>
      </c>
      <c r="L1494" s="17" t="s">
        <v>23</v>
      </c>
      <c r="M1494" s="17" t="s">
        <v>278</v>
      </c>
      <c r="N1494" s="17">
        <v>326</v>
      </c>
      <c r="O1494" s="17">
        <v>326</v>
      </c>
      <c r="P1494" s="26">
        <f>(data[[#This Row],[LoadedMiles]]/data[[#This Row],[TotalMiles]])*100</f>
        <v>100</v>
      </c>
      <c r="Q1494" s="25">
        <f>data[[#This Row],[ShippingCost]]/data[[#This Row],[TotalMiles]]</f>
        <v>19.825153374233128</v>
      </c>
      <c r="R1494" s="17">
        <v>6463</v>
      </c>
      <c r="S1494" s="25">
        <f>data[[#This Row],[Revenue]]/data[[#This Row],[TotalMiles]]</f>
        <v>14.622699386503067</v>
      </c>
      <c r="T1494" s="26">
        <f>data[[#This Row],[Revenue]]-data[[#This Row],[ShippingCost]]</f>
        <v>-1696</v>
      </c>
      <c r="U1494" s="17">
        <v>4767</v>
      </c>
      <c r="V1494" s="17">
        <v>60</v>
      </c>
      <c r="W1494" s="17" t="s">
        <v>86</v>
      </c>
      <c r="X1494" s="17">
        <v>3</v>
      </c>
      <c r="Y1494" s="17">
        <f>data[[#This Row],[DeliveryDate]]-data[[#This Row],[ShipDate]]</f>
        <v>2</v>
      </c>
      <c r="Z1494" s="17" t="str">
        <f>IF(data[[#This Row],[Actual Delivery Days]]&gt;AD1495,"Yes","No")</f>
        <v>Yes</v>
      </c>
    </row>
    <row r="1495" spans="1:26">
      <c r="A1495" s="17">
        <v>11637</v>
      </c>
      <c r="B1495" s="17">
        <v>3</v>
      </c>
      <c r="C1495" s="17">
        <v>4</v>
      </c>
      <c r="D1495" s="17" t="s">
        <v>400</v>
      </c>
      <c r="E1495" s="17" t="s">
        <v>82</v>
      </c>
      <c r="F1495" s="17" t="str">
        <f>TEXT(data[[#This Row],[ShipDate]],"yyyy - mmmm")</f>
        <v>2016 - March</v>
      </c>
      <c r="G1495" s="17" t="str">
        <f>data[[#This Row],[OriginCity]] &amp; " - "  &amp; data[[#This Row],[DestinationCity]]</f>
        <v>Joliet - Madison</v>
      </c>
      <c r="H1495" s="17" t="s">
        <v>61</v>
      </c>
      <c r="I1495" s="17" t="s">
        <v>31</v>
      </c>
      <c r="J1495" s="17">
        <v>2</v>
      </c>
      <c r="K1495" s="17" t="s">
        <v>62</v>
      </c>
      <c r="L1495" s="17" t="s">
        <v>29</v>
      </c>
      <c r="M1495" s="17" t="s">
        <v>82</v>
      </c>
      <c r="N1495" s="17">
        <v>1180</v>
      </c>
      <c r="O1495" s="17">
        <v>369</v>
      </c>
      <c r="P1495" s="26">
        <f>(data[[#This Row],[LoadedMiles]]/data[[#This Row],[TotalMiles]])*100</f>
        <v>31.271186440677965</v>
      </c>
      <c r="Q1495" s="25">
        <f>data[[#This Row],[ShippingCost]]/data[[#This Row],[TotalMiles]]</f>
        <v>6.75</v>
      </c>
      <c r="R1495" s="17">
        <v>7965</v>
      </c>
      <c r="S1495" s="25">
        <f>data[[#This Row],[Revenue]]/data[[#This Row],[TotalMiles]]</f>
        <v>5.1745762711864405</v>
      </c>
      <c r="T1495" s="26">
        <f>data[[#This Row],[Revenue]]-data[[#This Row],[ShippingCost]]</f>
        <v>-1859</v>
      </c>
      <c r="U1495" s="17">
        <v>6106</v>
      </c>
      <c r="V1495" s="17">
        <v>62</v>
      </c>
      <c r="W1495" s="17" t="s">
        <v>25</v>
      </c>
      <c r="X1495" s="17">
        <v>2</v>
      </c>
      <c r="Y1495" s="17">
        <f>data[[#This Row],[DeliveryDate]]-data[[#This Row],[ShipDate]]</f>
        <v>0</v>
      </c>
      <c r="Z1495" s="17" t="str">
        <f>IF(data[[#This Row],[Actual Delivery Days]]&gt;AD1496,"Yes","No")</f>
        <v>No</v>
      </c>
    </row>
    <row r="1496" spans="1:26">
      <c r="A1496" s="17">
        <v>11646</v>
      </c>
      <c r="B1496" s="17">
        <v>2</v>
      </c>
      <c r="C1496" s="17">
        <v>6</v>
      </c>
      <c r="D1496" s="17" t="s">
        <v>414</v>
      </c>
      <c r="E1496" s="17" t="s">
        <v>209</v>
      </c>
      <c r="F1496" s="17" t="str">
        <f>TEXT(data[[#This Row],[ShipDate]],"yyyy - mmmm")</f>
        <v>2016 - March</v>
      </c>
      <c r="G1496" s="17" t="str">
        <f>data[[#This Row],[OriginCity]] &amp; " - "  &amp; data[[#This Row],[DestinationCity]]</f>
        <v>Toledo - Detriot</v>
      </c>
      <c r="H1496" s="17" t="s">
        <v>22</v>
      </c>
      <c r="I1496" s="17" t="s">
        <v>23</v>
      </c>
      <c r="J1496" s="17">
        <v>2</v>
      </c>
      <c r="K1496" s="17" t="s">
        <v>52</v>
      </c>
      <c r="L1496" s="17" t="s">
        <v>21</v>
      </c>
      <c r="M1496" s="17" t="s">
        <v>352</v>
      </c>
      <c r="N1496" s="17">
        <v>396</v>
      </c>
      <c r="O1496" s="17">
        <v>337</v>
      </c>
      <c r="P1496" s="26">
        <f>(data[[#This Row],[LoadedMiles]]/data[[#This Row],[TotalMiles]])*100</f>
        <v>85.101010101010104</v>
      </c>
      <c r="Q1496" s="25">
        <f>data[[#This Row],[ShippingCost]]/data[[#This Row],[TotalMiles]]</f>
        <v>12.454545454545455</v>
      </c>
      <c r="R1496" s="17">
        <v>4932</v>
      </c>
      <c r="S1496" s="25">
        <f>data[[#This Row],[Revenue]]/data[[#This Row],[TotalMiles]]</f>
        <v>13.522727272727273</v>
      </c>
      <c r="T1496" s="26">
        <f>data[[#This Row],[Revenue]]-data[[#This Row],[ShippingCost]]</f>
        <v>423</v>
      </c>
      <c r="U1496" s="17">
        <v>5355</v>
      </c>
      <c r="V1496" s="17">
        <v>89</v>
      </c>
      <c r="W1496" s="17" t="s">
        <v>25</v>
      </c>
      <c r="X1496" s="17">
        <v>5</v>
      </c>
      <c r="Y1496" s="17">
        <f>data[[#This Row],[DeliveryDate]]-data[[#This Row],[ShipDate]]</f>
        <v>2</v>
      </c>
      <c r="Z1496" s="17" t="str">
        <f>IF(data[[#This Row],[Actual Delivery Days]]&gt;AD1497,"Yes","No")</f>
        <v>Yes</v>
      </c>
    </row>
    <row r="1497" spans="1:26">
      <c r="A1497" s="17">
        <v>11650</v>
      </c>
      <c r="B1497" s="17">
        <v>2</v>
      </c>
      <c r="C1497" s="17">
        <v>4</v>
      </c>
      <c r="D1497" s="17" t="s">
        <v>425</v>
      </c>
      <c r="E1497" s="17" t="s">
        <v>88</v>
      </c>
      <c r="F1497" s="17" t="str">
        <f>TEXT(data[[#This Row],[ShipDate]],"yyyy - mmmm")</f>
        <v>2016 - February</v>
      </c>
      <c r="G1497" s="17" t="str">
        <f>data[[#This Row],[OriginCity]] &amp; " - "  &amp; data[[#This Row],[DestinationCity]]</f>
        <v>Davenport - Appleton</v>
      </c>
      <c r="H1497" s="17" t="s">
        <v>105</v>
      </c>
      <c r="I1497" s="17" t="s">
        <v>106</v>
      </c>
      <c r="J1497" s="17">
        <v>2</v>
      </c>
      <c r="K1497" s="17" t="s">
        <v>85</v>
      </c>
      <c r="L1497" s="17" t="s">
        <v>29</v>
      </c>
      <c r="M1497" s="17" t="s">
        <v>202</v>
      </c>
      <c r="N1497" s="17">
        <v>1119</v>
      </c>
      <c r="O1497" s="17">
        <v>709</v>
      </c>
      <c r="P1497" s="26">
        <f>(data[[#This Row],[LoadedMiles]]/data[[#This Row],[TotalMiles]])*100</f>
        <v>63.360142984807865</v>
      </c>
      <c r="Q1497" s="25">
        <f>data[[#This Row],[ShippingCost]]/data[[#This Row],[TotalMiles]]</f>
        <v>2.7864164432529042</v>
      </c>
      <c r="R1497" s="17">
        <v>3118</v>
      </c>
      <c r="S1497" s="25">
        <f>data[[#This Row],[Revenue]]/data[[#This Row],[TotalMiles]]</f>
        <v>1.2707774798927614</v>
      </c>
      <c r="T1497" s="26">
        <f>data[[#This Row],[Revenue]]-data[[#This Row],[ShippingCost]]</f>
        <v>-1696</v>
      </c>
      <c r="U1497" s="17">
        <v>1422</v>
      </c>
      <c r="V1497" s="17">
        <v>91</v>
      </c>
      <c r="W1497" s="17" t="s">
        <v>25</v>
      </c>
      <c r="X1497" s="17">
        <v>10</v>
      </c>
      <c r="Y1497" s="17">
        <f>data[[#This Row],[DeliveryDate]]-data[[#This Row],[ShipDate]]</f>
        <v>2</v>
      </c>
      <c r="Z1497" s="17" t="str">
        <f>IF(data[[#This Row],[Actual Delivery Days]]&gt;AD1498,"Yes","No")</f>
        <v>Yes</v>
      </c>
    </row>
    <row r="1498" spans="1:26">
      <c r="A1498" s="17">
        <v>11653</v>
      </c>
      <c r="B1498" s="17">
        <v>3</v>
      </c>
      <c r="C1498" s="17">
        <v>5</v>
      </c>
      <c r="D1498" s="17" t="s">
        <v>431</v>
      </c>
      <c r="E1498" s="17" t="s">
        <v>34</v>
      </c>
      <c r="F1498" s="17" t="str">
        <f>TEXT(data[[#This Row],[ShipDate]],"yyyy - mmmm")</f>
        <v>2016 - August</v>
      </c>
      <c r="G1498" s="17" t="str">
        <f>data[[#This Row],[OriginCity]] &amp; " - "  &amp; data[[#This Row],[DestinationCity]]</f>
        <v>Chicago - Rockford</v>
      </c>
      <c r="H1498" s="17" t="s">
        <v>39</v>
      </c>
      <c r="I1498" s="17" t="s">
        <v>31</v>
      </c>
      <c r="J1498" s="17">
        <v>2</v>
      </c>
      <c r="K1498" s="17" t="s">
        <v>40</v>
      </c>
      <c r="L1498" s="17" t="s">
        <v>31</v>
      </c>
      <c r="M1498" s="17" t="s">
        <v>240</v>
      </c>
      <c r="N1498" s="17">
        <v>232</v>
      </c>
      <c r="O1498" s="17">
        <v>232</v>
      </c>
      <c r="P1498" s="26">
        <f>(data[[#This Row],[LoadedMiles]]/data[[#This Row],[TotalMiles]])*100</f>
        <v>100</v>
      </c>
      <c r="Q1498" s="25">
        <f>data[[#This Row],[ShippingCost]]/data[[#This Row],[TotalMiles]]</f>
        <v>18.926724137931036</v>
      </c>
      <c r="R1498" s="17">
        <v>4391</v>
      </c>
      <c r="S1498" s="25">
        <f>data[[#This Row],[Revenue]]/data[[#This Row],[TotalMiles]]</f>
        <v>20.064655172413794</v>
      </c>
      <c r="T1498" s="26">
        <f>data[[#This Row],[Revenue]]-data[[#This Row],[ShippingCost]]</f>
        <v>264</v>
      </c>
      <c r="U1498" s="17">
        <v>4655</v>
      </c>
      <c r="V1498" s="17">
        <v>62</v>
      </c>
      <c r="W1498" s="17" t="s">
        <v>25</v>
      </c>
      <c r="X1498" s="17">
        <v>9</v>
      </c>
      <c r="Y1498" s="17">
        <f>data[[#This Row],[DeliveryDate]]-data[[#This Row],[ShipDate]]</f>
        <v>2</v>
      </c>
      <c r="Z1498" s="17" t="str">
        <f>IF(data[[#This Row],[Actual Delivery Days]]&gt;AD1499,"Yes","No")</f>
        <v>Yes</v>
      </c>
    </row>
    <row r="1499" spans="1:26">
      <c r="A1499" s="17">
        <v>11654</v>
      </c>
      <c r="B1499" s="17">
        <v>2</v>
      </c>
      <c r="C1499" s="17">
        <v>2</v>
      </c>
      <c r="D1499" s="17" t="s">
        <v>432</v>
      </c>
      <c r="E1499" s="17" t="s">
        <v>116</v>
      </c>
      <c r="F1499" s="17" t="str">
        <f>TEXT(data[[#This Row],[ShipDate]],"yyyy - mmmm")</f>
        <v>2016 - July</v>
      </c>
      <c r="G1499" s="17" t="str">
        <f>data[[#This Row],[OriginCity]] &amp; " - "  &amp; data[[#This Row],[DestinationCity]]</f>
        <v>Indianapolis - Northbrook</v>
      </c>
      <c r="H1499" s="17" t="s">
        <v>43</v>
      </c>
      <c r="I1499" s="17" t="s">
        <v>44</v>
      </c>
      <c r="J1499" s="17">
        <v>2</v>
      </c>
      <c r="K1499" s="17" t="s">
        <v>45</v>
      </c>
      <c r="L1499" s="17" t="s">
        <v>31</v>
      </c>
      <c r="M1499" s="17" t="s">
        <v>116</v>
      </c>
      <c r="N1499" s="17">
        <v>957</v>
      </c>
      <c r="O1499" s="17">
        <v>690</v>
      </c>
      <c r="P1499" s="26">
        <f>(data[[#This Row],[LoadedMiles]]/data[[#This Row],[TotalMiles]])*100</f>
        <v>72.100313479623821</v>
      </c>
      <c r="Q1499" s="25">
        <f>data[[#This Row],[ShippingCost]]/data[[#This Row],[TotalMiles]]</f>
        <v>7.8975966562173463</v>
      </c>
      <c r="R1499" s="17">
        <v>7558</v>
      </c>
      <c r="S1499" s="25">
        <f>data[[#This Row],[Revenue]]/data[[#This Row],[TotalMiles]]</f>
        <v>8.692789968652038</v>
      </c>
      <c r="T1499" s="26">
        <f>data[[#This Row],[Revenue]]-data[[#This Row],[ShippingCost]]</f>
        <v>761</v>
      </c>
      <c r="U1499" s="17">
        <v>8319</v>
      </c>
      <c r="V1499" s="17">
        <v>52</v>
      </c>
      <c r="W1499" s="17" t="s">
        <v>25</v>
      </c>
      <c r="X1499" s="17">
        <v>8</v>
      </c>
      <c r="Y1499" s="17">
        <f>data[[#This Row],[DeliveryDate]]-data[[#This Row],[ShipDate]]</f>
        <v>0</v>
      </c>
      <c r="Z1499" s="17" t="str">
        <f>IF(data[[#This Row],[Actual Delivery Days]]&gt;AD1500,"Yes","No")</f>
        <v>No</v>
      </c>
    </row>
    <row r="1500" spans="1:26">
      <c r="A1500" s="17">
        <v>11661</v>
      </c>
      <c r="B1500" s="17">
        <v>2</v>
      </c>
      <c r="C1500" s="17">
        <v>3</v>
      </c>
      <c r="D1500" s="17" t="s">
        <v>445</v>
      </c>
      <c r="E1500" s="17" t="s">
        <v>391</v>
      </c>
      <c r="F1500" s="17" t="str">
        <f>TEXT(data[[#This Row],[ShipDate]],"yyyy - mmmm")</f>
        <v>2016 - March</v>
      </c>
      <c r="G1500" s="17" t="str">
        <f>data[[#This Row],[OriginCity]] &amp; " - "  &amp; data[[#This Row],[DestinationCity]]</f>
        <v>Rockford - Green Bay</v>
      </c>
      <c r="H1500" s="17" t="s">
        <v>40</v>
      </c>
      <c r="I1500" s="17" t="s">
        <v>31</v>
      </c>
      <c r="J1500" s="17">
        <v>2</v>
      </c>
      <c r="K1500" s="17" t="s">
        <v>75</v>
      </c>
      <c r="L1500" s="17" t="s">
        <v>29</v>
      </c>
      <c r="M1500" s="17" t="s">
        <v>207</v>
      </c>
      <c r="N1500" s="17">
        <v>1013</v>
      </c>
      <c r="O1500" s="17">
        <v>424</v>
      </c>
      <c r="P1500" s="26">
        <f>(data[[#This Row],[LoadedMiles]]/data[[#This Row],[TotalMiles]])*100</f>
        <v>41.855873642645605</v>
      </c>
      <c r="Q1500" s="25">
        <f>data[[#This Row],[ShippingCost]]/data[[#This Row],[TotalMiles]]</f>
        <v>7.9032576505429422</v>
      </c>
      <c r="R1500" s="17">
        <v>8006</v>
      </c>
      <c r="S1500" s="25">
        <f>data[[#This Row],[Revenue]]/data[[#This Row],[TotalMiles]]</f>
        <v>8.6406712734452125</v>
      </c>
      <c r="T1500" s="26">
        <f>data[[#This Row],[Revenue]]-data[[#This Row],[ShippingCost]]</f>
        <v>747</v>
      </c>
      <c r="U1500" s="17">
        <v>8753</v>
      </c>
      <c r="V1500" s="17">
        <v>80</v>
      </c>
      <c r="W1500" s="17" t="s">
        <v>25</v>
      </c>
      <c r="X1500" s="17">
        <v>4</v>
      </c>
      <c r="Y1500" s="17">
        <f>data[[#This Row],[DeliveryDate]]-data[[#This Row],[ShipDate]]</f>
        <v>2</v>
      </c>
      <c r="Z1500" s="17" t="str">
        <f>IF(data[[#This Row],[Actual Delivery Days]]&gt;AD1501,"Yes","No")</f>
        <v>Yes</v>
      </c>
    </row>
    <row r="1501" spans="1:26">
      <c r="A1501" s="17">
        <v>11668</v>
      </c>
      <c r="B1501" s="17">
        <v>3</v>
      </c>
      <c r="C1501" s="17">
        <v>5</v>
      </c>
      <c r="D1501" s="17" t="s">
        <v>457</v>
      </c>
      <c r="E1501" s="17" t="s">
        <v>19</v>
      </c>
      <c r="F1501" s="17" t="str">
        <f>TEXT(data[[#This Row],[ShipDate]],"yyyy - mmmm")</f>
        <v>2016 - July</v>
      </c>
      <c r="G1501" s="17" t="str">
        <f>data[[#This Row],[OriginCity]] &amp; " - "  &amp; data[[#This Row],[DestinationCity]]</f>
        <v>Skokie - Chicago</v>
      </c>
      <c r="H1501" s="17" t="s">
        <v>35</v>
      </c>
      <c r="I1501" s="17" t="s">
        <v>31</v>
      </c>
      <c r="J1501" s="17">
        <v>2</v>
      </c>
      <c r="K1501" s="17" t="s">
        <v>39</v>
      </c>
      <c r="L1501" s="17" t="s">
        <v>31</v>
      </c>
      <c r="M1501" s="17" t="s">
        <v>622</v>
      </c>
      <c r="N1501" s="17">
        <v>805</v>
      </c>
      <c r="O1501" s="17">
        <v>240</v>
      </c>
      <c r="P1501" s="26">
        <f>(data[[#This Row],[LoadedMiles]]/data[[#This Row],[TotalMiles]])*100</f>
        <v>29.813664596273291</v>
      </c>
      <c r="Q1501" s="25">
        <f>data[[#This Row],[ShippingCost]]/data[[#This Row],[TotalMiles]]</f>
        <v>10.337888198757764</v>
      </c>
      <c r="R1501" s="17">
        <v>8322</v>
      </c>
      <c r="S1501" s="25">
        <f>data[[#This Row],[Revenue]]/data[[#This Row],[TotalMiles]]</f>
        <v>10.46583850931677</v>
      </c>
      <c r="T1501" s="26">
        <f>data[[#This Row],[Revenue]]-data[[#This Row],[ShippingCost]]</f>
        <v>103</v>
      </c>
      <c r="U1501" s="17">
        <v>8425</v>
      </c>
      <c r="V1501" s="17">
        <v>92</v>
      </c>
      <c r="W1501" s="17" t="s">
        <v>25</v>
      </c>
      <c r="X1501" s="17">
        <v>9</v>
      </c>
      <c r="Y1501" s="17">
        <f>data[[#This Row],[DeliveryDate]]-data[[#This Row],[ShipDate]]</f>
        <v>2</v>
      </c>
      <c r="Z1501" s="17" t="str">
        <f>IF(data[[#This Row],[Actual Delivery Days]]&gt;AD1502,"Yes","No")</f>
        <v>Yes</v>
      </c>
    </row>
    <row r="1502" spans="1:26">
      <c r="A1502" s="17">
        <v>11670</v>
      </c>
      <c r="B1502" s="17">
        <v>3</v>
      </c>
      <c r="C1502" s="17">
        <v>5</v>
      </c>
      <c r="D1502" s="17" t="s">
        <v>459</v>
      </c>
      <c r="E1502" s="17" t="s">
        <v>231</v>
      </c>
      <c r="F1502" s="17" t="str">
        <f>TEXT(data[[#This Row],[ShipDate]],"yyyy - mmmm")</f>
        <v>2016 - May</v>
      </c>
      <c r="G1502" s="17" t="str">
        <f>data[[#This Row],[OriginCity]] &amp; " - "  &amp; data[[#This Row],[DestinationCity]]</f>
        <v>Davenport - Appleton</v>
      </c>
      <c r="H1502" s="17" t="s">
        <v>105</v>
      </c>
      <c r="I1502" s="17" t="s">
        <v>106</v>
      </c>
      <c r="J1502" s="17">
        <v>2</v>
      </c>
      <c r="K1502" s="17" t="s">
        <v>85</v>
      </c>
      <c r="L1502" s="17" t="s">
        <v>29</v>
      </c>
      <c r="M1502" s="17" t="s">
        <v>58</v>
      </c>
      <c r="N1502" s="17">
        <v>601</v>
      </c>
      <c r="O1502" s="17">
        <v>335</v>
      </c>
      <c r="P1502" s="26">
        <f>(data[[#This Row],[LoadedMiles]]/data[[#This Row],[TotalMiles]])*100</f>
        <v>55.740432612312809</v>
      </c>
      <c r="Q1502" s="25">
        <f>data[[#This Row],[ShippingCost]]/data[[#This Row],[TotalMiles]]</f>
        <v>11.081530782029951</v>
      </c>
      <c r="R1502" s="17">
        <v>6660</v>
      </c>
      <c r="S1502" s="25">
        <f>data[[#This Row],[Revenue]]/data[[#This Row],[TotalMiles]]</f>
        <v>11.760399334442596</v>
      </c>
      <c r="T1502" s="26">
        <f>data[[#This Row],[Revenue]]-data[[#This Row],[ShippingCost]]</f>
        <v>408</v>
      </c>
      <c r="U1502" s="17">
        <v>7068</v>
      </c>
      <c r="V1502" s="17">
        <v>50</v>
      </c>
      <c r="W1502" s="17" t="s">
        <v>25</v>
      </c>
      <c r="X1502" s="17">
        <v>4</v>
      </c>
      <c r="Y1502" s="17">
        <f>data[[#This Row],[DeliveryDate]]-data[[#This Row],[ShipDate]]</f>
        <v>2</v>
      </c>
      <c r="Z1502" s="17" t="str">
        <f>IF(data[[#This Row],[Actual Delivery Days]]&gt;AD1503,"Yes","No")</f>
        <v>Yes</v>
      </c>
    </row>
    <row r="1503" spans="1:26">
      <c r="A1503" s="17">
        <v>11683</v>
      </c>
      <c r="B1503" s="17">
        <v>2</v>
      </c>
      <c r="C1503" s="17">
        <v>6</v>
      </c>
      <c r="D1503" s="17" t="s">
        <v>482</v>
      </c>
      <c r="E1503" s="17" t="s">
        <v>597</v>
      </c>
      <c r="F1503" s="17" t="str">
        <f>TEXT(data[[#This Row],[ShipDate]],"yyyy - mmmm")</f>
        <v>2016 - August</v>
      </c>
      <c r="G1503" s="17" t="str">
        <f>data[[#This Row],[OriginCity]] &amp; " - "  &amp; data[[#This Row],[DestinationCity]]</f>
        <v>Cincinnati - Gary</v>
      </c>
      <c r="H1503" s="17" t="s">
        <v>89</v>
      </c>
      <c r="I1503" s="17" t="s">
        <v>23</v>
      </c>
      <c r="J1503" s="17">
        <v>2</v>
      </c>
      <c r="K1503" s="17" t="s">
        <v>57</v>
      </c>
      <c r="L1503" s="17" t="s">
        <v>44</v>
      </c>
      <c r="M1503" s="17" t="s">
        <v>118</v>
      </c>
      <c r="N1503" s="17">
        <v>503</v>
      </c>
      <c r="O1503" s="17">
        <v>503</v>
      </c>
      <c r="P1503" s="26">
        <f>(data[[#This Row],[LoadedMiles]]/data[[#This Row],[TotalMiles]])*100</f>
        <v>100</v>
      </c>
      <c r="Q1503" s="25">
        <f>data[[#This Row],[ShippingCost]]/data[[#This Row],[TotalMiles]]</f>
        <v>11.475149105367793</v>
      </c>
      <c r="R1503" s="17">
        <v>5772</v>
      </c>
      <c r="S1503" s="25">
        <f>data[[#This Row],[Revenue]]/data[[#This Row],[TotalMiles]]</f>
        <v>12.679920477137177</v>
      </c>
      <c r="T1503" s="26">
        <f>data[[#This Row],[Revenue]]-data[[#This Row],[ShippingCost]]</f>
        <v>606</v>
      </c>
      <c r="U1503" s="17">
        <v>6378</v>
      </c>
      <c r="V1503" s="17">
        <v>52</v>
      </c>
      <c r="W1503" s="17" t="s">
        <v>25</v>
      </c>
      <c r="X1503" s="17">
        <v>4</v>
      </c>
      <c r="Y1503" s="17">
        <f>data[[#This Row],[DeliveryDate]]-data[[#This Row],[ShipDate]]</f>
        <v>2</v>
      </c>
      <c r="Z1503" s="17" t="str">
        <f>IF(data[[#This Row],[Actual Delivery Days]]&gt;AD1504,"Yes","No")</f>
        <v>Yes</v>
      </c>
    </row>
    <row r="1504" spans="1:26">
      <c r="A1504" s="17">
        <v>11694</v>
      </c>
      <c r="B1504" s="17">
        <v>3</v>
      </c>
      <c r="C1504" s="17">
        <v>2</v>
      </c>
      <c r="D1504" s="17" t="s">
        <v>497</v>
      </c>
      <c r="E1504" s="17" t="s">
        <v>283</v>
      </c>
      <c r="F1504" s="17" t="str">
        <f>TEXT(data[[#This Row],[ShipDate]],"yyyy - mmmm")</f>
        <v>2016 - June</v>
      </c>
      <c r="G1504" s="17" t="str">
        <f>data[[#This Row],[OriginCity]] &amp; " - "  &amp; data[[#This Row],[DestinationCity]]</f>
        <v>Northbrook - Naperville</v>
      </c>
      <c r="H1504" s="17" t="s">
        <v>45</v>
      </c>
      <c r="I1504" s="17" t="s">
        <v>31</v>
      </c>
      <c r="J1504" s="17">
        <v>2</v>
      </c>
      <c r="K1504" s="17" t="s">
        <v>48</v>
      </c>
      <c r="L1504" s="17" t="s">
        <v>31</v>
      </c>
      <c r="M1504" s="17" t="s">
        <v>444</v>
      </c>
      <c r="N1504" s="17">
        <v>671</v>
      </c>
      <c r="O1504" s="17">
        <v>671</v>
      </c>
      <c r="P1504" s="26">
        <f>(data[[#This Row],[LoadedMiles]]/data[[#This Row],[TotalMiles]])*100</f>
        <v>100</v>
      </c>
      <c r="Q1504" s="25">
        <f>data[[#This Row],[ShippingCost]]/data[[#This Row],[TotalMiles]]</f>
        <v>7.0804769001490309</v>
      </c>
      <c r="R1504" s="17">
        <v>4751</v>
      </c>
      <c r="S1504" s="25">
        <f>data[[#This Row],[Revenue]]/data[[#This Row],[TotalMiles]]</f>
        <v>7.2876304023845009</v>
      </c>
      <c r="T1504" s="26">
        <f>data[[#This Row],[Revenue]]-data[[#This Row],[ShippingCost]]</f>
        <v>139</v>
      </c>
      <c r="U1504" s="17">
        <v>4890</v>
      </c>
      <c r="V1504" s="17">
        <v>92</v>
      </c>
      <c r="W1504" s="17" t="s">
        <v>25</v>
      </c>
      <c r="X1504" s="17">
        <v>6</v>
      </c>
      <c r="Y1504" s="17">
        <f>data[[#This Row],[DeliveryDate]]-data[[#This Row],[ShipDate]]</f>
        <v>2</v>
      </c>
      <c r="Z1504" s="17" t="str">
        <f>IF(data[[#This Row],[Actual Delivery Days]]&gt;AD1505,"Yes","No")</f>
        <v>Yes</v>
      </c>
    </row>
    <row r="1505" spans="1:26">
      <c r="A1505" s="17">
        <v>11711</v>
      </c>
      <c r="B1505" s="17">
        <v>2</v>
      </c>
      <c r="C1505" s="17">
        <v>6</v>
      </c>
      <c r="D1505" s="17" t="s">
        <v>518</v>
      </c>
      <c r="E1505" s="17" t="s">
        <v>248</v>
      </c>
      <c r="F1505" s="17" t="str">
        <f>TEXT(data[[#This Row],[ShipDate]],"yyyy - mmmm")</f>
        <v>2016 - May</v>
      </c>
      <c r="G1505" s="17" t="str">
        <f>data[[#This Row],[OriginCity]] &amp; " - "  &amp; data[[#This Row],[DestinationCity]]</f>
        <v>Kalamazoo - Bangor</v>
      </c>
      <c r="H1505" s="17" t="s">
        <v>71</v>
      </c>
      <c r="I1505" s="17" t="s">
        <v>21</v>
      </c>
      <c r="J1505" s="17">
        <v>2</v>
      </c>
      <c r="K1505" s="17" t="s">
        <v>104</v>
      </c>
      <c r="L1505" s="17" t="s">
        <v>21</v>
      </c>
      <c r="M1505" s="17" t="s">
        <v>312</v>
      </c>
      <c r="N1505" s="17">
        <v>852</v>
      </c>
      <c r="O1505" s="17">
        <v>314</v>
      </c>
      <c r="P1505" s="26">
        <f>(data[[#This Row],[LoadedMiles]]/data[[#This Row],[TotalMiles]])*100</f>
        <v>36.854460093896712</v>
      </c>
      <c r="Q1505" s="25">
        <f>data[[#This Row],[ShippingCost]]/data[[#This Row],[TotalMiles]]</f>
        <v>5.583333333333333</v>
      </c>
      <c r="R1505" s="17">
        <v>4757</v>
      </c>
      <c r="S1505" s="25">
        <f>data[[#This Row],[Revenue]]/data[[#This Row],[TotalMiles]]</f>
        <v>5.922535211267606</v>
      </c>
      <c r="T1505" s="26">
        <f>data[[#This Row],[Revenue]]-data[[#This Row],[ShippingCost]]</f>
        <v>289</v>
      </c>
      <c r="U1505" s="17">
        <v>5046</v>
      </c>
      <c r="V1505" s="17">
        <v>93</v>
      </c>
      <c r="W1505" s="17" t="s">
        <v>86</v>
      </c>
      <c r="X1505" s="17">
        <v>2</v>
      </c>
      <c r="Y1505" s="17">
        <f>data[[#This Row],[DeliveryDate]]-data[[#This Row],[ShipDate]]</f>
        <v>2</v>
      </c>
      <c r="Z1505" s="17" t="str">
        <f>IF(data[[#This Row],[Actual Delivery Days]]&gt;AD1506,"Yes","No")</f>
        <v>Yes</v>
      </c>
    </row>
    <row r="1506" spans="1:26">
      <c r="A1506" s="17">
        <v>11714</v>
      </c>
      <c r="B1506" s="17">
        <v>2</v>
      </c>
      <c r="C1506" s="17">
        <v>2</v>
      </c>
      <c r="D1506" s="17" t="s">
        <v>523</v>
      </c>
      <c r="E1506" s="17" t="s">
        <v>278</v>
      </c>
      <c r="F1506" s="17" t="str">
        <f>TEXT(data[[#This Row],[ShipDate]],"yyyy - mmmm")</f>
        <v>2016 - June</v>
      </c>
      <c r="G1506" s="17" t="str">
        <f>data[[#This Row],[OriginCity]] &amp; " - "  &amp; data[[#This Row],[DestinationCity]]</f>
        <v>Milwaukee - Springfield</v>
      </c>
      <c r="H1506" s="17" t="s">
        <v>28</v>
      </c>
      <c r="I1506" s="17" t="s">
        <v>29</v>
      </c>
      <c r="J1506" s="17">
        <v>2</v>
      </c>
      <c r="K1506" s="17" t="s">
        <v>30</v>
      </c>
      <c r="L1506" s="17" t="s">
        <v>31</v>
      </c>
      <c r="M1506" s="17" t="s">
        <v>613</v>
      </c>
      <c r="N1506" s="17">
        <v>427</v>
      </c>
      <c r="O1506" s="17">
        <v>427</v>
      </c>
      <c r="P1506" s="26">
        <f>(data[[#This Row],[LoadedMiles]]/data[[#This Row],[TotalMiles]])*100</f>
        <v>100</v>
      </c>
      <c r="Q1506" s="25">
        <f>data[[#This Row],[ShippingCost]]/data[[#This Row],[TotalMiles]]</f>
        <v>9.3911007025761126</v>
      </c>
      <c r="R1506" s="17">
        <v>4010</v>
      </c>
      <c r="S1506" s="25">
        <f>data[[#This Row],[Revenue]]/data[[#This Row],[TotalMiles]]</f>
        <v>10.491803278688524</v>
      </c>
      <c r="T1506" s="26">
        <f>data[[#This Row],[Revenue]]-data[[#This Row],[ShippingCost]]</f>
        <v>470</v>
      </c>
      <c r="U1506" s="17">
        <v>4480</v>
      </c>
      <c r="V1506" s="17">
        <v>96</v>
      </c>
      <c r="W1506" s="17" t="s">
        <v>25</v>
      </c>
      <c r="X1506" s="17">
        <v>10</v>
      </c>
      <c r="Y1506" s="17">
        <f>data[[#This Row],[DeliveryDate]]-data[[#This Row],[ShipDate]]</f>
        <v>2</v>
      </c>
      <c r="Z1506" s="17" t="str">
        <f>IF(data[[#This Row],[Actual Delivery Days]]&gt;AD1507,"Yes","No")</f>
        <v>Yes</v>
      </c>
    </row>
    <row r="1507" spans="1:26">
      <c r="A1507" s="17">
        <v>11718</v>
      </c>
      <c r="B1507" s="17">
        <v>2</v>
      </c>
      <c r="C1507" s="17">
        <v>3</v>
      </c>
      <c r="D1507" s="17" t="s">
        <v>527</v>
      </c>
      <c r="E1507" s="17" t="s">
        <v>229</v>
      </c>
      <c r="F1507" s="17" t="str">
        <f>TEXT(data[[#This Row],[ShipDate]],"yyyy - mmmm")</f>
        <v>2016 - January</v>
      </c>
      <c r="G1507" s="17" t="str">
        <f>data[[#This Row],[OriginCity]] &amp; " - "  &amp; data[[#This Row],[DestinationCity]]</f>
        <v>Northbrook - Naperville</v>
      </c>
      <c r="H1507" s="17" t="s">
        <v>45</v>
      </c>
      <c r="I1507" s="17" t="s">
        <v>31</v>
      </c>
      <c r="J1507" s="17">
        <v>2</v>
      </c>
      <c r="K1507" s="17" t="s">
        <v>48</v>
      </c>
      <c r="L1507" s="17" t="s">
        <v>31</v>
      </c>
      <c r="M1507" s="17" t="s">
        <v>394</v>
      </c>
      <c r="N1507" s="17">
        <v>753</v>
      </c>
      <c r="O1507" s="17">
        <v>753</v>
      </c>
      <c r="P1507" s="26">
        <f>(data[[#This Row],[LoadedMiles]]/data[[#This Row],[TotalMiles]])*100</f>
        <v>100</v>
      </c>
      <c r="Q1507" s="25">
        <f>data[[#This Row],[ShippingCost]]/data[[#This Row],[TotalMiles]]</f>
        <v>8.3545816733067735</v>
      </c>
      <c r="R1507" s="17">
        <v>6291</v>
      </c>
      <c r="S1507" s="25">
        <f>data[[#This Row],[Revenue]]/data[[#This Row],[TotalMiles]]</f>
        <v>8.4980079681274905</v>
      </c>
      <c r="T1507" s="26">
        <f>data[[#This Row],[Revenue]]-data[[#This Row],[ShippingCost]]</f>
        <v>108</v>
      </c>
      <c r="U1507" s="17">
        <v>6399</v>
      </c>
      <c r="V1507" s="17">
        <v>96</v>
      </c>
      <c r="W1507" s="17" t="s">
        <v>25</v>
      </c>
      <c r="X1507" s="17">
        <v>3</v>
      </c>
      <c r="Y1507" s="17">
        <f>data[[#This Row],[DeliveryDate]]-data[[#This Row],[ShipDate]]</f>
        <v>2</v>
      </c>
      <c r="Z1507" s="17" t="str">
        <f>IF(data[[#This Row],[Actual Delivery Days]]&gt;AD1508,"Yes","No")</f>
        <v>Yes</v>
      </c>
    </row>
    <row r="1508" spans="1:26">
      <c r="A1508" s="17">
        <v>11721</v>
      </c>
      <c r="B1508" s="17">
        <v>2</v>
      </c>
      <c r="C1508" s="17">
        <v>3</v>
      </c>
      <c r="D1508" s="17" t="s">
        <v>534</v>
      </c>
      <c r="E1508" s="17" t="s">
        <v>240</v>
      </c>
      <c r="F1508" s="17" t="str">
        <f>TEXT(data[[#This Row],[ShipDate]],"yyyy - mmmm")</f>
        <v>2016 - August</v>
      </c>
      <c r="G1508" s="17" t="str">
        <f>data[[#This Row],[OriginCity]] &amp; " - "  &amp; data[[#This Row],[DestinationCity]]</f>
        <v>Madison - Kalamazoo</v>
      </c>
      <c r="H1508" s="17" t="s">
        <v>62</v>
      </c>
      <c r="I1508" s="17" t="s">
        <v>29</v>
      </c>
      <c r="J1508" s="17">
        <v>2</v>
      </c>
      <c r="K1508" s="17" t="s">
        <v>71</v>
      </c>
      <c r="L1508" s="17" t="s">
        <v>21</v>
      </c>
      <c r="M1508" s="17" t="s">
        <v>339</v>
      </c>
      <c r="N1508" s="17">
        <v>289</v>
      </c>
      <c r="O1508" s="17">
        <v>245</v>
      </c>
      <c r="P1508" s="26">
        <f>(data[[#This Row],[LoadedMiles]]/data[[#This Row],[TotalMiles]])*100</f>
        <v>84.775086505190316</v>
      </c>
      <c r="Q1508" s="25">
        <f>data[[#This Row],[ShippingCost]]/data[[#This Row],[TotalMiles]]</f>
        <v>1.5397923875432526</v>
      </c>
      <c r="R1508" s="17">
        <v>445</v>
      </c>
      <c r="S1508" s="25">
        <f>data[[#This Row],[Revenue]]/data[[#This Row],[TotalMiles]]</f>
        <v>4.0968858131487886</v>
      </c>
      <c r="T1508" s="26">
        <f>data[[#This Row],[Revenue]]-data[[#This Row],[ShippingCost]]</f>
        <v>739</v>
      </c>
      <c r="U1508" s="17">
        <v>1184</v>
      </c>
      <c r="V1508" s="17">
        <v>58</v>
      </c>
      <c r="W1508" s="17" t="s">
        <v>25</v>
      </c>
      <c r="X1508" s="17">
        <v>3</v>
      </c>
      <c r="Y1508" s="17">
        <f>data[[#This Row],[DeliveryDate]]-data[[#This Row],[ShipDate]]</f>
        <v>2</v>
      </c>
      <c r="Z1508" s="17" t="str">
        <f>IF(data[[#This Row],[Actual Delivery Days]]&gt;AD1509,"Yes","No")</f>
        <v>Yes</v>
      </c>
    </row>
    <row r="1509" spans="1:26">
      <c r="A1509" s="17">
        <v>11723</v>
      </c>
      <c r="B1509" s="17">
        <v>2</v>
      </c>
      <c r="C1509" s="17">
        <v>4</v>
      </c>
      <c r="D1509" s="17" t="s">
        <v>538</v>
      </c>
      <c r="E1509" s="17" t="s">
        <v>480</v>
      </c>
      <c r="F1509" s="17" t="str">
        <f>TEXT(data[[#This Row],[ShipDate]],"yyyy - mmmm")</f>
        <v>2016 - April</v>
      </c>
      <c r="G1509" s="17" t="str">
        <f>data[[#This Row],[OriginCity]] &amp; " - "  &amp; data[[#This Row],[DestinationCity]]</f>
        <v>Naperville - Indianapolis</v>
      </c>
      <c r="H1509" s="17" t="s">
        <v>48</v>
      </c>
      <c r="I1509" s="17" t="s">
        <v>31</v>
      </c>
      <c r="J1509" s="17">
        <v>2</v>
      </c>
      <c r="K1509" s="17" t="s">
        <v>43</v>
      </c>
      <c r="L1509" s="17" t="s">
        <v>44</v>
      </c>
      <c r="M1509" s="17" t="s">
        <v>480</v>
      </c>
      <c r="N1509" s="17">
        <v>406</v>
      </c>
      <c r="O1509" s="17">
        <v>406</v>
      </c>
      <c r="P1509" s="26">
        <f>(data[[#This Row],[LoadedMiles]]/data[[#This Row],[TotalMiles]])*100</f>
        <v>100</v>
      </c>
      <c r="Q1509" s="25">
        <f>data[[#This Row],[ShippingCost]]/data[[#This Row],[TotalMiles]]</f>
        <v>20.66256157635468</v>
      </c>
      <c r="R1509" s="17">
        <v>8389</v>
      </c>
      <c r="S1509" s="25">
        <f>data[[#This Row],[Revenue]]/data[[#This Row],[TotalMiles]]</f>
        <v>13.571428571428571</v>
      </c>
      <c r="T1509" s="26">
        <f>data[[#This Row],[Revenue]]-data[[#This Row],[ShippingCost]]</f>
        <v>-2879</v>
      </c>
      <c r="U1509" s="17">
        <v>5510</v>
      </c>
      <c r="V1509" s="17">
        <v>56</v>
      </c>
      <c r="W1509" s="17" t="s">
        <v>25</v>
      </c>
      <c r="X1509" s="17">
        <v>5</v>
      </c>
      <c r="Y1509" s="17">
        <f>data[[#This Row],[DeliveryDate]]-data[[#This Row],[ShipDate]]</f>
        <v>0</v>
      </c>
      <c r="Z1509" s="17" t="str">
        <f>IF(data[[#This Row],[Actual Delivery Days]]&gt;AD1510,"Yes","No")</f>
        <v>No</v>
      </c>
    </row>
    <row r="1510" spans="1:26">
      <c r="A1510" s="17">
        <v>11729</v>
      </c>
      <c r="B1510" s="17">
        <v>3</v>
      </c>
      <c r="C1510" s="17">
        <v>1</v>
      </c>
      <c r="D1510" s="17" t="s">
        <v>546</v>
      </c>
      <c r="E1510" s="17" t="s">
        <v>92</v>
      </c>
      <c r="F1510" s="17" t="str">
        <f>TEXT(data[[#This Row],[ShipDate]],"yyyy - mmmm")</f>
        <v>2016 - February</v>
      </c>
      <c r="G1510" s="17" t="str">
        <f>data[[#This Row],[OriginCity]] &amp; " - "  &amp; data[[#This Row],[DestinationCity]]</f>
        <v>Lansing - Dayton</v>
      </c>
      <c r="H1510" s="17" t="s">
        <v>66</v>
      </c>
      <c r="I1510" s="17" t="s">
        <v>21</v>
      </c>
      <c r="J1510" s="17">
        <v>2</v>
      </c>
      <c r="K1510" s="17" t="s">
        <v>93</v>
      </c>
      <c r="L1510" s="17" t="s">
        <v>23</v>
      </c>
      <c r="M1510" s="17" t="s">
        <v>259</v>
      </c>
      <c r="N1510" s="17">
        <v>295</v>
      </c>
      <c r="O1510" s="17">
        <v>201</v>
      </c>
      <c r="P1510" s="26">
        <f>(data[[#This Row],[LoadedMiles]]/data[[#This Row],[TotalMiles]])*100</f>
        <v>68.13559322033899</v>
      </c>
      <c r="Q1510" s="25">
        <f>data[[#This Row],[ShippingCost]]/data[[#This Row],[TotalMiles]]</f>
        <v>15.264406779661018</v>
      </c>
      <c r="R1510" s="17">
        <v>4503</v>
      </c>
      <c r="S1510" s="25">
        <f>data[[#This Row],[Revenue]]/data[[#This Row],[TotalMiles]]</f>
        <v>31.291525423728814</v>
      </c>
      <c r="T1510" s="26">
        <f>data[[#This Row],[Revenue]]-data[[#This Row],[ShippingCost]]</f>
        <v>4728</v>
      </c>
      <c r="U1510" s="17">
        <v>9231</v>
      </c>
      <c r="V1510" s="17">
        <v>58</v>
      </c>
      <c r="W1510" s="17" t="s">
        <v>86</v>
      </c>
      <c r="X1510" s="17">
        <v>4</v>
      </c>
      <c r="Y1510" s="17">
        <f>data[[#This Row],[DeliveryDate]]-data[[#This Row],[ShipDate]]</f>
        <v>2</v>
      </c>
      <c r="Z1510" s="17" t="str">
        <f>IF(data[[#This Row],[Actual Delivery Days]]&gt;AD1511,"Yes","No")</f>
        <v>Yes</v>
      </c>
    </row>
    <row r="1511" spans="1:26">
      <c r="A1511" s="17">
        <v>11730</v>
      </c>
      <c r="B1511" s="17">
        <v>3</v>
      </c>
      <c r="C1511" s="17">
        <v>3</v>
      </c>
      <c r="D1511" s="17" t="s">
        <v>547</v>
      </c>
      <c r="E1511" s="17" t="s">
        <v>341</v>
      </c>
      <c r="F1511" s="17" t="str">
        <f>TEXT(data[[#This Row],[ShipDate]],"yyyy - mmmm")</f>
        <v>2016 - August</v>
      </c>
      <c r="G1511" s="17" t="str">
        <f>data[[#This Row],[OriginCity]] &amp; " - "  &amp; data[[#This Row],[DestinationCity]]</f>
        <v>Bangor - Davenport</v>
      </c>
      <c r="H1511" s="17" t="s">
        <v>104</v>
      </c>
      <c r="I1511" s="17" t="s">
        <v>21</v>
      </c>
      <c r="J1511" s="17">
        <v>2</v>
      </c>
      <c r="K1511" s="17" t="s">
        <v>105</v>
      </c>
      <c r="L1511" s="17" t="s">
        <v>106</v>
      </c>
      <c r="M1511" s="17" t="s">
        <v>597</v>
      </c>
      <c r="N1511" s="17">
        <v>995</v>
      </c>
      <c r="O1511" s="17">
        <v>258</v>
      </c>
      <c r="P1511" s="26">
        <f>(data[[#This Row],[LoadedMiles]]/data[[#This Row],[TotalMiles]])*100</f>
        <v>25.929648241206031</v>
      </c>
      <c r="Q1511" s="25">
        <f>data[[#This Row],[ShippingCost]]/data[[#This Row],[TotalMiles]]</f>
        <v>6.1909547738693469</v>
      </c>
      <c r="R1511" s="17">
        <v>6160</v>
      </c>
      <c r="S1511" s="25">
        <f>data[[#This Row],[Revenue]]/data[[#This Row],[TotalMiles]]</f>
        <v>6.4994974874371856</v>
      </c>
      <c r="T1511" s="26">
        <f>data[[#This Row],[Revenue]]-data[[#This Row],[ShippingCost]]</f>
        <v>307</v>
      </c>
      <c r="U1511" s="17">
        <v>6467</v>
      </c>
      <c r="V1511" s="17">
        <v>59</v>
      </c>
      <c r="W1511" s="17" t="s">
        <v>25</v>
      </c>
      <c r="X1511" s="17">
        <v>2</v>
      </c>
      <c r="Y1511" s="17">
        <f>data[[#This Row],[DeliveryDate]]-data[[#This Row],[ShipDate]]</f>
        <v>2</v>
      </c>
      <c r="Z1511" s="17" t="str">
        <f>IF(data[[#This Row],[Actual Delivery Days]]&gt;AD1512,"Yes","No")</f>
        <v>Yes</v>
      </c>
    </row>
    <row r="1512" spans="1:26">
      <c r="A1512" s="17">
        <v>11731</v>
      </c>
      <c r="B1512" s="17">
        <v>2</v>
      </c>
      <c r="C1512" s="17">
        <v>2</v>
      </c>
      <c r="D1512" s="17" t="s">
        <v>548</v>
      </c>
      <c r="E1512" s="17" t="s">
        <v>261</v>
      </c>
      <c r="F1512" s="17" t="str">
        <f>TEXT(data[[#This Row],[ShipDate]],"yyyy - mmmm")</f>
        <v>2016 - May</v>
      </c>
      <c r="G1512" s="17" t="str">
        <f>data[[#This Row],[OriginCity]] &amp; " - "  &amp; data[[#This Row],[DestinationCity]]</f>
        <v>Elgin - Cincinnati</v>
      </c>
      <c r="H1512" s="17" t="s">
        <v>94</v>
      </c>
      <c r="I1512" s="17" t="s">
        <v>31</v>
      </c>
      <c r="J1512" s="17">
        <v>2</v>
      </c>
      <c r="K1512" s="17" t="s">
        <v>89</v>
      </c>
      <c r="L1512" s="17" t="s">
        <v>23</v>
      </c>
      <c r="M1512" s="17" t="s">
        <v>248</v>
      </c>
      <c r="N1512" s="17">
        <v>852</v>
      </c>
      <c r="O1512" s="17">
        <v>426</v>
      </c>
      <c r="P1512" s="26">
        <f>(data[[#This Row],[LoadedMiles]]/data[[#This Row],[TotalMiles]])*100</f>
        <v>50</v>
      </c>
      <c r="Q1512" s="25">
        <f>data[[#This Row],[ShippingCost]]/data[[#This Row],[TotalMiles]]</f>
        <v>5.9178403755868541</v>
      </c>
      <c r="R1512" s="17">
        <v>5042</v>
      </c>
      <c r="S1512" s="25">
        <f>data[[#This Row],[Revenue]]/data[[#This Row],[TotalMiles]]</f>
        <v>6.938967136150235</v>
      </c>
      <c r="T1512" s="26">
        <f>data[[#This Row],[Revenue]]-data[[#This Row],[ShippingCost]]</f>
        <v>870</v>
      </c>
      <c r="U1512" s="17">
        <v>5912</v>
      </c>
      <c r="V1512" s="17">
        <v>99</v>
      </c>
      <c r="W1512" s="17" t="s">
        <v>25</v>
      </c>
      <c r="X1512" s="17">
        <v>1</v>
      </c>
      <c r="Y1512" s="17">
        <f>data[[#This Row],[DeliveryDate]]-data[[#This Row],[ShipDate]]</f>
        <v>2</v>
      </c>
      <c r="Z1512" s="17" t="str">
        <f>IF(data[[#This Row],[Actual Delivery Days]]&gt;AD1513,"Yes","No")</f>
        <v>Yes</v>
      </c>
    </row>
    <row r="1513" spans="1:26">
      <c r="A1513" s="17">
        <v>11739</v>
      </c>
      <c r="B1513" s="17">
        <v>2</v>
      </c>
      <c r="C1513" s="17">
        <v>3</v>
      </c>
      <c r="D1513" s="17" t="s">
        <v>558</v>
      </c>
      <c r="E1513" s="17" t="s">
        <v>513</v>
      </c>
      <c r="F1513" s="17" t="str">
        <f>TEXT(data[[#This Row],[ShipDate]],"yyyy - mmmm")</f>
        <v>2016 - August</v>
      </c>
      <c r="G1513" s="17" t="str">
        <f>data[[#This Row],[OriginCity]] &amp; " - "  &amp; data[[#This Row],[DestinationCity]]</f>
        <v>Northbrook - Naperville</v>
      </c>
      <c r="H1513" s="17" t="s">
        <v>45</v>
      </c>
      <c r="I1513" s="17" t="s">
        <v>31</v>
      </c>
      <c r="J1513" s="17">
        <v>2</v>
      </c>
      <c r="K1513" s="17" t="s">
        <v>48</v>
      </c>
      <c r="L1513" s="17" t="s">
        <v>31</v>
      </c>
      <c r="M1513" s="17" t="s">
        <v>535</v>
      </c>
      <c r="N1513" s="17">
        <v>537</v>
      </c>
      <c r="O1513" s="17">
        <v>537</v>
      </c>
      <c r="P1513" s="26">
        <f>(data[[#This Row],[LoadedMiles]]/data[[#This Row],[TotalMiles]])*100</f>
        <v>100</v>
      </c>
      <c r="Q1513" s="25">
        <f>data[[#This Row],[ShippingCost]]/data[[#This Row],[TotalMiles]]</f>
        <v>3.6703910614525141</v>
      </c>
      <c r="R1513" s="17">
        <v>1971</v>
      </c>
      <c r="S1513" s="25">
        <f>data[[#This Row],[Revenue]]/data[[#This Row],[TotalMiles]]</f>
        <v>4.5605214152700189</v>
      </c>
      <c r="T1513" s="26">
        <f>data[[#This Row],[Revenue]]-data[[#This Row],[ShippingCost]]</f>
        <v>478</v>
      </c>
      <c r="U1513" s="17">
        <v>2449</v>
      </c>
      <c r="V1513" s="17">
        <v>61</v>
      </c>
      <c r="W1513" s="17" t="s">
        <v>25</v>
      </c>
      <c r="X1513" s="17">
        <v>8</v>
      </c>
      <c r="Y1513" s="17">
        <f>data[[#This Row],[DeliveryDate]]-data[[#This Row],[ShipDate]]</f>
        <v>2</v>
      </c>
      <c r="Z1513" s="17" t="str">
        <f>IF(data[[#This Row],[Actual Delivery Days]]&gt;AD1514,"Yes","No")</f>
        <v>Yes</v>
      </c>
    </row>
    <row r="1514" spans="1:26">
      <c r="A1514" s="17">
        <v>11742</v>
      </c>
      <c r="B1514" s="17">
        <v>3</v>
      </c>
      <c r="C1514" s="17">
        <v>3</v>
      </c>
      <c r="D1514" s="17" t="s">
        <v>561</v>
      </c>
      <c r="E1514" s="17" t="s">
        <v>191</v>
      </c>
      <c r="F1514" s="17" t="str">
        <f>TEXT(data[[#This Row],[ShipDate]],"yyyy - mmmm")</f>
        <v>2016 - July</v>
      </c>
      <c r="G1514" s="17" t="str">
        <f>data[[#This Row],[OriginCity]] &amp; " - "  &amp; data[[#This Row],[DestinationCity]]</f>
        <v>Joliet - Madison</v>
      </c>
      <c r="H1514" s="17" t="s">
        <v>61</v>
      </c>
      <c r="I1514" s="17" t="s">
        <v>31</v>
      </c>
      <c r="J1514" s="17">
        <v>2</v>
      </c>
      <c r="K1514" s="17" t="s">
        <v>62</v>
      </c>
      <c r="L1514" s="17" t="s">
        <v>29</v>
      </c>
      <c r="M1514" s="17" t="s">
        <v>179</v>
      </c>
      <c r="N1514" s="17">
        <v>427</v>
      </c>
      <c r="O1514" s="17">
        <v>427</v>
      </c>
      <c r="P1514" s="26">
        <f>(data[[#This Row],[LoadedMiles]]/data[[#This Row],[TotalMiles]])*100</f>
        <v>100</v>
      </c>
      <c r="Q1514" s="25">
        <f>data[[#This Row],[ShippingCost]]/data[[#This Row],[TotalMiles]]</f>
        <v>0.48711943793911006</v>
      </c>
      <c r="R1514" s="17">
        <v>208</v>
      </c>
      <c r="S1514" s="25">
        <f>data[[#This Row],[Revenue]]/data[[#This Row],[TotalMiles]]</f>
        <v>0.98594847775175642</v>
      </c>
      <c r="T1514" s="26">
        <f>data[[#This Row],[Revenue]]-data[[#This Row],[ShippingCost]]</f>
        <v>213</v>
      </c>
      <c r="U1514" s="17">
        <v>421</v>
      </c>
      <c r="V1514" s="17">
        <v>67</v>
      </c>
      <c r="W1514" s="17" t="s">
        <v>25</v>
      </c>
      <c r="X1514" s="17">
        <v>6</v>
      </c>
      <c r="Y1514" s="17">
        <f>data[[#This Row],[DeliveryDate]]-data[[#This Row],[ShipDate]]</f>
        <v>1</v>
      </c>
      <c r="Z1514" s="17" t="str">
        <f>IF(data[[#This Row],[Actual Delivery Days]]&gt;AD1515,"Yes","No")</f>
        <v>Yes</v>
      </c>
    </row>
    <row r="1515" spans="1:26">
      <c r="A1515" s="17">
        <v>11748</v>
      </c>
      <c r="B1515" s="17">
        <v>2</v>
      </c>
      <c r="C1515" s="17">
        <v>3</v>
      </c>
      <c r="D1515" s="17" t="s">
        <v>568</v>
      </c>
      <c r="E1515" s="17" t="s">
        <v>177</v>
      </c>
      <c r="F1515" s="17" t="str">
        <f>TEXT(data[[#This Row],[ShipDate]],"yyyy - mmmm")</f>
        <v>2016 - June</v>
      </c>
      <c r="G1515" s="17" t="str">
        <f>data[[#This Row],[OriginCity]] &amp; " - "  &amp; data[[#This Row],[DestinationCity]]</f>
        <v>Appleton - Grand Rapids</v>
      </c>
      <c r="H1515" s="17" t="s">
        <v>85</v>
      </c>
      <c r="I1515" s="17" t="s">
        <v>29</v>
      </c>
      <c r="J1515" s="17">
        <v>2</v>
      </c>
      <c r="K1515" s="17" t="s">
        <v>20</v>
      </c>
      <c r="L1515" s="17" t="s">
        <v>21</v>
      </c>
      <c r="M1515" s="17" t="s">
        <v>318</v>
      </c>
      <c r="N1515" s="17">
        <v>244</v>
      </c>
      <c r="O1515" s="17">
        <v>244</v>
      </c>
      <c r="P1515" s="26">
        <f>(data[[#This Row],[LoadedMiles]]/data[[#This Row],[TotalMiles]])*100</f>
        <v>100</v>
      </c>
      <c r="Q1515" s="25">
        <f>data[[#This Row],[ShippingCost]]/data[[#This Row],[TotalMiles]]</f>
        <v>7.3688524590163933</v>
      </c>
      <c r="R1515" s="17">
        <v>1798</v>
      </c>
      <c r="S1515" s="25">
        <f>data[[#This Row],[Revenue]]/data[[#This Row],[TotalMiles]]</f>
        <v>8.7991803278688518</v>
      </c>
      <c r="T1515" s="26">
        <f>data[[#This Row],[Revenue]]-data[[#This Row],[ShippingCost]]</f>
        <v>349</v>
      </c>
      <c r="U1515" s="17">
        <v>2147</v>
      </c>
      <c r="V1515" s="17">
        <v>58</v>
      </c>
      <c r="W1515" s="17" t="s">
        <v>86</v>
      </c>
      <c r="X1515" s="17">
        <v>7</v>
      </c>
      <c r="Y1515" s="17">
        <f>data[[#This Row],[DeliveryDate]]-data[[#This Row],[ShipDate]]</f>
        <v>2</v>
      </c>
      <c r="Z1515" s="17" t="str">
        <f>IF(data[[#This Row],[Actual Delivery Days]]&gt;AD1516,"Yes","No")</f>
        <v>Yes</v>
      </c>
    </row>
    <row r="1516" spans="1:26">
      <c r="A1516" s="17">
        <v>11754</v>
      </c>
      <c r="B1516" s="17">
        <v>3</v>
      </c>
      <c r="C1516" s="17">
        <v>5</v>
      </c>
      <c r="D1516" s="17" t="s">
        <v>575</v>
      </c>
      <c r="E1516" s="17" t="s">
        <v>274</v>
      </c>
      <c r="F1516" s="17" t="str">
        <f>TEXT(data[[#This Row],[ShipDate]],"yyyy - mmmm")</f>
        <v>2016 - March</v>
      </c>
      <c r="G1516" s="17" t="str">
        <f>data[[#This Row],[OriginCity]] &amp; " - "  &amp; data[[#This Row],[DestinationCity]]</f>
        <v>Elgin - Cincinnati</v>
      </c>
      <c r="H1516" s="17" t="s">
        <v>94</v>
      </c>
      <c r="I1516" s="17" t="s">
        <v>31</v>
      </c>
      <c r="J1516" s="17">
        <v>2</v>
      </c>
      <c r="K1516" s="17" t="s">
        <v>89</v>
      </c>
      <c r="L1516" s="17" t="s">
        <v>23</v>
      </c>
      <c r="M1516" s="17" t="s">
        <v>81</v>
      </c>
      <c r="N1516" s="17">
        <v>479</v>
      </c>
      <c r="O1516" s="17">
        <v>238</v>
      </c>
      <c r="P1516" s="26">
        <f>(data[[#This Row],[LoadedMiles]]/data[[#This Row],[TotalMiles]])*100</f>
        <v>49.686847599164928</v>
      </c>
      <c r="Q1516" s="25">
        <f>data[[#This Row],[ShippingCost]]/data[[#This Row],[TotalMiles]]</f>
        <v>1.5490605427974948</v>
      </c>
      <c r="R1516" s="17">
        <v>742</v>
      </c>
      <c r="S1516" s="25">
        <f>data[[#This Row],[Revenue]]/data[[#This Row],[TotalMiles]]</f>
        <v>2.3695198329853864</v>
      </c>
      <c r="T1516" s="26">
        <f>data[[#This Row],[Revenue]]-data[[#This Row],[ShippingCost]]</f>
        <v>393</v>
      </c>
      <c r="U1516" s="17">
        <v>1135</v>
      </c>
      <c r="V1516" s="17">
        <v>54</v>
      </c>
      <c r="W1516" s="17" t="s">
        <v>25</v>
      </c>
      <c r="X1516" s="17">
        <v>8</v>
      </c>
      <c r="Y1516" s="17">
        <f>data[[#This Row],[DeliveryDate]]-data[[#This Row],[ShipDate]]</f>
        <v>1</v>
      </c>
      <c r="Z1516" s="17" t="str">
        <f>IF(data[[#This Row],[Actual Delivery Days]]&gt;AD1517,"Yes","No")</f>
        <v>Yes</v>
      </c>
    </row>
    <row r="1517" spans="1:26">
      <c r="A1517" s="17">
        <v>11756</v>
      </c>
      <c r="B1517" s="17">
        <v>3</v>
      </c>
      <c r="C1517" s="17">
        <v>3</v>
      </c>
      <c r="D1517" s="17" t="s">
        <v>577</v>
      </c>
      <c r="E1517" s="17" t="s">
        <v>199</v>
      </c>
      <c r="F1517" s="17" t="str">
        <f>TEXT(data[[#This Row],[ShipDate]],"yyyy - mmmm")</f>
        <v>2016 - March</v>
      </c>
      <c r="G1517" s="17" t="str">
        <f>data[[#This Row],[OriginCity]] &amp; " - "  &amp; data[[#This Row],[DestinationCity]]</f>
        <v>Kalamazoo - Bangor</v>
      </c>
      <c r="H1517" s="17" t="s">
        <v>71</v>
      </c>
      <c r="I1517" s="17" t="s">
        <v>21</v>
      </c>
      <c r="J1517" s="17">
        <v>2</v>
      </c>
      <c r="K1517" s="17" t="s">
        <v>104</v>
      </c>
      <c r="L1517" s="17" t="s">
        <v>21</v>
      </c>
      <c r="M1517" s="17" t="s">
        <v>381</v>
      </c>
      <c r="N1517" s="17">
        <v>633</v>
      </c>
      <c r="O1517" s="17">
        <v>541</v>
      </c>
      <c r="P1517" s="26">
        <f>(data[[#This Row],[LoadedMiles]]/data[[#This Row],[TotalMiles]])*100</f>
        <v>85.466034755134274</v>
      </c>
      <c r="Q1517" s="25">
        <f>data[[#This Row],[ShippingCost]]/data[[#This Row],[TotalMiles]]</f>
        <v>0.38862559241706163</v>
      </c>
      <c r="R1517" s="17">
        <v>246</v>
      </c>
      <c r="S1517" s="25">
        <f>data[[#This Row],[Revenue]]/data[[#This Row],[TotalMiles]]</f>
        <v>0.9873617693522907</v>
      </c>
      <c r="T1517" s="26">
        <f>data[[#This Row],[Revenue]]-data[[#This Row],[ShippingCost]]</f>
        <v>379</v>
      </c>
      <c r="U1517" s="17">
        <v>625</v>
      </c>
      <c r="V1517" s="17">
        <v>84</v>
      </c>
      <c r="W1517" s="17" t="s">
        <v>25</v>
      </c>
      <c r="X1517" s="17">
        <v>10</v>
      </c>
      <c r="Y1517" s="17">
        <f>data[[#This Row],[DeliveryDate]]-data[[#This Row],[ShipDate]]</f>
        <v>2</v>
      </c>
      <c r="Z1517" s="17" t="str">
        <f>IF(data[[#This Row],[Actual Delivery Days]]&gt;AD1518,"Yes","No")</f>
        <v>Yes</v>
      </c>
    </row>
    <row r="1518" spans="1:26">
      <c r="A1518" s="17">
        <v>11759</v>
      </c>
      <c r="B1518" s="17">
        <v>2</v>
      </c>
      <c r="C1518" s="17">
        <v>2</v>
      </c>
      <c r="D1518" s="17" t="s">
        <v>580</v>
      </c>
      <c r="E1518" s="17" t="s">
        <v>88</v>
      </c>
      <c r="F1518" s="17" t="str">
        <f>TEXT(data[[#This Row],[ShipDate]],"yyyy - mmmm")</f>
        <v>2016 - February</v>
      </c>
      <c r="G1518" s="17" t="str">
        <f>data[[#This Row],[OriginCity]] &amp; " - "  &amp; data[[#This Row],[DestinationCity]]</f>
        <v>Milwaukee - Springfield</v>
      </c>
      <c r="H1518" s="17" t="s">
        <v>28</v>
      </c>
      <c r="I1518" s="17" t="s">
        <v>29</v>
      </c>
      <c r="J1518" s="17">
        <v>2</v>
      </c>
      <c r="K1518" s="17" t="s">
        <v>30</v>
      </c>
      <c r="L1518" s="17" t="s">
        <v>31</v>
      </c>
      <c r="M1518" s="17" t="s">
        <v>202</v>
      </c>
      <c r="N1518" s="17">
        <v>1008</v>
      </c>
      <c r="O1518" s="17">
        <v>729</v>
      </c>
      <c r="P1518" s="26">
        <f>(data[[#This Row],[LoadedMiles]]/data[[#This Row],[TotalMiles]])*100</f>
        <v>72.321428571428569</v>
      </c>
      <c r="Q1518" s="25">
        <f>data[[#This Row],[ShippingCost]]/data[[#This Row],[TotalMiles]]</f>
        <v>5.4375</v>
      </c>
      <c r="R1518" s="17">
        <v>5481</v>
      </c>
      <c r="S1518" s="25">
        <f>data[[#This Row],[Revenue]]/data[[#This Row],[TotalMiles]]</f>
        <v>6.2361111111111107</v>
      </c>
      <c r="T1518" s="26">
        <f>data[[#This Row],[Revenue]]-data[[#This Row],[ShippingCost]]</f>
        <v>805</v>
      </c>
      <c r="U1518" s="17">
        <v>6286</v>
      </c>
      <c r="V1518" s="17">
        <v>66</v>
      </c>
      <c r="W1518" s="17" t="s">
        <v>25</v>
      </c>
      <c r="X1518" s="17">
        <v>1</v>
      </c>
      <c r="Y1518" s="17">
        <f>data[[#This Row],[DeliveryDate]]-data[[#This Row],[ShipDate]]</f>
        <v>2</v>
      </c>
      <c r="Z1518" s="17" t="str">
        <f>IF(data[[#This Row],[Actual Delivery Days]]&gt;AD1519,"Yes","No")</f>
        <v>Yes</v>
      </c>
    </row>
    <row r="1519" spans="1:26">
      <c r="A1519" s="17">
        <v>11762</v>
      </c>
      <c r="B1519" s="17">
        <v>3</v>
      </c>
      <c r="C1519" s="17">
        <v>4</v>
      </c>
      <c r="D1519" s="17" t="s">
        <v>584</v>
      </c>
      <c r="E1519" s="17" t="s">
        <v>184</v>
      </c>
      <c r="F1519" s="17" t="str">
        <f>TEXT(data[[#This Row],[ShipDate]],"yyyy - mmmm")</f>
        <v>2016 - August</v>
      </c>
      <c r="G1519" s="17" t="str">
        <f>data[[#This Row],[OriginCity]] &amp; " - "  &amp; data[[#This Row],[DestinationCity]]</f>
        <v>Indianapolis - Northbrook</v>
      </c>
      <c r="H1519" s="17" t="s">
        <v>43</v>
      </c>
      <c r="I1519" s="17" t="s">
        <v>44</v>
      </c>
      <c r="J1519" s="17">
        <v>2</v>
      </c>
      <c r="K1519" s="17" t="s">
        <v>45</v>
      </c>
      <c r="L1519" s="17" t="s">
        <v>31</v>
      </c>
      <c r="M1519" s="17" t="s">
        <v>415</v>
      </c>
      <c r="N1519" s="17">
        <v>317</v>
      </c>
      <c r="O1519" s="17">
        <v>317</v>
      </c>
      <c r="P1519" s="26">
        <f>(data[[#This Row],[LoadedMiles]]/data[[#This Row],[TotalMiles]])*100</f>
        <v>100</v>
      </c>
      <c r="Q1519" s="25">
        <f>data[[#This Row],[ShippingCost]]/data[[#This Row],[TotalMiles]]</f>
        <v>9.3848580441640372</v>
      </c>
      <c r="R1519" s="17">
        <v>2975</v>
      </c>
      <c r="S1519" s="25">
        <f>data[[#This Row],[Revenue]]/data[[#This Row],[TotalMiles]]</f>
        <v>3.7192429022082019</v>
      </c>
      <c r="T1519" s="26">
        <f>data[[#This Row],[Revenue]]-data[[#This Row],[ShippingCost]]</f>
        <v>-1796</v>
      </c>
      <c r="U1519" s="17">
        <v>1179</v>
      </c>
      <c r="V1519" s="17">
        <v>84</v>
      </c>
      <c r="W1519" s="17" t="s">
        <v>25</v>
      </c>
      <c r="X1519" s="17">
        <v>6</v>
      </c>
      <c r="Y1519" s="17">
        <f>data[[#This Row],[DeliveryDate]]-data[[#This Row],[ShipDate]]</f>
        <v>1</v>
      </c>
      <c r="Z1519" s="17" t="str">
        <f>IF(data[[#This Row],[Actual Delivery Days]]&gt;AD1520,"Yes","No")</f>
        <v>Yes</v>
      </c>
    </row>
    <row r="1520" spans="1:26">
      <c r="A1520" s="17">
        <v>11767</v>
      </c>
      <c r="B1520" s="17">
        <v>2</v>
      </c>
      <c r="C1520" s="17">
        <v>5</v>
      </c>
      <c r="D1520" s="17" t="s">
        <v>591</v>
      </c>
      <c r="E1520" s="17" t="s">
        <v>623</v>
      </c>
      <c r="F1520" s="17" t="str">
        <f>TEXT(data[[#This Row],[ShipDate]],"yyyy - mmmm")</f>
        <v>2016 - April</v>
      </c>
      <c r="G1520" s="17" t="str">
        <f>data[[#This Row],[OriginCity]] &amp; " - "  &amp; data[[#This Row],[DestinationCity]]</f>
        <v>Madison - Kalamazoo</v>
      </c>
      <c r="H1520" s="17" t="s">
        <v>62</v>
      </c>
      <c r="I1520" s="17" t="s">
        <v>29</v>
      </c>
      <c r="J1520" s="17">
        <v>2</v>
      </c>
      <c r="K1520" s="17" t="s">
        <v>71</v>
      </c>
      <c r="L1520" s="17" t="s">
        <v>21</v>
      </c>
      <c r="M1520" s="17" t="s">
        <v>161</v>
      </c>
      <c r="N1520" s="17">
        <v>481</v>
      </c>
      <c r="O1520" s="17">
        <v>481</v>
      </c>
      <c r="P1520" s="26">
        <f>(data[[#This Row],[LoadedMiles]]/data[[#This Row],[TotalMiles]])*100</f>
        <v>100</v>
      </c>
      <c r="Q1520" s="25">
        <f>data[[#This Row],[ShippingCost]]/data[[#This Row],[TotalMiles]]</f>
        <v>4.5509355509355514</v>
      </c>
      <c r="R1520" s="17">
        <v>2189</v>
      </c>
      <c r="S1520" s="25">
        <f>data[[#This Row],[Revenue]]/data[[#This Row],[TotalMiles]]</f>
        <v>6.0769230769230766</v>
      </c>
      <c r="T1520" s="26">
        <f>data[[#This Row],[Revenue]]-data[[#This Row],[ShippingCost]]</f>
        <v>734</v>
      </c>
      <c r="U1520" s="17">
        <v>2923</v>
      </c>
      <c r="V1520" s="17">
        <v>64</v>
      </c>
      <c r="W1520" s="17" t="s">
        <v>86</v>
      </c>
      <c r="X1520" s="17">
        <v>1</v>
      </c>
      <c r="Y1520" s="17">
        <f>data[[#This Row],[DeliveryDate]]-data[[#This Row],[ShipDate]]</f>
        <v>2</v>
      </c>
      <c r="Z1520" s="17" t="str">
        <f>IF(data[[#This Row],[Actual Delivery Days]]&gt;AD1521,"Yes","No")</f>
        <v>Yes</v>
      </c>
    </row>
    <row r="1521" spans="1:26">
      <c r="A1521" s="17">
        <v>11770</v>
      </c>
      <c r="B1521" s="17">
        <v>2</v>
      </c>
      <c r="C1521" s="17">
        <v>4</v>
      </c>
      <c r="D1521" s="17" t="s">
        <v>594</v>
      </c>
      <c r="E1521" s="17" t="s">
        <v>437</v>
      </c>
      <c r="F1521" s="17" t="str">
        <f>TEXT(data[[#This Row],[ShipDate]],"yyyy - mmmm")</f>
        <v>2016 - May</v>
      </c>
      <c r="G1521" s="17" t="str">
        <f>data[[#This Row],[OriginCity]] &amp; " - "  &amp; data[[#This Row],[DestinationCity]]</f>
        <v>Rockford - Green Bay</v>
      </c>
      <c r="H1521" s="17" t="s">
        <v>40</v>
      </c>
      <c r="I1521" s="17" t="s">
        <v>31</v>
      </c>
      <c r="J1521" s="17">
        <v>2</v>
      </c>
      <c r="K1521" s="17" t="s">
        <v>75</v>
      </c>
      <c r="L1521" s="17" t="s">
        <v>29</v>
      </c>
      <c r="M1521" s="17" t="s">
        <v>282</v>
      </c>
      <c r="N1521" s="17">
        <v>1078</v>
      </c>
      <c r="O1521" s="17">
        <v>432</v>
      </c>
      <c r="P1521" s="26">
        <f>(data[[#This Row],[LoadedMiles]]/data[[#This Row],[TotalMiles]])*100</f>
        <v>40.07421150278293</v>
      </c>
      <c r="Q1521" s="25">
        <f>data[[#This Row],[ShippingCost]]/data[[#This Row],[TotalMiles]]</f>
        <v>6.4313543599257885</v>
      </c>
      <c r="R1521" s="17">
        <v>6933</v>
      </c>
      <c r="S1521" s="25">
        <f>data[[#This Row],[Revenue]]/data[[#This Row],[TotalMiles]]</f>
        <v>4.3348794063079774</v>
      </c>
      <c r="T1521" s="26">
        <f>data[[#This Row],[Revenue]]-data[[#This Row],[ShippingCost]]</f>
        <v>-2260</v>
      </c>
      <c r="U1521" s="17">
        <v>4673</v>
      </c>
      <c r="V1521" s="17">
        <v>90</v>
      </c>
      <c r="W1521" s="17" t="s">
        <v>25</v>
      </c>
      <c r="X1521" s="17">
        <v>8</v>
      </c>
      <c r="Y1521" s="17">
        <f>data[[#This Row],[DeliveryDate]]-data[[#This Row],[ShipDate]]</f>
        <v>2</v>
      </c>
      <c r="Z1521" s="17" t="str">
        <f>IF(data[[#This Row],[Actual Delivery Days]]&gt;AD1522,"Yes","No")</f>
        <v>Yes</v>
      </c>
    </row>
    <row r="1522" spans="1:26">
      <c r="A1522" s="17">
        <v>11775</v>
      </c>
      <c r="B1522" s="17">
        <v>3</v>
      </c>
      <c r="C1522" s="17">
        <v>1</v>
      </c>
      <c r="D1522" s="17" t="s">
        <v>600</v>
      </c>
      <c r="E1522" s="17" t="s">
        <v>350</v>
      </c>
      <c r="F1522" s="17" t="str">
        <f>TEXT(data[[#This Row],[ShipDate]],"yyyy - mmmm")</f>
        <v>2016 - May</v>
      </c>
      <c r="G1522" s="17" t="str">
        <f>data[[#This Row],[OriginCity]] &amp; " - "  &amp; data[[#This Row],[DestinationCity]]</f>
        <v>Lansing - Dayton</v>
      </c>
      <c r="H1522" s="17" t="s">
        <v>66</v>
      </c>
      <c r="I1522" s="17" t="s">
        <v>21</v>
      </c>
      <c r="J1522" s="17">
        <v>2</v>
      </c>
      <c r="K1522" s="17" t="s">
        <v>93</v>
      </c>
      <c r="L1522" s="17" t="s">
        <v>23</v>
      </c>
      <c r="M1522" s="17" t="s">
        <v>84</v>
      </c>
      <c r="N1522" s="17">
        <v>394</v>
      </c>
      <c r="O1522" s="17">
        <v>319</v>
      </c>
      <c r="P1522" s="26">
        <f>(data[[#This Row],[LoadedMiles]]/data[[#This Row],[TotalMiles]])*100</f>
        <v>80.964467005076145</v>
      </c>
      <c r="Q1522" s="25">
        <f>data[[#This Row],[ShippingCost]]/data[[#This Row],[TotalMiles]]</f>
        <v>9.1624365482233507</v>
      </c>
      <c r="R1522" s="17">
        <v>3610</v>
      </c>
      <c r="S1522" s="25">
        <f>data[[#This Row],[Revenue]]/data[[#This Row],[TotalMiles]]</f>
        <v>22.565989847715738</v>
      </c>
      <c r="T1522" s="26">
        <f>data[[#This Row],[Revenue]]-data[[#This Row],[ShippingCost]]</f>
        <v>5281</v>
      </c>
      <c r="U1522" s="17">
        <v>8891</v>
      </c>
      <c r="V1522" s="17">
        <v>66</v>
      </c>
      <c r="W1522" s="17" t="s">
        <v>25</v>
      </c>
      <c r="X1522" s="17">
        <v>3</v>
      </c>
      <c r="Y1522" s="17">
        <f>data[[#This Row],[DeliveryDate]]-data[[#This Row],[ShipDate]]</f>
        <v>2</v>
      </c>
      <c r="Z1522" s="17" t="str">
        <f>IF(data[[#This Row],[Actual Delivery Days]]&gt;AD1523,"Yes","No")</f>
        <v>Yes</v>
      </c>
    </row>
    <row r="1523" spans="1:26">
      <c r="A1523" s="17">
        <v>11776</v>
      </c>
      <c r="B1523" s="17">
        <v>3</v>
      </c>
      <c r="C1523" s="17">
        <v>2</v>
      </c>
      <c r="D1523" s="17" t="s">
        <v>601</v>
      </c>
      <c r="E1523" s="17" t="s">
        <v>404</v>
      </c>
      <c r="F1523" s="17" t="str">
        <f>TEXT(data[[#This Row],[ShipDate]],"yyyy - mmmm")</f>
        <v>2016 - July</v>
      </c>
      <c r="G1523" s="17" t="str">
        <f>data[[#This Row],[OriginCity]] &amp; " - "  &amp; data[[#This Row],[DestinationCity]]</f>
        <v>Bangor - Davenport</v>
      </c>
      <c r="H1523" s="17" t="s">
        <v>104</v>
      </c>
      <c r="I1523" s="17" t="s">
        <v>21</v>
      </c>
      <c r="J1523" s="17">
        <v>2</v>
      </c>
      <c r="K1523" s="17" t="s">
        <v>105</v>
      </c>
      <c r="L1523" s="17" t="s">
        <v>106</v>
      </c>
      <c r="M1523" s="17" t="s">
        <v>183</v>
      </c>
      <c r="N1523" s="17">
        <v>451</v>
      </c>
      <c r="O1523" s="17">
        <v>319</v>
      </c>
      <c r="P1523" s="26">
        <f>(data[[#This Row],[LoadedMiles]]/data[[#This Row],[TotalMiles]])*100</f>
        <v>70.731707317073173</v>
      </c>
      <c r="Q1523" s="25">
        <f>data[[#This Row],[ShippingCost]]/data[[#This Row],[TotalMiles]]</f>
        <v>15.962305986696231</v>
      </c>
      <c r="R1523" s="17">
        <v>7199</v>
      </c>
      <c r="S1523" s="25">
        <f>data[[#This Row],[Revenue]]/data[[#This Row],[TotalMiles]]</f>
        <v>18.064301552106429</v>
      </c>
      <c r="T1523" s="26">
        <f>data[[#This Row],[Revenue]]-data[[#This Row],[ShippingCost]]</f>
        <v>948</v>
      </c>
      <c r="U1523" s="17">
        <v>8147</v>
      </c>
      <c r="V1523" s="17">
        <v>74</v>
      </c>
      <c r="W1523" s="17" t="s">
        <v>25</v>
      </c>
      <c r="X1523" s="17">
        <v>3</v>
      </c>
      <c r="Y1523" s="17">
        <f>data[[#This Row],[DeliveryDate]]-data[[#This Row],[ShipDate]]</f>
        <v>2</v>
      </c>
      <c r="Z1523" s="17" t="str">
        <f>IF(data[[#This Row],[Actual Delivery Days]]&gt;AD1524,"Yes","No")</f>
        <v>Yes</v>
      </c>
    </row>
    <row r="1524" spans="1:26">
      <c r="A1524" s="17">
        <v>11778</v>
      </c>
      <c r="B1524" s="17">
        <v>2</v>
      </c>
      <c r="C1524" s="17">
        <v>6</v>
      </c>
      <c r="D1524" s="17" t="s">
        <v>603</v>
      </c>
      <c r="E1524" s="17" t="s">
        <v>101</v>
      </c>
      <c r="F1524" s="17" t="str">
        <f>TEXT(data[[#This Row],[ShipDate]],"yyyy - mmmm")</f>
        <v>2016 - April</v>
      </c>
      <c r="G1524" s="17" t="str">
        <f>data[[#This Row],[OriginCity]] &amp; " - "  &amp; data[[#This Row],[DestinationCity]]</f>
        <v>Skokie - Chicago</v>
      </c>
      <c r="H1524" s="17" t="s">
        <v>35</v>
      </c>
      <c r="I1524" s="17" t="s">
        <v>31</v>
      </c>
      <c r="J1524" s="17">
        <v>2</v>
      </c>
      <c r="K1524" s="17" t="s">
        <v>39</v>
      </c>
      <c r="L1524" s="17" t="s">
        <v>31</v>
      </c>
      <c r="M1524" s="17" t="s">
        <v>49</v>
      </c>
      <c r="N1524" s="17">
        <v>999</v>
      </c>
      <c r="O1524" s="17">
        <v>580</v>
      </c>
      <c r="P1524" s="26">
        <f>(data[[#This Row],[LoadedMiles]]/data[[#This Row],[TotalMiles]])*100</f>
        <v>58.058058058058059</v>
      </c>
      <c r="Q1524" s="25">
        <f>data[[#This Row],[ShippingCost]]/data[[#This Row],[TotalMiles]]</f>
        <v>1.9739739739739739</v>
      </c>
      <c r="R1524" s="17">
        <v>1972</v>
      </c>
      <c r="S1524" s="25">
        <f>data[[#This Row],[Revenue]]/data[[#This Row],[TotalMiles]]</f>
        <v>2.8728728728728727</v>
      </c>
      <c r="T1524" s="26">
        <f>data[[#This Row],[Revenue]]-data[[#This Row],[ShippingCost]]</f>
        <v>898</v>
      </c>
      <c r="U1524" s="17">
        <v>2870</v>
      </c>
      <c r="V1524" s="17">
        <v>53</v>
      </c>
      <c r="W1524" s="17" t="s">
        <v>25</v>
      </c>
      <c r="X1524" s="17">
        <v>2</v>
      </c>
      <c r="Y1524" s="17">
        <f>data[[#This Row],[DeliveryDate]]-data[[#This Row],[ShipDate]]</f>
        <v>2</v>
      </c>
      <c r="Z1524" s="17" t="str">
        <f>IF(data[[#This Row],[Actual Delivery Days]]&gt;AD1525,"Yes","No")</f>
        <v>Yes</v>
      </c>
    </row>
    <row r="1525" spans="1:26">
      <c r="A1525" s="17">
        <v>11781</v>
      </c>
      <c r="B1525" s="17">
        <v>3</v>
      </c>
      <c r="C1525" s="17">
        <v>3</v>
      </c>
      <c r="D1525" s="17" t="s">
        <v>18</v>
      </c>
      <c r="E1525" s="17" t="s">
        <v>316</v>
      </c>
      <c r="F1525" s="17" t="str">
        <f>TEXT(data[[#This Row],[ShipDate]],"yyyy - mmmm")</f>
        <v>2016 - June</v>
      </c>
      <c r="G1525" s="17" t="str">
        <f>data[[#This Row],[OriginCity]] &amp; " - "  &amp; data[[#This Row],[DestinationCity]]</f>
        <v>Grand Rapids - Toledo</v>
      </c>
      <c r="H1525" s="17" t="s">
        <v>20</v>
      </c>
      <c r="I1525" s="17" t="s">
        <v>21</v>
      </c>
      <c r="J1525" s="17">
        <v>2</v>
      </c>
      <c r="K1525" s="17" t="s">
        <v>22</v>
      </c>
      <c r="L1525" s="17" t="s">
        <v>23</v>
      </c>
      <c r="M1525" s="17" t="s">
        <v>78</v>
      </c>
      <c r="N1525" s="17">
        <v>617</v>
      </c>
      <c r="O1525" s="17">
        <v>481</v>
      </c>
      <c r="P1525" s="26">
        <f>(data[[#This Row],[LoadedMiles]]/data[[#This Row],[TotalMiles]])*100</f>
        <v>77.957860615883305</v>
      </c>
      <c r="Q1525" s="25">
        <f>data[[#This Row],[ShippingCost]]/data[[#This Row],[TotalMiles]]</f>
        <v>13.111831442463533</v>
      </c>
      <c r="R1525" s="17">
        <v>8090</v>
      </c>
      <c r="S1525" s="25">
        <f>data[[#This Row],[Revenue]]/data[[#This Row],[TotalMiles]]</f>
        <v>13.611021069692057</v>
      </c>
      <c r="T1525" s="26">
        <f>data[[#This Row],[Revenue]]-data[[#This Row],[ShippingCost]]</f>
        <v>308</v>
      </c>
      <c r="U1525" s="17">
        <v>8398</v>
      </c>
      <c r="V1525" s="17">
        <v>93</v>
      </c>
      <c r="W1525" s="17" t="s">
        <v>25</v>
      </c>
      <c r="X1525" s="17">
        <v>9</v>
      </c>
      <c r="Y1525" s="17">
        <f>data[[#This Row],[DeliveryDate]]-data[[#This Row],[ShipDate]]</f>
        <v>1</v>
      </c>
      <c r="Z1525" s="17" t="str">
        <f>IF(data[[#This Row],[Actual Delivery Days]]&gt;AD1526,"Yes","No")</f>
        <v>Yes</v>
      </c>
    </row>
    <row r="1526" spans="1:26">
      <c r="A1526" s="17">
        <v>11788</v>
      </c>
      <c r="B1526" s="17">
        <v>3</v>
      </c>
      <c r="C1526" s="17">
        <v>1</v>
      </c>
      <c r="D1526" s="17" t="s">
        <v>59</v>
      </c>
      <c r="E1526" s="17" t="s">
        <v>82</v>
      </c>
      <c r="F1526" s="17" t="str">
        <f>TEXT(data[[#This Row],[ShipDate]],"yyyy - mmmm")</f>
        <v>2016 - March</v>
      </c>
      <c r="G1526" s="17" t="str">
        <f>data[[#This Row],[OriginCity]] &amp; " - "  &amp; data[[#This Row],[DestinationCity]]</f>
        <v>Joliet - Madison</v>
      </c>
      <c r="H1526" s="17" t="s">
        <v>61</v>
      </c>
      <c r="I1526" s="17" t="s">
        <v>31</v>
      </c>
      <c r="J1526" s="17">
        <v>2</v>
      </c>
      <c r="K1526" s="17" t="s">
        <v>62</v>
      </c>
      <c r="L1526" s="17" t="s">
        <v>29</v>
      </c>
      <c r="M1526" s="17" t="s">
        <v>453</v>
      </c>
      <c r="N1526" s="17">
        <v>928</v>
      </c>
      <c r="O1526" s="17">
        <v>757</v>
      </c>
      <c r="P1526" s="26">
        <f>(data[[#This Row],[LoadedMiles]]/data[[#This Row],[TotalMiles]])*100</f>
        <v>81.573275862068968</v>
      </c>
      <c r="Q1526" s="25">
        <f>data[[#This Row],[ShippingCost]]/data[[#This Row],[TotalMiles]]</f>
        <v>2.0635775862068964</v>
      </c>
      <c r="R1526" s="17">
        <v>1915</v>
      </c>
      <c r="S1526" s="25">
        <f>data[[#This Row],[Revenue]]/data[[#This Row],[TotalMiles]]</f>
        <v>6.4773706896551726</v>
      </c>
      <c r="T1526" s="26">
        <f>data[[#This Row],[Revenue]]-data[[#This Row],[ShippingCost]]</f>
        <v>4096</v>
      </c>
      <c r="U1526" s="17">
        <v>6011</v>
      </c>
      <c r="V1526" s="17">
        <v>54</v>
      </c>
      <c r="W1526" s="17" t="s">
        <v>25</v>
      </c>
      <c r="X1526" s="17">
        <v>7</v>
      </c>
      <c r="Y1526" s="17">
        <f>data[[#This Row],[DeliveryDate]]-data[[#This Row],[ShipDate]]</f>
        <v>2</v>
      </c>
      <c r="Z1526" s="17" t="str">
        <f>IF(data[[#This Row],[Actual Delivery Days]]&gt;AD1527,"Yes","No")</f>
        <v>Yes</v>
      </c>
    </row>
    <row r="1527" spans="1:26">
      <c r="A1527" s="17">
        <v>11794</v>
      </c>
      <c r="B1527" s="17">
        <v>3</v>
      </c>
      <c r="C1527" s="17">
        <v>4</v>
      </c>
      <c r="D1527" s="17" t="s">
        <v>83</v>
      </c>
      <c r="E1527" s="17" t="s">
        <v>319</v>
      </c>
      <c r="F1527" s="17" t="str">
        <f>TEXT(data[[#This Row],[ShipDate]],"yyyy - mmmm")</f>
        <v>2016 - June</v>
      </c>
      <c r="G1527" s="17" t="str">
        <f>data[[#This Row],[OriginCity]] &amp; " - "  &amp; data[[#This Row],[DestinationCity]]</f>
        <v>Appleton - Grand Rapids</v>
      </c>
      <c r="H1527" s="17" t="s">
        <v>85</v>
      </c>
      <c r="I1527" s="17" t="s">
        <v>29</v>
      </c>
      <c r="J1527" s="17">
        <v>2</v>
      </c>
      <c r="K1527" s="17" t="s">
        <v>20</v>
      </c>
      <c r="L1527" s="17" t="s">
        <v>21</v>
      </c>
      <c r="M1527" s="17" t="s">
        <v>399</v>
      </c>
      <c r="N1527" s="17">
        <v>1139</v>
      </c>
      <c r="O1527" s="17">
        <v>358</v>
      </c>
      <c r="P1527" s="26">
        <f>(data[[#This Row],[LoadedMiles]]/data[[#This Row],[TotalMiles]])*100</f>
        <v>31.431079894644427</v>
      </c>
      <c r="Q1527" s="25">
        <f>data[[#This Row],[ShippingCost]]/data[[#This Row],[TotalMiles]]</f>
        <v>3.6136962247585602</v>
      </c>
      <c r="R1527" s="17">
        <v>4116</v>
      </c>
      <c r="S1527" s="25">
        <f>data[[#This Row],[Revenue]]/data[[#This Row],[TotalMiles]]</f>
        <v>1.6224758560140473</v>
      </c>
      <c r="T1527" s="26">
        <f>data[[#This Row],[Revenue]]-data[[#This Row],[ShippingCost]]</f>
        <v>-2268</v>
      </c>
      <c r="U1527" s="17">
        <v>1848</v>
      </c>
      <c r="V1527" s="17">
        <v>72</v>
      </c>
      <c r="W1527" s="17" t="s">
        <v>25</v>
      </c>
      <c r="X1527" s="17">
        <v>9</v>
      </c>
      <c r="Y1527" s="17">
        <f>data[[#This Row],[DeliveryDate]]-data[[#This Row],[ShipDate]]</f>
        <v>2</v>
      </c>
      <c r="Z1527" s="17" t="str">
        <f>IF(data[[#This Row],[Actual Delivery Days]]&gt;AD1528,"Yes","No")</f>
        <v>Yes</v>
      </c>
    </row>
    <row r="1528" spans="1:26">
      <c r="A1528" s="17">
        <v>11799</v>
      </c>
      <c r="B1528" s="17">
        <v>2</v>
      </c>
      <c r="C1528" s="17">
        <v>6</v>
      </c>
      <c r="D1528" s="17" t="s">
        <v>102</v>
      </c>
      <c r="E1528" s="17" t="s">
        <v>613</v>
      </c>
      <c r="F1528" s="17" t="str">
        <f>TEXT(data[[#This Row],[ShipDate]],"yyyy - mmmm")</f>
        <v>2016 - June</v>
      </c>
      <c r="G1528" s="17" t="str">
        <f>data[[#This Row],[OriginCity]] &amp; " - "  &amp; data[[#This Row],[DestinationCity]]</f>
        <v>Bangor - Davenport</v>
      </c>
      <c r="H1528" s="17" t="s">
        <v>104</v>
      </c>
      <c r="I1528" s="17" t="s">
        <v>21</v>
      </c>
      <c r="J1528" s="17">
        <v>2</v>
      </c>
      <c r="K1528" s="17" t="s">
        <v>105</v>
      </c>
      <c r="L1528" s="17" t="s">
        <v>106</v>
      </c>
      <c r="M1528" s="17" t="s">
        <v>279</v>
      </c>
      <c r="N1528" s="17">
        <v>736</v>
      </c>
      <c r="O1528" s="17">
        <v>321</v>
      </c>
      <c r="P1528" s="26">
        <f>(data[[#This Row],[LoadedMiles]]/data[[#This Row],[TotalMiles]])*100</f>
        <v>43.614130434782609</v>
      </c>
      <c r="Q1528" s="25">
        <f>data[[#This Row],[ShippingCost]]/data[[#This Row],[TotalMiles]]</f>
        <v>9.5285326086956523</v>
      </c>
      <c r="R1528" s="17">
        <v>7013</v>
      </c>
      <c r="S1528" s="25">
        <f>data[[#This Row],[Revenue]]/data[[#This Row],[TotalMiles]]</f>
        <v>10.179347826086957</v>
      </c>
      <c r="T1528" s="26">
        <f>data[[#This Row],[Revenue]]-data[[#This Row],[ShippingCost]]</f>
        <v>479</v>
      </c>
      <c r="U1528" s="17">
        <v>7492</v>
      </c>
      <c r="V1528" s="17">
        <v>80</v>
      </c>
      <c r="W1528" s="17" t="s">
        <v>25</v>
      </c>
      <c r="X1528" s="17">
        <v>2</v>
      </c>
      <c r="Y1528" s="17">
        <f>data[[#This Row],[DeliveryDate]]-data[[#This Row],[ShipDate]]</f>
        <v>2</v>
      </c>
      <c r="Z1528" s="17" t="str">
        <f>IF(data[[#This Row],[Actual Delivery Days]]&gt;AD1529,"Yes","No")</f>
        <v>Yes</v>
      </c>
    </row>
    <row r="1529" spans="1:26">
      <c r="A1529" s="17">
        <v>10004</v>
      </c>
      <c r="B1529" s="17">
        <v>1</v>
      </c>
      <c r="C1529" s="17">
        <v>5</v>
      </c>
      <c r="D1529" s="17" t="s">
        <v>41</v>
      </c>
      <c r="E1529" s="17" t="s">
        <v>42</v>
      </c>
      <c r="F1529" s="17" t="str">
        <f>TEXT(data[[#This Row],[ShipDate]],"yyyy - mmmm")</f>
        <v>2016 - May</v>
      </c>
      <c r="G1529" s="17" t="str">
        <f>data[[#This Row],[OriginCity]] &amp; " - "  &amp; data[[#This Row],[DestinationCity]]</f>
        <v>Indianapolis - Northbrook</v>
      </c>
      <c r="H1529" s="17" t="s">
        <v>43</v>
      </c>
      <c r="I1529" s="17" t="s">
        <v>44</v>
      </c>
      <c r="J1529" s="17">
        <v>1</v>
      </c>
      <c r="K1529" s="17" t="s">
        <v>45</v>
      </c>
      <c r="L1529" s="17" t="s">
        <v>31</v>
      </c>
      <c r="M1529" s="17" t="s">
        <v>27</v>
      </c>
      <c r="N1529" s="17">
        <v>450</v>
      </c>
      <c r="O1529" s="17">
        <v>362</v>
      </c>
      <c r="P1529" s="26">
        <f>(data[[#This Row],[LoadedMiles]]/data[[#This Row],[TotalMiles]])*100</f>
        <v>80.444444444444443</v>
      </c>
      <c r="Q1529" s="25">
        <f>data[[#This Row],[ShippingCost]]/data[[#This Row],[TotalMiles]]</f>
        <v>15.126666666666667</v>
      </c>
      <c r="R1529" s="17">
        <v>6807</v>
      </c>
      <c r="S1529" s="25">
        <f>data[[#This Row],[Revenue]]/data[[#This Row],[TotalMiles]]</f>
        <v>16.824444444444445</v>
      </c>
      <c r="T1529" s="26">
        <f>data[[#This Row],[Revenue]]-data[[#This Row],[ShippingCost]]</f>
        <v>764</v>
      </c>
      <c r="U1529" s="17">
        <v>7571</v>
      </c>
      <c r="V1529" s="17">
        <v>77</v>
      </c>
      <c r="W1529" s="17" t="s">
        <v>25</v>
      </c>
      <c r="X1529" s="17">
        <v>4</v>
      </c>
      <c r="Y1529" s="17">
        <f>data[[#This Row],[DeliveryDate]]-data[[#This Row],[ShipDate]]</f>
        <v>1</v>
      </c>
      <c r="Z1529" s="17" t="str">
        <f>IF(data[[#This Row],[Actual Delivery Days]]&gt;AD1530,"Yes","No")</f>
        <v>Yes</v>
      </c>
    </row>
    <row r="1530" spans="1:26">
      <c r="A1530" s="17">
        <v>10013</v>
      </c>
      <c r="B1530" s="17">
        <v>2</v>
      </c>
      <c r="C1530" s="17">
        <v>6</v>
      </c>
      <c r="D1530" s="17" t="s">
        <v>83</v>
      </c>
      <c r="E1530" s="17" t="s">
        <v>84</v>
      </c>
      <c r="F1530" s="17" t="str">
        <f>TEXT(data[[#This Row],[ShipDate]],"yyyy - mmmm")</f>
        <v>2016 - May</v>
      </c>
      <c r="G1530" s="17" t="str">
        <f>data[[#This Row],[OriginCity]] &amp; " - "  &amp; data[[#This Row],[DestinationCity]]</f>
        <v>Appleton - Grand Rapids</v>
      </c>
      <c r="H1530" s="17" t="s">
        <v>85</v>
      </c>
      <c r="I1530" s="17" t="s">
        <v>29</v>
      </c>
      <c r="J1530" s="17">
        <v>1</v>
      </c>
      <c r="K1530" s="17" t="s">
        <v>20</v>
      </c>
      <c r="L1530" s="17" t="s">
        <v>21</v>
      </c>
      <c r="M1530" s="17" t="s">
        <v>42</v>
      </c>
      <c r="N1530" s="17">
        <v>486</v>
      </c>
      <c r="O1530" s="17">
        <v>451</v>
      </c>
      <c r="P1530" s="26">
        <f>(data[[#This Row],[LoadedMiles]]/data[[#This Row],[TotalMiles]])*100</f>
        <v>92.798353909465021</v>
      </c>
      <c r="Q1530" s="25">
        <f>data[[#This Row],[ShippingCost]]/data[[#This Row],[TotalMiles]]</f>
        <v>10.074074074074074</v>
      </c>
      <c r="R1530" s="17">
        <v>4896</v>
      </c>
      <c r="S1530" s="25">
        <f>data[[#This Row],[Revenue]]/data[[#This Row],[TotalMiles]]</f>
        <v>10.847736625514404</v>
      </c>
      <c r="T1530" s="26">
        <f>data[[#This Row],[Revenue]]-data[[#This Row],[ShippingCost]]</f>
        <v>376</v>
      </c>
      <c r="U1530" s="17">
        <v>5272</v>
      </c>
      <c r="V1530" s="17">
        <v>69</v>
      </c>
      <c r="W1530" s="17" t="s">
        <v>86</v>
      </c>
      <c r="X1530" s="17">
        <v>4</v>
      </c>
      <c r="Y1530" s="17">
        <f>data[[#This Row],[DeliveryDate]]-data[[#This Row],[ShipDate]]</f>
        <v>1</v>
      </c>
      <c r="Z1530" s="17" t="str">
        <f>IF(data[[#This Row],[Actual Delivery Days]]&gt;AD1531,"Yes","No")</f>
        <v>Yes</v>
      </c>
    </row>
    <row r="1531" spans="1:26">
      <c r="A1531" s="17">
        <v>10014</v>
      </c>
      <c r="B1531" s="17">
        <v>2</v>
      </c>
      <c r="C1531" s="17">
        <v>6</v>
      </c>
      <c r="D1531" s="17" t="s">
        <v>87</v>
      </c>
      <c r="E1531" s="17" t="s">
        <v>88</v>
      </c>
      <c r="F1531" s="17" t="str">
        <f>TEXT(data[[#This Row],[ShipDate]],"yyyy - mmmm")</f>
        <v>2016 - February</v>
      </c>
      <c r="G1531" s="17" t="str">
        <f>data[[#This Row],[OriginCity]] &amp; " - "  &amp; data[[#This Row],[DestinationCity]]</f>
        <v>Cincinnati - Gary</v>
      </c>
      <c r="H1531" s="17" t="s">
        <v>89</v>
      </c>
      <c r="I1531" s="17" t="s">
        <v>23</v>
      </c>
      <c r="J1531" s="17">
        <v>1</v>
      </c>
      <c r="K1531" s="17" t="s">
        <v>57</v>
      </c>
      <c r="L1531" s="17" t="s">
        <v>44</v>
      </c>
      <c r="M1531" s="17" t="s">
        <v>90</v>
      </c>
      <c r="N1531" s="17">
        <v>701</v>
      </c>
      <c r="O1531" s="17">
        <v>701</v>
      </c>
      <c r="P1531" s="26">
        <f>(data[[#This Row],[LoadedMiles]]/data[[#This Row],[TotalMiles]])*100</f>
        <v>100</v>
      </c>
      <c r="Q1531" s="25">
        <f>data[[#This Row],[ShippingCost]]/data[[#This Row],[TotalMiles]]</f>
        <v>1.3309557774607703</v>
      </c>
      <c r="R1531" s="17">
        <v>933</v>
      </c>
      <c r="S1531" s="25">
        <f>data[[#This Row],[Revenue]]/data[[#This Row],[TotalMiles]]</f>
        <v>1.8045649072753209</v>
      </c>
      <c r="T1531" s="26">
        <f>data[[#This Row],[Revenue]]-data[[#This Row],[ShippingCost]]</f>
        <v>332</v>
      </c>
      <c r="U1531" s="17">
        <v>1265</v>
      </c>
      <c r="V1531" s="17">
        <v>78</v>
      </c>
      <c r="W1531" s="17" t="s">
        <v>25</v>
      </c>
      <c r="X1531" s="17">
        <v>5</v>
      </c>
      <c r="Y1531" s="17">
        <f>data[[#This Row],[DeliveryDate]]-data[[#This Row],[ShipDate]]</f>
        <v>1</v>
      </c>
      <c r="Z1531" s="17" t="str">
        <f>IF(data[[#This Row],[Actual Delivery Days]]&gt;AD1532,"Yes","No")</f>
        <v>Yes</v>
      </c>
    </row>
    <row r="1532" spans="1:26">
      <c r="A1532" s="17">
        <v>10020</v>
      </c>
      <c r="B1532" s="17">
        <v>2</v>
      </c>
      <c r="C1532" s="17">
        <v>6</v>
      </c>
      <c r="D1532" s="17" t="s">
        <v>113</v>
      </c>
      <c r="E1532" s="17" t="s">
        <v>114</v>
      </c>
      <c r="F1532" s="17" t="str">
        <f>TEXT(data[[#This Row],[ShipDate]],"yyyy - mmmm")</f>
        <v>2016 - April</v>
      </c>
      <c r="G1532" s="17" t="str">
        <f>data[[#This Row],[OriginCity]] &amp; " - "  &amp; data[[#This Row],[DestinationCity]]</f>
        <v>Kalamazoo - Bangor</v>
      </c>
      <c r="H1532" s="17" t="s">
        <v>71</v>
      </c>
      <c r="I1532" s="17" t="s">
        <v>21</v>
      </c>
      <c r="J1532" s="17">
        <v>1</v>
      </c>
      <c r="K1532" s="17" t="s">
        <v>104</v>
      </c>
      <c r="L1532" s="17" t="s">
        <v>21</v>
      </c>
      <c r="M1532" s="17" t="s">
        <v>49</v>
      </c>
      <c r="N1532" s="17">
        <v>1141</v>
      </c>
      <c r="O1532" s="17">
        <v>503</v>
      </c>
      <c r="P1532" s="26">
        <f>(data[[#This Row],[LoadedMiles]]/data[[#This Row],[TotalMiles]])*100</f>
        <v>44.084136722173533</v>
      </c>
      <c r="Q1532" s="25">
        <f>data[[#This Row],[ShippingCost]]/data[[#This Row],[TotalMiles]]</f>
        <v>4.2822085889570554</v>
      </c>
      <c r="R1532" s="17">
        <v>4886</v>
      </c>
      <c r="S1532" s="25">
        <f>data[[#This Row],[Revenue]]/data[[#This Row],[TotalMiles]]</f>
        <v>4.5398773006134974</v>
      </c>
      <c r="T1532" s="26">
        <f>data[[#This Row],[Revenue]]-data[[#This Row],[ShippingCost]]</f>
        <v>294</v>
      </c>
      <c r="U1532" s="17">
        <v>5180</v>
      </c>
      <c r="V1532" s="17">
        <v>72</v>
      </c>
      <c r="W1532" s="17" t="s">
        <v>25</v>
      </c>
      <c r="X1532" s="17">
        <v>9</v>
      </c>
      <c r="Y1532" s="17">
        <f>data[[#This Row],[DeliveryDate]]-data[[#This Row],[ShipDate]]</f>
        <v>1</v>
      </c>
      <c r="Z1532" s="17" t="str">
        <f>IF(data[[#This Row],[Actual Delivery Days]]&gt;AD1533,"Yes","No")</f>
        <v>Yes</v>
      </c>
    </row>
    <row r="1533" spans="1:26">
      <c r="A1533" s="17">
        <v>10029</v>
      </c>
      <c r="B1533" s="17">
        <v>2</v>
      </c>
      <c r="C1533" s="17">
        <v>5</v>
      </c>
      <c r="D1533" s="17" t="s">
        <v>145</v>
      </c>
      <c r="E1533" s="17" t="s">
        <v>146</v>
      </c>
      <c r="F1533" s="17" t="str">
        <f>TEXT(data[[#This Row],[ShipDate]],"yyyy - mmmm")</f>
        <v>2016 - June</v>
      </c>
      <c r="G1533" s="17" t="str">
        <f>data[[#This Row],[OriginCity]] &amp; " - "  &amp; data[[#This Row],[DestinationCity]]</f>
        <v>Madison - Kalamazoo</v>
      </c>
      <c r="H1533" s="17" t="s">
        <v>62</v>
      </c>
      <c r="I1533" s="17" t="s">
        <v>29</v>
      </c>
      <c r="J1533" s="17">
        <v>1</v>
      </c>
      <c r="K1533" s="17" t="s">
        <v>71</v>
      </c>
      <c r="L1533" s="17" t="s">
        <v>21</v>
      </c>
      <c r="M1533" s="17" t="s">
        <v>147</v>
      </c>
      <c r="N1533" s="17">
        <v>1123</v>
      </c>
      <c r="O1533" s="17">
        <v>733</v>
      </c>
      <c r="P1533" s="26">
        <f>(data[[#This Row],[LoadedMiles]]/data[[#This Row],[TotalMiles]])*100</f>
        <v>65.271593944790737</v>
      </c>
      <c r="Q1533" s="25">
        <f>data[[#This Row],[ShippingCost]]/data[[#This Row],[TotalMiles]]</f>
        <v>6.7800534283170082</v>
      </c>
      <c r="R1533" s="17">
        <v>7614</v>
      </c>
      <c r="S1533" s="25">
        <f>data[[#This Row],[Revenue]]/data[[#This Row],[TotalMiles]]</f>
        <v>7.1576135351736418</v>
      </c>
      <c r="T1533" s="26">
        <f>data[[#This Row],[Revenue]]-data[[#This Row],[ShippingCost]]</f>
        <v>424</v>
      </c>
      <c r="U1533" s="17">
        <v>8038</v>
      </c>
      <c r="V1533" s="17">
        <v>79</v>
      </c>
      <c r="W1533" s="17" t="s">
        <v>86</v>
      </c>
      <c r="X1533" s="17">
        <v>2</v>
      </c>
      <c r="Y1533" s="17">
        <f>data[[#This Row],[DeliveryDate]]-data[[#This Row],[ShipDate]]</f>
        <v>1</v>
      </c>
      <c r="Z1533" s="17" t="str">
        <f>IF(data[[#This Row],[Actual Delivery Days]]&gt;AD1534,"Yes","No")</f>
        <v>Yes</v>
      </c>
    </row>
    <row r="1534" spans="1:26">
      <c r="A1534" s="17">
        <v>10030</v>
      </c>
      <c r="B1534" s="17">
        <v>2</v>
      </c>
      <c r="C1534" s="17">
        <v>5</v>
      </c>
      <c r="D1534" s="17" t="s">
        <v>148</v>
      </c>
      <c r="E1534" s="17" t="s">
        <v>149</v>
      </c>
      <c r="F1534" s="17" t="str">
        <f>TEXT(data[[#This Row],[ShipDate]],"yyyy - mmmm")</f>
        <v>2016 - July</v>
      </c>
      <c r="G1534" s="17" t="str">
        <f>data[[#This Row],[OriginCity]] &amp; " - "  &amp; data[[#This Row],[DestinationCity]]</f>
        <v>Green Bay - Joliet</v>
      </c>
      <c r="H1534" s="17" t="s">
        <v>75</v>
      </c>
      <c r="I1534" s="17" t="s">
        <v>29</v>
      </c>
      <c r="J1534" s="17">
        <v>1</v>
      </c>
      <c r="K1534" s="17" t="s">
        <v>61</v>
      </c>
      <c r="L1534" s="17" t="s">
        <v>31</v>
      </c>
      <c r="M1534" s="17" t="s">
        <v>150</v>
      </c>
      <c r="N1534" s="17">
        <v>751</v>
      </c>
      <c r="O1534" s="17">
        <v>751</v>
      </c>
      <c r="P1534" s="26">
        <f>(data[[#This Row],[LoadedMiles]]/data[[#This Row],[TotalMiles]])*100</f>
        <v>100</v>
      </c>
      <c r="Q1534" s="25">
        <f>data[[#This Row],[ShippingCost]]/data[[#This Row],[TotalMiles]]</f>
        <v>9.6498002663115852</v>
      </c>
      <c r="R1534" s="17">
        <v>7247</v>
      </c>
      <c r="S1534" s="25">
        <f>data[[#This Row],[Revenue]]/data[[#This Row],[TotalMiles]]</f>
        <v>10.488681757656458</v>
      </c>
      <c r="T1534" s="26">
        <f>data[[#This Row],[Revenue]]-data[[#This Row],[ShippingCost]]</f>
        <v>630</v>
      </c>
      <c r="U1534" s="17">
        <v>7877</v>
      </c>
      <c r="V1534" s="17">
        <v>55</v>
      </c>
      <c r="W1534" s="17" t="s">
        <v>25</v>
      </c>
      <c r="X1534" s="17">
        <v>5</v>
      </c>
      <c r="Y1534" s="17">
        <f>data[[#This Row],[DeliveryDate]]-data[[#This Row],[ShipDate]]</f>
        <v>1</v>
      </c>
      <c r="Z1534" s="17" t="str">
        <f>IF(data[[#This Row],[Actual Delivery Days]]&gt;AD1535,"Yes","No")</f>
        <v>Yes</v>
      </c>
    </row>
    <row r="1535" spans="1:26">
      <c r="A1535" s="17">
        <v>10047</v>
      </c>
      <c r="B1535" s="17">
        <v>2</v>
      </c>
      <c r="C1535" s="17">
        <v>6</v>
      </c>
      <c r="D1535" s="17" t="s">
        <v>194</v>
      </c>
      <c r="E1535" s="17" t="s">
        <v>88</v>
      </c>
      <c r="F1535" s="17" t="str">
        <f>TEXT(data[[#This Row],[ShipDate]],"yyyy - mmmm")</f>
        <v>2016 - February</v>
      </c>
      <c r="G1535" s="17" t="str">
        <f>data[[#This Row],[OriginCity]] &amp; " - "  &amp; data[[#This Row],[DestinationCity]]</f>
        <v>Detriot - Monon</v>
      </c>
      <c r="H1535" s="17" t="s">
        <v>52</v>
      </c>
      <c r="I1535" s="17" t="s">
        <v>21</v>
      </c>
      <c r="J1535" s="17">
        <v>1</v>
      </c>
      <c r="K1535" s="17" t="s">
        <v>53</v>
      </c>
      <c r="L1535" s="17" t="s">
        <v>44</v>
      </c>
      <c r="M1535" s="17" t="s">
        <v>90</v>
      </c>
      <c r="N1535" s="17">
        <v>812</v>
      </c>
      <c r="O1535" s="17">
        <v>535</v>
      </c>
      <c r="P1535" s="26">
        <f>(data[[#This Row],[LoadedMiles]]/data[[#This Row],[TotalMiles]])*100</f>
        <v>65.886699507389153</v>
      </c>
      <c r="Q1535" s="25">
        <f>data[[#This Row],[ShippingCost]]/data[[#This Row],[TotalMiles]]</f>
        <v>4.3731527093596059</v>
      </c>
      <c r="R1535" s="17">
        <v>3551</v>
      </c>
      <c r="S1535" s="25">
        <f>data[[#This Row],[Revenue]]/data[[#This Row],[TotalMiles]]</f>
        <v>5.1071428571428568</v>
      </c>
      <c r="T1535" s="26">
        <f>data[[#This Row],[Revenue]]-data[[#This Row],[ShippingCost]]</f>
        <v>596</v>
      </c>
      <c r="U1535" s="17">
        <v>4147</v>
      </c>
      <c r="V1535" s="17">
        <v>94</v>
      </c>
      <c r="W1535" s="17" t="s">
        <v>86</v>
      </c>
      <c r="X1535" s="17">
        <v>5</v>
      </c>
      <c r="Y1535" s="17">
        <f>data[[#This Row],[DeliveryDate]]-data[[#This Row],[ShipDate]]</f>
        <v>1</v>
      </c>
      <c r="Z1535" s="17" t="str">
        <f>IF(data[[#This Row],[Actual Delivery Days]]&gt;AD1536,"Yes","No")</f>
        <v>Yes</v>
      </c>
    </row>
    <row r="1536" spans="1:26">
      <c r="A1536" s="17">
        <v>10049</v>
      </c>
      <c r="B1536" s="17">
        <v>2</v>
      </c>
      <c r="C1536" s="17">
        <v>6</v>
      </c>
      <c r="D1536" s="17" t="s">
        <v>198</v>
      </c>
      <c r="E1536" s="17" t="s">
        <v>199</v>
      </c>
      <c r="F1536" s="17" t="str">
        <f>TEXT(data[[#This Row],[ShipDate]],"yyyy - mmmm")</f>
        <v>2016 - March</v>
      </c>
      <c r="G1536" s="17" t="str">
        <f>data[[#This Row],[OriginCity]] &amp; " - "  &amp; data[[#This Row],[DestinationCity]]</f>
        <v>Joliet - Madison</v>
      </c>
      <c r="H1536" s="17" t="s">
        <v>61</v>
      </c>
      <c r="I1536" s="17" t="s">
        <v>31</v>
      </c>
      <c r="J1536" s="17">
        <v>1</v>
      </c>
      <c r="K1536" s="17" t="s">
        <v>62</v>
      </c>
      <c r="L1536" s="17" t="s">
        <v>29</v>
      </c>
      <c r="M1536" s="17" t="s">
        <v>200</v>
      </c>
      <c r="N1536" s="17">
        <v>1007</v>
      </c>
      <c r="O1536" s="17">
        <v>288</v>
      </c>
      <c r="P1536" s="26">
        <f>(data[[#This Row],[LoadedMiles]]/data[[#This Row],[TotalMiles]])*100</f>
        <v>28.599801390268127</v>
      </c>
      <c r="Q1536" s="25">
        <f>data[[#This Row],[ShippingCost]]/data[[#This Row],[TotalMiles]]</f>
        <v>2.3356504468718966</v>
      </c>
      <c r="R1536" s="17">
        <v>2352</v>
      </c>
      <c r="S1536" s="25">
        <f>data[[#This Row],[Revenue]]/data[[#This Row],[TotalMiles]]</f>
        <v>3.0208540218470703</v>
      </c>
      <c r="T1536" s="26">
        <f>data[[#This Row],[Revenue]]-data[[#This Row],[ShippingCost]]</f>
        <v>690</v>
      </c>
      <c r="U1536" s="17">
        <v>3042</v>
      </c>
      <c r="V1536" s="17">
        <v>80</v>
      </c>
      <c r="W1536" s="17" t="s">
        <v>25</v>
      </c>
      <c r="X1536" s="17">
        <v>2</v>
      </c>
      <c r="Y1536" s="17">
        <f>data[[#This Row],[DeliveryDate]]-data[[#This Row],[ShipDate]]</f>
        <v>1</v>
      </c>
      <c r="Z1536" s="17" t="str">
        <f>IF(data[[#This Row],[Actual Delivery Days]]&gt;AD1537,"Yes","No")</f>
        <v>Yes</v>
      </c>
    </row>
    <row r="1537" spans="1:26">
      <c r="A1537" s="17">
        <v>10070</v>
      </c>
      <c r="B1537" s="17">
        <v>2</v>
      </c>
      <c r="C1537" s="17">
        <v>5</v>
      </c>
      <c r="D1537" s="27" t="s">
        <v>254</v>
      </c>
      <c r="E1537" s="17" t="s">
        <v>168</v>
      </c>
      <c r="F1537" s="17" t="str">
        <f>TEXT(data[[#This Row],[ShipDate]],"yyyy - mmmm")</f>
        <v>2016 - February</v>
      </c>
      <c r="G1537" s="17" t="str">
        <f>data[[#This Row],[OriginCity]] &amp; " - "  &amp; data[[#This Row],[DestinationCity]]</f>
        <v>Madison - Kalamazoo</v>
      </c>
      <c r="H1537" s="17" t="s">
        <v>62</v>
      </c>
      <c r="I1537" s="17" t="s">
        <v>29</v>
      </c>
      <c r="J1537" s="17">
        <v>1</v>
      </c>
      <c r="K1537" s="17" t="s">
        <v>71</v>
      </c>
      <c r="L1537" s="17" t="s">
        <v>21</v>
      </c>
      <c r="M1537" s="17" t="s">
        <v>255</v>
      </c>
      <c r="N1537" s="17">
        <v>1182</v>
      </c>
      <c r="O1537" s="17">
        <v>637</v>
      </c>
      <c r="P1537" s="26">
        <f>(data[[#This Row],[LoadedMiles]]/data[[#This Row],[TotalMiles]])*100</f>
        <v>53.891708967851102</v>
      </c>
      <c r="Q1537" s="25">
        <f>data[[#This Row],[ShippingCost]]/data[[#This Row],[TotalMiles]]</f>
        <v>6.6133671742808797</v>
      </c>
      <c r="R1537" s="17">
        <v>7817</v>
      </c>
      <c r="S1537" s="25">
        <f>data[[#This Row],[Revenue]]/data[[#This Row],[TotalMiles]]</f>
        <v>7.2554991539763112</v>
      </c>
      <c r="T1537" s="26">
        <f>data[[#This Row],[Revenue]]-data[[#This Row],[ShippingCost]]</f>
        <v>759</v>
      </c>
      <c r="U1537" s="17">
        <v>8576</v>
      </c>
      <c r="V1537" s="17">
        <v>89</v>
      </c>
      <c r="W1537" s="17" t="s">
        <v>25</v>
      </c>
      <c r="X1537" s="17">
        <v>6</v>
      </c>
      <c r="Y1537" s="17">
        <f>data[[#This Row],[DeliveryDate]]-data[[#This Row],[ShipDate]]</f>
        <v>1</v>
      </c>
      <c r="Z1537" s="17" t="str">
        <f>IF(data[[#This Row],[Actual Delivery Days]]&gt;AD1538,"Yes","No")</f>
        <v>Yes</v>
      </c>
    </row>
    <row r="1538" spans="1:26">
      <c r="A1538" s="17">
        <v>10080</v>
      </c>
      <c r="B1538" s="17">
        <v>1</v>
      </c>
      <c r="C1538" s="17">
        <v>7</v>
      </c>
      <c r="D1538" s="17" t="s">
        <v>281</v>
      </c>
      <c r="E1538" s="17" t="s">
        <v>282</v>
      </c>
      <c r="F1538" s="17" t="str">
        <f>TEXT(data[[#This Row],[ShipDate]],"yyyy - mmmm")</f>
        <v>2016 - June</v>
      </c>
      <c r="G1538" s="17" t="str">
        <f>data[[#This Row],[OriginCity]] &amp; " - "  &amp; data[[#This Row],[DestinationCity]]</f>
        <v>Milwaukee - Springfield</v>
      </c>
      <c r="H1538" s="17" t="s">
        <v>28</v>
      </c>
      <c r="I1538" s="17" t="s">
        <v>29</v>
      </c>
      <c r="J1538" s="17">
        <v>1</v>
      </c>
      <c r="K1538" s="17" t="s">
        <v>30</v>
      </c>
      <c r="L1538" s="17" t="s">
        <v>31</v>
      </c>
      <c r="M1538" s="17" t="s">
        <v>283</v>
      </c>
      <c r="N1538" s="17">
        <v>834</v>
      </c>
      <c r="O1538" s="17">
        <v>570</v>
      </c>
      <c r="P1538" s="26">
        <f>(data[[#This Row],[LoadedMiles]]/data[[#This Row],[TotalMiles]])*100</f>
        <v>68.345323741007192</v>
      </c>
      <c r="Q1538" s="25">
        <f>data[[#This Row],[ShippingCost]]/data[[#This Row],[TotalMiles]]</f>
        <v>8.0551558752997607</v>
      </c>
      <c r="R1538" s="17">
        <v>6718</v>
      </c>
      <c r="S1538" s="25">
        <f>data[[#This Row],[Revenue]]/data[[#This Row],[TotalMiles]]</f>
        <v>8.4976019184652269</v>
      </c>
      <c r="T1538" s="26">
        <f>data[[#This Row],[Revenue]]-data[[#This Row],[ShippingCost]]</f>
        <v>369</v>
      </c>
      <c r="U1538" s="17">
        <v>7087</v>
      </c>
      <c r="V1538" s="17">
        <v>81</v>
      </c>
      <c r="W1538" s="17" t="s">
        <v>25</v>
      </c>
      <c r="X1538" s="17">
        <v>4</v>
      </c>
      <c r="Y1538" s="17">
        <f>data[[#This Row],[DeliveryDate]]-data[[#This Row],[ShipDate]]</f>
        <v>1</v>
      </c>
      <c r="Z1538" s="17" t="str">
        <f>IF(data[[#This Row],[Actual Delivery Days]]&gt;AD1539,"Yes","No")</f>
        <v>Yes</v>
      </c>
    </row>
    <row r="1539" spans="1:26">
      <c r="A1539" s="17">
        <v>10085</v>
      </c>
      <c r="B1539" s="17">
        <v>2</v>
      </c>
      <c r="C1539" s="17">
        <v>7</v>
      </c>
      <c r="D1539" s="17" t="s">
        <v>292</v>
      </c>
      <c r="E1539" s="17" t="s">
        <v>293</v>
      </c>
      <c r="F1539" s="17" t="str">
        <f>TEXT(data[[#This Row],[ShipDate]],"yyyy - mmmm")</f>
        <v>2016 - June</v>
      </c>
      <c r="G1539" s="17" t="str">
        <f>data[[#This Row],[OriginCity]] &amp; " - "  &amp; data[[#This Row],[DestinationCity]]</f>
        <v>Detriot - Monon</v>
      </c>
      <c r="H1539" s="17" t="s">
        <v>52</v>
      </c>
      <c r="I1539" s="17" t="s">
        <v>21</v>
      </c>
      <c r="J1539" s="17">
        <v>1</v>
      </c>
      <c r="K1539" s="17" t="s">
        <v>53</v>
      </c>
      <c r="L1539" s="17" t="s">
        <v>44</v>
      </c>
      <c r="M1539" s="17" t="s">
        <v>176</v>
      </c>
      <c r="N1539" s="17">
        <v>818</v>
      </c>
      <c r="O1539" s="17">
        <v>705</v>
      </c>
      <c r="P1539" s="26">
        <f>(data[[#This Row],[LoadedMiles]]/data[[#This Row],[TotalMiles]])*100</f>
        <v>86.185819070904643</v>
      </c>
      <c r="Q1539" s="25">
        <f>data[[#This Row],[ShippingCost]]/data[[#This Row],[TotalMiles]]</f>
        <v>8.5721271393643033</v>
      </c>
      <c r="R1539" s="17">
        <v>7012</v>
      </c>
      <c r="S1539" s="25">
        <f>data[[#This Row],[Revenue]]/data[[#This Row],[TotalMiles]]</f>
        <v>9.6454767726161368</v>
      </c>
      <c r="T1539" s="26">
        <f>data[[#This Row],[Revenue]]-data[[#This Row],[ShippingCost]]</f>
        <v>878</v>
      </c>
      <c r="U1539" s="17">
        <v>7890</v>
      </c>
      <c r="V1539" s="17">
        <v>89</v>
      </c>
      <c r="W1539" s="17" t="s">
        <v>25</v>
      </c>
      <c r="X1539" s="17">
        <v>8</v>
      </c>
      <c r="Y1539" s="17">
        <f>data[[#This Row],[DeliveryDate]]-data[[#This Row],[ShipDate]]</f>
        <v>1</v>
      </c>
      <c r="Z1539" s="17" t="str">
        <f>IF(data[[#This Row],[Actual Delivery Days]]&gt;AD1540,"Yes","No")</f>
        <v>Yes</v>
      </c>
    </row>
    <row r="1540" spans="1:26">
      <c r="A1540" s="17">
        <v>10086</v>
      </c>
      <c r="B1540" s="17">
        <v>1</v>
      </c>
      <c r="C1540" s="17">
        <v>7</v>
      </c>
      <c r="D1540" s="17" t="s">
        <v>294</v>
      </c>
      <c r="E1540" s="17" t="s">
        <v>240</v>
      </c>
      <c r="F1540" s="17" t="str">
        <f>TEXT(data[[#This Row],[ShipDate]],"yyyy - mmmm")</f>
        <v>2016 - August</v>
      </c>
      <c r="G1540" s="17" t="str">
        <f>data[[#This Row],[OriginCity]] &amp; " - "  &amp; data[[#This Row],[DestinationCity]]</f>
        <v>Gary - Milwaukee</v>
      </c>
      <c r="H1540" s="17" t="s">
        <v>57</v>
      </c>
      <c r="I1540" s="17" t="s">
        <v>44</v>
      </c>
      <c r="J1540" s="17">
        <v>1</v>
      </c>
      <c r="K1540" s="17" t="s">
        <v>28</v>
      </c>
      <c r="L1540" s="17" t="s">
        <v>29</v>
      </c>
      <c r="M1540" s="17" t="s">
        <v>243</v>
      </c>
      <c r="N1540" s="17">
        <v>1050</v>
      </c>
      <c r="O1540" s="17">
        <v>548</v>
      </c>
      <c r="P1540" s="26">
        <f>(data[[#This Row],[LoadedMiles]]/data[[#This Row],[TotalMiles]])*100</f>
        <v>52.19047619047619</v>
      </c>
      <c r="Q1540" s="25">
        <f>data[[#This Row],[ShippingCost]]/data[[#This Row],[TotalMiles]]</f>
        <v>6.0771428571428574</v>
      </c>
      <c r="R1540" s="17">
        <v>6381</v>
      </c>
      <c r="S1540" s="25">
        <f>data[[#This Row],[Revenue]]/data[[#This Row],[TotalMiles]]</f>
        <v>6.7504761904761903</v>
      </c>
      <c r="T1540" s="26">
        <f>data[[#This Row],[Revenue]]-data[[#This Row],[ShippingCost]]</f>
        <v>707</v>
      </c>
      <c r="U1540" s="17">
        <v>7088</v>
      </c>
      <c r="V1540" s="17">
        <v>67</v>
      </c>
      <c r="W1540" s="17" t="s">
        <v>25</v>
      </c>
      <c r="X1540" s="17">
        <v>8</v>
      </c>
      <c r="Y1540" s="17">
        <f>data[[#This Row],[DeliveryDate]]-data[[#This Row],[ShipDate]]</f>
        <v>1</v>
      </c>
      <c r="Z1540" s="17" t="str">
        <f>IF(data[[#This Row],[Actual Delivery Days]]&gt;AD1541,"Yes","No")</f>
        <v>Yes</v>
      </c>
    </row>
    <row r="1541" spans="1:26">
      <c r="A1541" s="17">
        <v>10090</v>
      </c>
      <c r="B1541" s="17">
        <v>1</v>
      </c>
      <c r="C1541" s="17">
        <v>4</v>
      </c>
      <c r="D1541" s="17" t="s">
        <v>303</v>
      </c>
      <c r="E1541" s="17" t="s">
        <v>304</v>
      </c>
      <c r="F1541" s="17" t="str">
        <f>TEXT(data[[#This Row],[ShipDate]],"yyyy - mmmm")</f>
        <v>2016 - January</v>
      </c>
      <c r="G1541" s="17" t="str">
        <f>data[[#This Row],[OriginCity]] &amp; " - "  &amp; data[[#This Row],[DestinationCity]]</f>
        <v>Green Bay - Joliet</v>
      </c>
      <c r="H1541" s="17" t="s">
        <v>75</v>
      </c>
      <c r="I1541" s="17" t="s">
        <v>29</v>
      </c>
      <c r="J1541" s="17">
        <v>1</v>
      </c>
      <c r="K1541" s="17" t="s">
        <v>61</v>
      </c>
      <c r="L1541" s="17" t="s">
        <v>31</v>
      </c>
      <c r="M1541" s="17" t="s">
        <v>111</v>
      </c>
      <c r="N1541" s="17">
        <v>919</v>
      </c>
      <c r="O1541" s="17">
        <v>445</v>
      </c>
      <c r="P1541" s="26">
        <f>(data[[#This Row],[LoadedMiles]]/data[[#This Row],[TotalMiles]])*100</f>
        <v>48.42219804134929</v>
      </c>
      <c r="Q1541" s="25">
        <f>data[[#This Row],[ShippingCost]]/data[[#This Row],[TotalMiles]]</f>
        <v>6.4417845484221976</v>
      </c>
      <c r="R1541" s="17">
        <v>5920</v>
      </c>
      <c r="S1541" s="25">
        <f>data[[#This Row],[Revenue]]/data[[#This Row],[TotalMiles]]</f>
        <v>4.6332970620239387</v>
      </c>
      <c r="T1541" s="26">
        <f>data[[#This Row],[Revenue]]-data[[#This Row],[ShippingCost]]</f>
        <v>-1662</v>
      </c>
      <c r="U1541" s="17">
        <v>4258</v>
      </c>
      <c r="V1541" s="17">
        <v>53</v>
      </c>
      <c r="W1541" s="17" t="s">
        <v>25</v>
      </c>
      <c r="X1541" s="17">
        <v>1</v>
      </c>
      <c r="Y1541" s="17">
        <f>data[[#This Row],[DeliveryDate]]-data[[#This Row],[ShipDate]]</f>
        <v>1</v>
      </c>
      <c r="Z1541" s="17" t="str">
        <f>IF(data[[#This Row],[Actual Delivery Days]]&gt;AD1542,"Yes","No")</f>
        <v>Yes</v>
      </c>
    </row>
    <row r="1542" spans="1:26">
      <c r="A1542" s="17">
        <v>10097</v>
      </c>
      <c r="B1542" s="17">
        <v>2</v>
      </c>
      <c r="C1542" s="17">
        <v>5</v>
      </c>
      <c r="D1542" s="17" t="s">
        <v>314</v>
      </c>
      <c r="E1542" s="17" t="s">
        <v>315</v>
      </c>
      <c r="F1542" s="17" t="str">
        <f>TEXT(data[[#This Row],[ShipDate]],"yyyy - mmmm")</f>
        <v>2016 - June</v>
      </c>
      <c r="G1542" s="17" t="str">
        <f>data[[#This Row],[OriginCity]] &amp; " - "  &amp; data[[#This Row],[DestinationCity]]</f>
        <v>Lansing - Dayton</v>
      </c>
      <c r="H1542" s="17" t="s">
        <v>66</v>
      </c>
      <c r="I1542" s="17" t="s">
        <v>21</v>
      </c>
      <c r="J1542" s="17">
        <v>1</v>
      </c>
      <c r="K1542" s="17" t="s">
        <v>93</v>
      </c>
      <c r="L1542" s="17" t="s">
        <v>23</v>
      </c>
      <c r="M1542" s="17" t="s">
        <v>316</v>
      </c>
      <c r="N1542" s="17">
        <v>293</v>
      </c>
      <c r="O1542" s="17">
        <v>293</v>
      </c>
      <c r="P1542" s="26">
        <f>(data[[#This Row],[LoadedMiles]]/data[[#This Row],[TotalMiles]])*100</f>
        <v>100</v>
      </c>
      <c r="Q1542" s="25">
        <f>data[[#This Row],[ShippingCost]]/data[[#This Row],[TotalMiles]]</f>
        <v>21.788395904436861</v>
      </c>
      <c r="R1542" s="17">
        <v>6384</v>
      </c>
      <c r="S1542" s="25">
        <f>data[[#This Row],[Revenue]]/data[[#This Row],[TotalMiles]]</f>
        <v>22.546075085324233</v>
      </c>
      <c r="T1542" s="26">
        <f>data[[#This Row],[Revenue]]-data[[#This Row],[ShippingCost]]</f>
        <v>222</v>
      </c>
      <c r="U1542" s="17">
        <v>6606</v>
      </c>
      <c r="V1542" s="17">
        <v>54</v>
      </c>
      <c r="W1542" s="17" t="s">
        <v>86</v>
      </c>
      <c r="X1542" s="17">
        <v>1</v>
      </c>
      <c r="Y1542" s="17">
        <f>data[[#This Row],[DeliveryDate]]-data[[#This Row],[ShipDate]]</f>
        <v>1</v>
      </c>
      <c r="Z1542" s="17" t="str">
        <f>IF(data[[#This Row],[Actual Delivery Days]]&gt;AD1543,"Yes","No")</f>
        <v>Yes</v>
      </c>
    </row>
    <row r="1543" spans="1:26">
      <c r="A1543" s="17">
        <v>10104</v>
      </c>
      <c r="B1543" s="17">
        <v>2</v>
      </c>
      <c r="C1543" s="17">
        <v>6</v>
      </c>
      <c r="D1543" s="17" t="s">
        <v>326</v>
      </c>
      <c r="E1543" s="17" t="s">
        <v>229</v>
      </c>
      <c r="F1543" s="17" t="str">
        <f>TEXT(data[[#This Row],[ShipDate]],"yyyy - mmmm")</f>
        <v>2016 - January</v>
      </c>
      <c r="G1543" s="17" t="str">
        <f>data[[#This Row],[OriginCity]] &amp; " - "  &amp; data[[#This Row],[DestinationCity]]</f>
        <v>Milwaukee - Springfield</v>
      </c>
      <c r="H1543" s="17" t="s">
        <v>28</v>
      </c>
      <c r="I1543" s="17" t="s">
        <v>29</v>
      </c>
      <c r="J1543" s="17">
        <v>1</v>
      </c>
      <c r="K1543" s="17" t="s">
        <v>30</v>
      </c>
      <c r="L1543" s="17" t="s">
        <v>31</v>
      </c>
      <c r="M1543" s="17" t="s">
        <v>327</v>
      </c>
      <c r="N1543" s="17">
        <v>787</v>
      </c>
      <c r="O1543" s="17">
        <v>539</v>
      </c>
      <c r="P1543" s="26">
        <f>(data[[#This Row],[LoadedMiles]]/data[[#This Row],[TotalMiles]])*100</f>
        <v>68.487928843710293</v>
      </c>
      <c r="Q1543" s="25">
        <f>data[[#This Row],[ShippingCost]]/data[[#This Row],[TotalMiles]]</f>
        <v>1.2401524777636594</v>
      </c>
      <c r="R1543" s="17">
        <v>976</v>
      </c>
      <c r="S1543" s="25">
        <f>data[[#This Row],[Revenue]]/data[[#This Row],[TotalMiles]]</f>
        <v>1.818297331639136</v>
      </c>
      <c r="T1543" s="26">
        <f>data[[#This Row],[Revenue]]-data[[#This Row],[ShippingCost]]</f>
        <v>455</v>
      </c>
      <c r="U1543" s="17">
        <v>1431</v>
      </c>
      <c r="V1543" s="17">
        <v>86</v>
      </c>
      <c r="W1543" s="17" t="s">
        <v>25</v>
      </c>
      <c r="X1543" s="17">
        <v>7</v>
      </c>
      <c r="Y1543" s="17">
        <f>data[[#This Row],[DeliveryDate]]-data[[#This Row],[ShipDate]]</f>
        <v>1</v>
      </c>
      <c r="Z1543" s="17" t="str">
        <f>IF(data[[#This Row],[Actual Delivery Days]]&gt;AD1544,"Yes","No")</f>
        <v>Yes</v>
      </c>
    </row>
    <row r="1544" spans="1:26">
      <c r="A1544" s="17">
        <v>10105</v>
      </c>
      <c r="B1544" s="17">
        <v>2</v>
      </c>
      <c r="C1544" s="17">
        <v>7</v>
      </c>
      <c r="D1544" s="17" t="s">
        <v>328</v>
      </c>
      <c r="E1544" s="17" t="s">
        <v>214</v>
      </c>
      <c r="F1544" s="17" t="str">
        <f>TEXT(data[[#This Row],[ShipDate]],"yyyy - mmmm")</f>
        <v>2016 - August</v>
      </c>
      <c r="G1544" s="17" t="str">
        <f>data[[#This Row],[OriginCity]] &amp; " - "  &amp; data[[#This Row],[DestinationCity]]</f>
        <v>Springfield - Skokie</v>
      </c>
      <c r="H1544" s="17" t="s">
        <v>30</v>
      </c>
      <c r="I1544" s="17" t="s">
        <v>31</v>
      </c>
      <c r="J1544" s="17">
        <v>1</v>
      </c>
      <c r="K1544" s="17" t="s">
        <v>35</v>
      </c>
      <c r="L1544" s="17" t="s">
        <v>31</v>
      </c>
      <c r="M1544" s="17" t="s">
        <v>301</v>
      </c>
      <c r="N1544" s="17">
        <v>961</v>
      </c>
      <c r="O1544" s="17">
        <v>369</v>
      </c>
      <c r="P1544" s="26">
        <f>(data[[#This Row],[LoadedMiles]]/data[[#This Row],[TotalMiles]])*100</f>
        <v>38.397502601456814</v>
      </c>
      <c r="Q1544" s="25">
        <f>data[[#This Row],[ShippingCost]]/data[[#This Row],[TotalMiles]]</f>
        <v>0.10822060353798127</v>
      </c>
      <c r="R1544" s="17">
        <v>104</v>
      </c>
      <c r="S1544" s="25">
        <f>data[[#This Row],[Revenue]]/data[[#This Row],[TotalMiles]]</f>
        <v>0.9219562955254943</v>
      </c>
      <c r="T1544" s="26">
        <f>data[[#This Row],[Revenue]]-data[[#This Row],[ShippingCost]]</f>
        <v>782</v>
      </c>
      <c r="U1544" s="17">
        <v>886</v>
      </c>
      <c r="V1544" s="17">
        <v>93</v>
      </c>
      <c r="W1544" s="17" t="s">
        <v>25</v>
      </c>
      <c r="X1544" s="17">
        <v>9</v>
      </c>
      <c r="Y1544" s="17">
        <f>data[[#This Row],[DeliveryDate]]-data[[#This Row],[ShipDate]]</f>
        <v>1</v>
      </c>
      <c r="Z1544" s="17" t="str">
        <f>IF(data[[#This Row],[Actual Delivery Days]]&gt;AD1545,"Yes","No")</f>
        <v>Yes</v>
      </c>
    </row>
    <row r="1545" spans="1:26">
      <c r="A1545" s="17">
        <v>10106</v>
      </c>
      <c r="B1545" s="17">
        <v>1</v>
      </c>
      <c r="C1545" s="17">
        <v>7</v>
      </c>
      <c r="D1545" s="17" t="s">
        <v>329</v>
      </c>
      <c r="E1545" s="17" t="s">
        <v>114</v>
      </c>
      <c r="F1545" s="17" t="str">
        <f>TEXT(data[[#This Row],[ShipDate]],"yyyy - mmmm")</f>
        <v>2016 - April</v>
      </c>
      <c r="G1545" s="17" t="str">
        <f>data[[#This Row],[OriginCity]] &amp; " - "  &amp; data[[#This Row],[DestinationCity]]</f>
        <v>Chicago - Rockford</v>
      </c>
      <c r="H1545" s="17" t="s">
        <v>39</v>
      </c>
      <c r="I1545" s="17" t="s">
        <v>31</v>
      </c>
      <c r="J1545" s="17">
        <v>1</v>
      </c>
      <c r="K1545" s="17" t="s">
        <v>40</v>
      </c>
      <c r="L1545" s="17" t="s">
        <v>31</v>
      </c>
      <c r="M1545" s="17" t="s">
        <v>49</v>
      </c>
      <c r="N1545" s="17">
        <v>1188</v>
      </c>
      <c r="O1545" s="17">
        <v>325</v>
      </c>
      <c r="P1545" s="26">
        <f>(data[[#This Row],[LoadedMiles]]/data[[#This Row],[TotalMiles]])*100</f>
        <v>27.356902356902356</v>
      </c>
      <c r="Q1545" s="25">
        <f>data[[#This Row],[ShippingCost]]/data[[#This Row],[TotalMiles]]</f>
        <v>4.2971380471380467</v>
      </c>
      <c r="R1545" s="17">
        <v>5105</v>
      </c>
      <c r="S1545" s="25">
        <f>data[[#This Row],[Revenue]]/data[[#This Row],[TotalMiles]]</f>
        <v>4.595959595959596</v>
      </c>
      <c r="T1545" s="26">
        <f>data[[#This Row],[Revenue]]-data[[#This Row],[ShippingCost]]</f>
        <v>355</v>
      </c>
      <c r="U1545" s="17">
        <v>5460</v>
      </c>
      <c r="V1545" s="17">
        <v>86</v>
      </c>
      <c r="W1545" s="17" t="s">
        <v>25</v>
      </c>
      <c r="X1545" s="17">
        <v>3</v>
      </c>
      <c r="Y1545" s="17">
        <f>data[[#This Row],[DeliveryDate]]-data[[#This Row],[ShipDate]]</f>
        <v>1</v>
      </c>
      <c r="Z1545" s="17" t="str">
        <f>IF(data[[#This Row],[Actual Delivery Days]]&gt;AD1546,"Yes","No")</f>
        <v>Yes</v>
      </c>
    </row>
    <row r="1546" spans="1:26">
      <c r="A1546" s="17">
        <v>10115</v>
      </c>
      <c r="B1546" s="17">
        <v>2</v>
      </c>
      <c r="C1546" s="17">
        <v>6</v>
      </c>
      <c r="D1546" s="17" t="s">
        <v>347</v>
      </c>
      <c r="E1546" s="17" t="s">
        <v>348</v>
      </c>
      <c r="F1546" s="17" t="str">
        <f>TEXT(data[[#This Row],[ShipDate]],"yyyy - mmmm")</f>
        <v>2016 - May</v>
      </c>
      <c r="G1546" s="17" t="str">
        <f>data[[#This Row],[OriginCity]] &amp; " - "  &amp; data[[#This Row],[DestinationCity]]</f>
        <v>Cincinnati - Gary</v>
      </c>
      <c r="H1546" s="17" t="s">
        <v>89</v>
      </c>
      <c r="I1546" s="17" t="s">
        <v>23</v>
      </c>
      <c r="J1546" s="17">
        <v>1</v>
      </c>
      <c r="K1546" s="17" t="s">
        <v>57</v>
      </c>
      <c r="L1546" s="17" t="s">
        <v>44</v>
      </c>
      <c r="M1546" s="17" t="s">
        <v>248</v>
      </c>
      <c r="N1546" s="17">
        <v>1135</v>
      </c>
      <c r="O1546" s="17">
        <v>227</v>
      </c>
      <c r="P1546" s="26">
        <f>(data[[#This Row],[LoadedMiles]]/data[[#This Row],[TotalMiles]])*100</f>
        <v>20</v>
      </c>
      <c r="Q1546" s="25">
        <f>data[[#This Row],[ShippingCost]]/data[[#This Row],[TotalMiles]]</f>
        <v>4.1744493392070483</v>
      </c>
      <c r="R1546" s="17">
        <v>4738</v>
      </c>
      <c r="S1546" s="25">
        <f>data[[#This Row],[Revenue]]/data[[#This Row],[TotalMiles]]</f>
        <v>4.7418502202643174</v>
      </c>
      <c r="T1546" s="26">
        <f>data[[#This Row],[Revenue]]-data[[#This Row],[ShippingCost]]</f>
        <v>644</v>
      </c>
      <c r="U1546" s="17">
        <v>5382</v>
      </c>
      <c r="V1546" s="17">
        <v>61</v>
      </c>
      <c r="W1546" s="17" t="s">
        <v>25</v>
      </c>
      <c r="X1546" s="17">
        <v>10</v>
      </c>
      <c r="Y1546" s="17">
        <f>data[[#This Row],[DeliveryDate]]-data[[#This Row],[ShipDate]]</f>
        <v>1</v>
      </c>
      <c r="Z1546" s="17" t="str">
        <f>IF(data[[#This Row],[Actual Delivery Days]]&gt;AD1547,"Yes","No")</f>
        <v>Yes</v>
      </c>
    </row>
    <row r="1547" spans="1:26">
      <c r="A1547" s="17">
        <v>10127</v>
      </c>
      <c r="B1547" s="17">
        <v>2</v>
      </c>
      <c r="C1547" s="17">
        <v>8</v>
      </c>
      <c r="D1547" s="17" t="s">
        <v>369</v>
      </c>
      <c r="E1547" s="17" t="s">
        <v>310</v>
      </c>
      <c r="F1547" s="17" t="str">
        <f>TEXT(data[[#This Row],[ShipDate]],"yyyy - mmmm")</f>
        <v>2016 - February</v>
      </c>
      <c r="G1547" s="17" t="str">
        <f>data[[#This Row],[OriginCity]] &amp; " - "  &amp; data[[#This Row],[DestinationCity]]</f>
        <v>Chicago - Rockford</v>
      </c>
      <c r="H1547" s="17" t="s">
        <v>39</v>
      </c>
      <c r="I1547" s="17" t="s">
        <v>31</v>
      </c>
      <c r="J1547" s="17">
        <v>1</v>
      </c>
      <c r="K1547" s="17" t="s">
        <v>40</v>
      </c>
      <c r="L1547" s="17" t="s">
        <v>31</v>
      </c>
      <c r="M1547" s="17" t="s">
        <v>290</v>
      </c>
      <c r="N1547" s="17">
        <v>315</v>
      </c>
      <c r="O1547" s="17">
        <v>315</v>
      </c>
      <c r="P1547" s="26">
        <f>(data[[#This Row],[LoadedMiles]]/data[[#This Row],[TotalMiles]])*100</f>
        <v>100</v>
      </c>
      <c r="Q1547" s="25">
        <f>data[[#This Row],[ShippingCost]]/data[[#This Row],[TotalMiles]]</f>
        <v>20.774603174603175</v>
      </c>
      <c r="R1547" s="17">
        <v>6544</v>
      </c>
      <c r="S1547" s="25">
        <f>data[[#This Row],[Revenue]]/data[[#This Row],[TotalMiles]]</f>
        <v>23.479365079365078</v>
      </c>
      <c r="T1547" s="26">
        <f>data[[#This Row],[Revenue]]-data[[#This Row],[ShippingCost]]</f>
        <v>852</v>
      </c>
      <c r="U1547" s="17">
        <v>7396</v>
      </c>
      <c r="V1547" s="17">
        <v>61</v>
      </c>
      <c r="W1547" s="17" t="s">
        <v>25</v>
      </c>
      <c r="X1547" s="17">
        <v>6</v>
      </c>
      <c r="Y1547" s="17">
        <f>data[[#This Row],[DeliveryDate]]-data[[#This Row],[ShipDate]]</f>
        <v>1</v>
      </c>
      <c r="Z1547" s="17" t="str">
        <f>IF(data[[#This Row],[Actual Delivery Days]]&gt;AD1548,"Yes","No")</f>
        <v>Yes</v>
      </c>
    </row>
    <row r="1548" spans="1:26">
      <c r="A1548" s="17">
        <v>10143</v>
      </c>
      <c r="B1548" s="17">
        <v>1</v>
      </c>
      <c r="C1548" s="17">
        <v>7</v>
      </c>
      <c r="D1548" s="17" t="s">
        <v>395</v>
      </c>
      <c r="E1548" s="17" t="s">
        <v>166</v>
      </c>
      <c r="F1548" s="17" t="str">
        <f>TEXT(data[[#This Row],[ShipDate]],"yyyy - mmmm")</f>
        <v>2016 - January</v>
      </c>
      <c r="G1548" s="17" t="str">
        <f>data[[#This Row],[OriginCity]] &amp; " - "  &amp; data[[#This Row],[DestinationCity]]</f>
        <v>Skokie - Chicago</v>
      </c>
      <c r="H1548" s="17" t="s">
        <v>35</v>
      </c>
      <c r="I1548" s="17" t="s">
        <v>31</v>
      </c>
      <c r="J1548" s="17">
        <v>1</v>
      </c>
      <c r="K1548" s="17" t="s">
        <v>39</v>
      </c>
      <c r="L1548" s="17" t="s">
        <v>31</v>
      </c>
      <c r="M1548" s="17" t="s">
        <v>396</v>
      </c>
      <c r="N1548" s="17">
        <v>204</v>
      </c>
      <c r="O1548" s="17">
        <v>204</v>
      </c>
      <c r="P1548" s="26">
        <f>(data[[#This Row],[LoadedMiles]]/data[[#This Row],[TotalMiles]])*100</f>
        <v>100</v>
      </c>
      <c r="Q1548" s="25">
        <f>data[[#This Row],[ShippingCost]]/data[[#This Row],[TotalMiles]]</f>
        <v>14.367647058823529</v>
      </c>
      <c r="R1548" s="17">
        <v>2931</v>
      </c>
      <c r="S1548" s="25">
        <f>data[[#This Row],[Revenue]]/data[[#This Row],[TotalMiles]]</f>
        <v>16.627450980392158</v>
      </c>
      <c r="T1548" s="26">
        <f>data[[#This Row],[Revenue]]-data[[#This Row],[ShippingCost]]</f>
        <v>461</v>
      </c>
      <c r="U1548" s="17">
        <v>3392</v>
      </c>
      <c r="V1548" s="17">
        <v>58</v>
      </c>
      <c r="W1548" s="17" t="s">
        <v>25</v>
      </c>
      <c r="X1548" s="17">
        <v>1</v>
      </c>
      <c r="Y1548" s="17">
        <f>data[[#This Row],[DeliveryDate]]-data[[#This Row],[ShipDate]]</f>
        <v>1</v>
      </c>
      <c r="Z1548" s="17" t="str">
        <f>IF(data[[#This Row],[Actual Delivery Days]]&gt;AD1549,"Yes","No")</f>
        <v>Yes</v>
      </c>
    </row>
    <row r="1549" spans="1:26">
      <c r="A1549" s="17">
        <v>10153</v>
      </c>
      <c r="B1549" s="17">
        <v>2</v>
      </c>
      <c r="C1549" s="17">
        <v>4</v>
      </c>
      <c r="D1549" s="17" t="s">
        <v>414</v>
      </c>
      <c r="E1549" s="17" t="s">
        <v>415</v>
      </c>
      <c r="F1549" s="17" t="str">
        <f>TEXT(data[[#This Row],[ShipDate]],"yyyy - mmmm")</f>
        <v>2016 - August</v>
      </c>
      <c r="G1549" s="17" t="str">
        <f>data[[#This Row],[OriginCity]] &amp; " - "  &amp; data[[#This Row],[DestinationCity]]</f>
        <v>Monon - Lansing</v>
      </c>
      <c r="H1549" s="17" t="s">
        <v>53</v>
      </c>
      <c r="I1549" s="17" t="s">
        <v>44</v>
      </c>
      <c r="J1549" s="17">
        <v>1</v>
      </c>
      <c r="K1549" s="17" t="s">
        <v>66</v>
      </c>
      <c r="L1549" s="17" t="s">
        <v>21</v>
      </c>
      <c r="M1549" s="17" t="s">
        <v>416</v>
      </c>
      <c r="N1549" s="17">
        <v>305</v>
      </c>
      <c r="O1549" s="17">
        <v>305</v>
      </c>
      <c r="P1549" s="26">
        <f>(data[[#This Row],[LoadedMiles]]/data[[#This Row],[TotalMiles]])*100</f>
        <v>100</v>
      </c>
      <c r="Q1549" s="25">
        <f>data[[#This Row],[ShippingCost]]/data[[#This Row],[TotalMiles]]</f>
        <v>11.331147540983606</v>
      </c>
      <c r="R1549" s="17">
        <v>3456</v>
      </c>
      <c r="S1549" s="25">
        <f>data[[#This Row],[Revenue]]/data[[#This Row],[TotalMiles]]</f>
        <v>6.8786885245901637</v>
      </c>
      <c r="T1549" s="26">
        <f>data[[#This Row],[Revenue]]-data[[#This Row],[ShippingCost]]</f>
        <v>-1358</v>
      </c>
      <c r="U1549" s="17">
        <v>2098</v>
      </c>
      <c r="V1549" s="17">
        <v>86</v>
      </c>
      <c r="W1549" s="17" t="s">
        <v>25</v>
      </c>
      <c r="X1549" s="17">
        <v>9</v>
      </c>
      <c r="Y1549" s="17">
        <f>data[[#This Row],[DeliveryDate]]-data[[#This Row],[ShipDate]]</f>
        <v>1</v>
      </c>
      <c r="Z1549" s="17" t="str">
        <f>IF(data[[#This Row],[Actual Delivery Days]]&gt;AD1550,"Yes","No")</f>
        <v>Yes</v>
      </c>
    </row>
    <row r="1550" spans="1:26">
      <c r="A1550" s="17">
        <v>10158</v>
      </c>
      <c r="B1550" s="17">
        <v>2</v>
      </c>
      <c r="C1550" s="17">
        <v>5</v>
      </c>
      <c r="D1550" s="17" t="s">
        <v>423</v>
      </c>
      <c r="E1550" s="17" t="s">
        <v>263</v>
      </c>
      <c r="F1550" s="17" t="str">
        <f>TEXT(data[[#This Row],[ShipDate]],"yyyy - mmmm")</f>
        <v>2016 - January</v>
      </c>
      <c r="G1550" s="17" t="str">
        <f>data[[#This Row],[OriginCity]] &amp; " - "  &amp; data[[#This Row],[DestinationCity]]</f>
        <v>Appleton - Grand Rapids</v>
      </c>
      <c r="H1550" s="17" t="s">
        <v>85</v>
      </c>
      <c r="I1550" s="17" t="s">
        <v>29</v>
      </c>
      <c r="J1550" s="17">
        <v>1</v>
      </c>
      <c r="K1550" s="17" t="s">
        <v>20</v>
      </c>
      <c r="L1550" s="17" t="s">
        <v>21</v>
      </c>
      <c r="M1550" s="17" t="s">
        <v>424</v>
      </c>
      <c r="N1550" s="17">
        <v>653</v>
      </c>
      <c r="O1550" s="17">
        <v>207</v>
      </c>
      <c r="P1550" s="26">
        <f>(data[[#This Row],[LoadedMiles]]/data[[#This Row],[TotalMiles]])*100</f>
        <v>31.699846860643184</v>
      </c>
      <c r="Q1550" s="25">
        <f>data[[#This Row],[ShippingCost]]/data[[#This Row],[TotalMiles]]</f>
        <v>10.111791730474732</v>
      </c>
      <c r="R1550" s="17">
        <v>6603</v>
      </c>
      <c r="S1550" s="25">
        <f>data[[#This Row],[Revenue]]/data[[#This Row],[TotalMiles]]</f>
        <v>11.013782542113324</v>
      </c>
      <c r="T1550" s="26">
        <f>data[[#This Row],[Revenue]]-data[[#This Row],[ShippingCost]]</f>
        <v>589</v>
      </c>
      <c r="U1550" s="17">
        <v>7192</v>
      </c>
      <c r="V1550" s="17">
        <v>75</v>
      </c>
      <c r="W1550" s="17" t="s">
        <v>25</v>
      </c>
      <c r="X1550" s="17">
        <v>8</v>
      </c>
      <c r="Y1550" s="17">
        <f>data[[#This Row],[DeliveryDate]]-data[[#This Row],[ShipDate]]</f>
        <v>1</v>
      </c>
      <c r="Z1550" s="17" t="str">
        <f>IF(data[[#This Row],[Actual Delivery Days]]&gt;AD1551,"Yes","No")</f>
        <v>Yes</v>
      </c>
    </row>
    <row r="1551" spans="1:26">
      <c r="A1551" s="17">
        <v>10168</v>
      </c>
      <c r="B1551" s="17">
        <v>1</v>
      </c>
      <c r="C1551" s="17">
        <v>6</v>
      </c>
      <c r="D1551" s="17" t="s">
        <v>441</v>
      </c>
      <c r="E1551" s="17" t="s">
        <v>97</v>
      </c>
      <c r="F1551" s="17" t="str">
        <f>TEXT(data[[#This Row],[ShipDate]],"yyyy - mmmm")</f>
        <v>2016 - April</v>
      </c>
      <c r="G1551" s="17" t="str">
        <f>data[[#This Row],[OriginCity]] &amp; " - "  &amp; data[[#This Row],[DestinationCity]]</f>
        <v>Springfield - Skokie</v>
      </c>
      <c r="H1551" s="17" t="s">
        <v>30</v>
      </c>
      <c r="I1551" s="17" t="s">
        <v>31</v>
      </c>
      <c r="J1551" s="17">
        <v>1</v>
      </c>
      <c r="K1551" s="17" t="s">
        <v>35</v>
      </c>
      <c r="L1551" s="17" t="s">
        <v>31</v>
      </c>
      <c r="M1551" s="17" t="s">
        <v>171</v>
      </c>
      <c r="N1551" s="17">
        <v>600</v>
      </c>
      <c r="O1551" s="17">
        <v>281</v>
      </c>
      <c r="P1551" s="26">
        <f>(data[[#This Row],[LoadedMiles]]/data[[#This Row],[TotalMiles]])*100</f>
        <v>46.833333333333336</v>
      </c>
      <c r="Q1551" s="25">
        <f>data[[#This Row],[ShippingCost]]/data[[#This Row],[TotalMiles]]</f>
        <v>1.4316666666666666</v>
      </c>
      <c r="R1551" s="17">
        <v>859</v>
      </c>
      <c r="S1551" s="25">
        <f>data[[#This Row],[Revenue]]/data[[#This Row],[TotalMiles]]</f>
        <v>1.9566666666666668</v>
      </c>
      <c r="T1551" s="26">
        <f>data[[#This Row],[Revenue]]-data[[#This Row],[ShippingCost]]</f>
        <v>315</v>
      </c>
      <c r="U1551" s="17">
        <v>1174</v>
      </c>
      <c r="V1551" s="17">
        <v>94</v>
      </c>
      <c r="W1551" s="17" t="s">
        <v>86</v>
      </c>
      <c r="X1551" s="17">
        <v>7</v>
      </c>
      <c r="Y1551" s="17">
        <f>data[[#This Row],[DeliveryDate]]-data[[#This Row],[ShipDate]]</f>
        <v>1</v>
      </c>
      <c r="Z1551" s="17" t="str">
        <f>IF(data[[#This Row],[Actual Delivery Days]]&gt;AD1552,"Yes","No")</f>
        <v>Yes</v>
      </c>
    </row>
    <row r="1552" spans="1:26">
      <c r="A1552" s="17">
        <v>10185</v>
      </c>
      <c r="B1552" s="17">
        <v>1</v>
      </c>
      <c r="C1552" s="17">
        <v>4</v>
      </c>
      <c r="D1552" s="17" t="s">
        <v>471</v>
      </c>
      <c r="E1552" s="17" t="s">
        <v>141</v>
      </c>
      <c r="F1552" s="17" t="str">
        <f>TEXT(data[[#This Row],[ShipDate]],"yyyy - mmmm")</f>
        <v>2016 - August</v>
      </c>
      <c r="G1552" s="17" t="str">
        <f>data[[#This Row],[OriginCity]] &amp; " - "  &amp; data[[#This Row],[DestinationCity]]</f>
        <v>Davenport - Appleton</v>
      </c>
      <c r="H1552" s="17" t="s">
        <v>105</v>
      </c>
      <c r="I1552" s="17" t="s">
        <v>106</v>
      </c>
      <c r="J1552" s="17">
        <v>1</v>
      </c>
      <c r="K1552" s="17" t="s">
        <v>85</v>
      </c>
      <c r="L1552" s="17" t="s">
        <v>29</v>
      </c>
      <c r="M1552" s="17" t="s">
        <v>184</v>
      </c>
      <c r="N1552" s="17">
        <v>972</v>
      </c>
      <c r="O1552" s="17">
        <v>594</v>
      </c>
      <c r="P1552" s="26">
        <f>(data[[#This Row],[LoadedMiles]]/data[[#This Row],[TotalMiles]])*100</f>
        <v>61.111111111111114</v>
      </c>
      <c r="Q1552" s="25">
        <f>data[[#This Row],[ShippingCost]]/data[[#This Row],[TotalMiles]]</f>
        <v>6.0432098765432096</v>
      </c>
      <c r="R1552" s="17">
        <v>5874</v>
      </c>
      <c r="S1552" s="25">
        <f>data[[#This Row],[Revenue]]/data[[#This Row],[TotalMiles]]</f>
        <v>3.7109053497942388</v>
      </c>
      <c r="T1552" s="26">
        <f>data[[#This Row],[Revenue]]-data[[#This Row],[ShippingCost]]</f>
        <v>-2267</v>
      </c>
      <c r="U1552" s="17">
        <v>3607</v>
      </c>
      <c r="V1552" s="17">
        <v>55</v>
      </c>
      <c r="W1552" s="17" t="s">
        <v>25</v>
      </c>
      <c r="X1552" s="17">
        <v>5</v>
      </c>
      <c r="Y1552" s="17">
        <f>data[[#This Row],[DeliveryDate]]-data[[#This Row],[ShipDate]]</f>
        <v>1</v>
      </c>
      <c r="Z1552" s="17" t="str">
        <f>IF(data[[#This Row],[Actual Delivery Days]]&gt;AD1553,"Yes","No")</f>
        <v>Yes</v>
      </c>
    </row>
    <row r="1553" spans="1:26">
      <c r="A1553" s="17">
        <v>10186</v>
      </c>
      <c r="B1553" s="17">
        <v>2</v>
      </c>
      <c r="C1553" s="17">
        <v>6</v>
      </c>
      <c r="D1553" s="17" t="s">
        <v>472</v>
      </c>
      <c r="E1553" s="17" t="s">
        <v>473</v>
      </c>
      <c r="F1553" s="17" t="str">
        <f>TEXT(data[[#This Row],[ShipDate]],"yyyy - mmmm")</f>
        <v>2016 - June</v>
      </c>
      <c r="G1553" s="17" t="str">
        <f>data[[#This Row],[OriginCity]] &amp; " - "  &amp; data[[#This Row],[DestinationCity]]</f>
        <v>Grand Rapids - Toledo</v>
      </c>
      <c r="H1553" s="17" t="s">
        <v>20</v>
      </c>
      <c r="I1553" s="17" t="s">
        <v>21</v>
      </c>
      <c r="J1553" s="17">
        <v>1</v>
      </c>
      <c r="K1553" s="17" t="s">
        <v>22</v>
      </c>
      <c r="L1553" s="17" t="s">
        <v>23</v>
      </c>
      <c r="M1553" s="17" t="s">
        <v>474</v>
      </c>
      <c r="N1553" s="17">
        <v>324</v>
      </c>
      <c r="O1553" s="17">
        <v>323</v>
      </c>
      <c r="P1553" s="26">
        <f>(data[[#This Row],[LoadedMiles]]/data[[#This Row],[TotalMiles]])*100</f>
        <v>99.691358024691354</v>
      </c>
      <c r="Q1553" s="25">
        <f>data[[#This Row],[ShippingCost]]/data[[#This Row],[TotalMiles]]</f>
        <v>1.9228395061728396</v>
      </c>
      <c r="R1553" s="17">
        <v>623</v>
      </c>
      <c r="S1553" s="25">
        <f>data[[#This Row],[Revenue]]/data[[#This Row],[TotalMiles]]</f>
        <v>3.4197530864197532</v>
      </c>
      <c r="T1553" s="26">
        <f>data[[#This Row],[Revenue]]-data[[#This Row],[ShippingCost]]</f>
        <v>485</v>
      </c>
      <c r="U1553" s="17">
        <v>1108</v>
      </c>
      <c r="V1553" s="17">
        <v>84</v>
      </c>
      <c r="W1553" s="17" t="s">
        <v>25</v>
      </c>
      <c r="X1553" s="17">
        <v>3</v>
      </c>
      <c r="Y1553" s="17">
        <f>data[[#This Row],[DeliveryDate]]-data[[#This Row],[ShipDate]]</f>
        <v>1</v>
      </c>
      <c r="Z1553" s="17" t="str">
        <f>IF(data[[#This Row],[Actual Delivery Days]]&gt;AD1554,"Yes","No")</f>
        <v>Yes</v>
      </c>
    </row>
    <row r="1554" spans="1:26">
      <c r="A1554" s="17">
        <v>10187</v>
      </c>
      <c r="B1554" s="17">
        <v>1</v>
      </c>
      <c r="C1554" s="17">
        <v>8</v>
      </c>
      <c r="D1554" s="17" t="s">
        <v>475</v>
      </c>
      <c r="E1554" s="17" t="s">
        <v>222</v>
      </c>
      <c r="F1554" s="17" t="str">
        <f>TEXT(data[[#This Row],[ShipDate]],"yyyy - mmmm")</f>
        <v>2016 - April</v>
      </c>
      <c r="G1554" s="17" t="str">
        <f>data[[#This Row],[OriginCity]] &amp; " - "  &amp; data[[#This Row],[DestinationCity]]</f>
        <v>Milwaukee - Springfield</v>
      </c>
      <c r="H1554" s="17" t="s">
        <v>28</v>
      </c>
      <c r="I1554" s="17" t="s">
        <v>29</v>
      </c>
      <c r="J1554" s="17">
        <v>1</v>
      </c>
      <c r="K1554" s="17" t="s">
        <v>30</v>
      </c>
      <c r="L1554" s="17" t="s">
        <v>31</v>
      </c>
      <c r="M1554" s="17" t="s">
        <v>418</v>
      </c>
      <c r="N1554" s="17">
        <v>347</v>
      </c>
      <c r="O1554" s="17">
        <v>347</v>
      </c>
      <c r="P1554" s="26">
        <f>(data[[#This Row],[LoadedMiles]]/data[[#This Row],[TotalMiles]])*100</f>
        <v>100</v>
      </c>
      <c r="Q1554" s="25">
        <f>data[[#This Row],[ShippingCost]]/data[[#This Row],[TotalMiles]]</f>
        <v>0.26224783861671469</v>
      </c>
      <c r="R1554" s="17">
        <v>91</v>
      </c>
      <c r="S1554" s="25">
        <f>data[[#This Row],[Revenue]]/data[[#This Row],[TotalMiles]]</f>
        <v>2.7146974063400577</v>
      </c>
      <c r="T1554" s="26">
        <f>data[[#This Row],[Revenue]]-data[[#This Row],[ShippingCost]]</f>
        <v>851</v>
      </c>
      <c r="U1554" s="17">
        <v>942</v>
      </c>
      <c r="V1554" s="17">
        <v>64</v>
      </c>
      <c r="W1554" s="17" t="s">
        <v>25</v>
      </c>
      <c r="X1554" s="17">
        <v>7</v>
      </c>
      <c r="Y1554" s="17">
        <f>data[[#This Row],[DeliveryDate]]-data[[#This Row],[ShipDate]]</f>
        <v>1</v>
      </c>
      <c r="Z1554" s="17" t="str">
        <f>IF(data[[#This Row],[Actual Delivery Days]]&gt;AD1555,"Yes","No")</f>
        <v>Yes</v>
      </c>
    </row>
    <row r="1555" spans="1:26">
      <c r="A1555" s="17">
        <v>10190</v>
      </c>
      <c r="B1555" s="17">
        <v>2</v>
      </c>
      <c r="C1555" s="17">
        <v>4</v>
      </c>
      <c r="D1555" s="17" t="s">
        <v>478</v>
      </c>
      <c r="E1555" s="17" t="s">
        <v>467</v>
      </c>
      <c r="F1555" s="17" t="str">
        <f>TEXT(data[[#This Row],[ShipDate]],"yyyy - mmmm")</f>
        <v>2016 - July</v>
      </c>
      <c r="G1555" s="17" t="str">
        <f>data[[#This Row],[OriginCity]] &amp; " - "  &amp; data[[#This Row],[DestinationCity]]</f>
        <v>Indianapolis - Northbrook</v>
      </c>
      <c r="H1555" s="17" t="s">
        <v>43</v>
      </c>
      <c r="I1555" s="17" t="s">
        <v>44</v>
      </c>
      <c r="J1555" s="17">
        <v>1</v>
      </c>
      <c r="K1555" s="17" t="s">
        <v>45</v>
      </c>
      <c r="L1555" s="17" t="s">
        <v>31</v>
      </c>
      <c r="M1555" s="17" t="s">
        <v>467</v>
      </c>
      <c r="N1555" s="17">
        <v>797</v>
      </c>
      <c r="O1555" s="17">
        <v>400</v>
      </c>
      <c r="P1555" s="26">
        <f>(data[[#This Row],[LoadedMiles]]/data[[#This Row],[TotalMiles]])*100</f>
        <v>50.188205771643666</v>
      </c>
      <c r="Q1555" s="25">
        <f>data[[#This Row],[ShippingCost]]/data[[#This Row],[TotalMiles]]</f>
        <v>10.967377666248431</v>
      </c>
      <c r="R1555" s="17">
        <v>8741</v>
      </c>
      <c r="S1555" s="25">
        <f>data[[#This Row],[Revenue]]/data[[#This Row],[TotalMiles]]</f>
        <v>8.4504391468005018</v>
      </c>
      <c r="T1555" s="26">
        <f>data[[#This Row],[Revenue]]-data[[#This Row],[ShippingCost]]</f>
        <v>-2006</v>
      </c>
      <c r="U1555" s="17">
        <v>6735</v>
      </c>
      <c r="V1555" s="17">
        <v>88</v>
      </c>
      <c r="W1555" s="17" t="s">
        <v>25</v>
      </c>
      <c r="X1555" s="17">
        <v>8</v>
      </c>
      <c r="Y1555" s="17">
        <f>data[[#This Row],[DeliveryDate]]-data[[#This Row],[ShipDate]]</f>
        <v>0</v>
      </c>
      <c r="Z1555" s="17" t="str">
        <f>IF(data[[#This Row],[Actual Delivery Days]]&gt;AD1556,"Yes","No")</f>
        <v>No</v>
      </c>
    </row>
    <row r="1556" spans="1:26">
      <c r="A1556" s="17">
        <v>10193</v>
      </c>
      <c r="B1556" s="17">
        <v>2</v>
      </c>
      <c r="C1556" s="17">
        <v>8</v>
      </c>
      <c r="D1556" s="17" t="s">
        <v>484</v>
      </c>
      <c r="E1556" s="17" t="s">
        <v>444</v>
      </c>
      <c r="F1556" s="17" t="str">
        <f>TEXT(data[[#This Row],[ShipDate]],"yyyy - mmmm")</f>
        <v>2016 - June</v>
      </c>
      <c r="G1556" s="17" t="str">
        <f>data[[#This Row],[OriginCity]] &amp; " - "  &amp; data[[#This Row],[DestinationCity]]</f>
        <v>Monon - Lansing</v>
      </c>
      <c r="H1556" s="17" t="s">
        <v>53</v>
      </c>
      <c r="I1556" s="17" t="s">
        <v>44</v>
      </c>
      <c r="J1556" s="17">
        <v>1</v>
      </c>
      <c r="K1556" s="17" t="s">
        <v>66</v>
      </c>
      <c r="L1556" s="17" t="s">
        <v>21</v>
      </c>
      <c r="M1556" s="17" t="s">
        <v>410</v>
      </c>
      <c r="N1556" s="17">
        <v>1196</v>
      </c>
      <c r="O1556" s="17">
        <v>477</v>
      </c>
      <c r="P1556" s="26">
        <f>(data[[#This Row],[LoadedMiles]]/data[[#This Row],[TotalMiles]])*100</f>
        <v>39.88294314381271</v>
      </c>
      <c r="Q1556" s="25">
        <f>data[[#This Row],[ShippingCost]]/data[[#This Row],[TotalMiles]]</f>
        <v>2.2792642140468229</v>
      </c>
      <c r="R1556" s="17">
        <v>2726</v>
      </c>
      <c r="S1556" s="25">
        <f>data[[#This Row],[Revenue]]/data[[#This Row],[TotalMiles]]</f>
        <v>2.8352842809364547</v>
      </c>
      <c r="T1556" s="26">
        <f>data[[#This Row],[Revenue]]-data[[#This Row],[ShippingCost]]</f>
        <v>665</v>
      </c>
      <c r="U1556" s="17">
        <v>3391</v>
      </c>
      <c r="V1556" s="17">
        <v>73</v>
      </c>
      <c r="W1556" s="17" t="s">
        <v>25</v>
      </c>
      <c r="X1556" s="17">
        <v>9</v>
      </c>
      <c r="Y1556" s="17">
        <f>data[[#This Row],[DeliveryDate]]-data[[#This Row],[ShipDate]]</f>
        <v>1</v>
      </c>
      <c r="Z1556" s="17" t="str">
        <f>IF(data[[#This Row],[Actual Delivery Days]]&gt;AD1557,"Yes","No")</f>
        <v>Yes</v>
      </c>
    </row>
    <row r="1557" spans="1:26">
      <c r="A1557" s="17">
        <v>10209</v>
      </c>
      <c r="B1557" s="17">
        <v>1</v>
      </c>
      <c r="C1557" s="17">
        <v>8</v>
      </c>
      <c r="D1557" s="17" t="s">
        <v>505</v>
      </c>
      <c r="E1557" s="17" t="s">
        <v>449</v>
      </c>
      <c r="F1557" s="17" t="str">
        <f>TEXT(data[[#This Row],[ShipDate]],"yyyy - mmmm")</f>
        <v>2016 - March</v>
      </c>
      <c r="G1557" s="17" t="str">
        <f>data[[#This Row],[OriginCity]] &amp; " - "  &amp; data[[#This Row],[DestinationCity]]</f>
        <v>Chicago - Rockford</v>
      </c>
      <c r="H1557" s="17" t="s">
        <v>39</v>
      </c>
      <c r="I1557" s="17" t="s">
        <v>31</v>
      </c>
      <c r="J1557" s="17">
        <v>1</v>
      </c>
      <c r="K1557" s="17" t="s">
        <v>40</v>
      </c>
      <c r="L1557" s="17" t="s">
        <v>31</v>
      </c>
      <c r="M1557" s="17" t="s">
        <v>274</v>
      </c>
      <c r="N1557" s="17">
        <v>843</v>
      </c>
      <c r="O1557" s="17">
        <v>275</v>
      </c>
      <c r="P1557" s="26">
        <f>(data[[#This Row],[LoadedMiles]]/data[[#This Row],[TotalMiles]])*100</f>
        <v>32.621589561091341</v>
      </c>
      <c r="Q1557" s="25">
        <f>data[[#This Row],[ShippingCost]]/data[[#This Row],[TotalMiles]]</f>
        <v>0.71767497034400951</v>
      </c>
      <c r="R1557" s="17">
        <v>605</v>
      </c>
      <c r="S1557" s="25">
        <f>data[[#This Row],[Revenue]]/data[[#This Row],[TotalMiles]]</f>
        <v>1.3440094899169632</v>
      </c>
      <c r="T1557" s="26">
        <f>data[[#This Row],[Revenue]]-data[[#This Row],[ShippingCost]]</f>
        <v>528</v>
      </c>
      <c r="U1557" s="17">
        <v>1133</v>
      </c>
      <c r="V1557" s="17">
        <v>78</v>
      </c>
      <c r="W1557" s="17" t="s">
        <v>25</v>
      </c>
      <c r="X1557" s="17">
        <v>1</v>
      </c>
      <c r="Y1557" s="17">
        <f>data[[#This Row],[DeliveryDate]]-data[[#This Row],[ShipDate]]</f>
        <v>1</v>
      </c>
      <c r="Z1557" s="17" t="str">
        <f>IF(data[[#This Row],[Actual Delivery Days]]&gt;AD1558,"Yes","No")</f>
        <v>Yes</v>
      </c>
    </row>
    <row r="1558" spans="1:26">
      <c r="A1558" s="17">
        <v>10211</v>
      </c>
      <c r="B1558" s="17">
        <v>1</v>
      </c>
      <c r="C1558" s="17">
        <v>5</v>
      </c>
      <c r="D1558" s="17" t="s">
        <v>507</v>
      </c>
      <c r="E1558" s="17" t="s">
        <v>222</v>
      </c>
      <c r="F1558" s="17" t="str">
        <f>TEXT(data[[#This Row],[ShipDate]],"yyyy - mmmm")</f>
        <v>2016 - April</v>
      </c>
      <c r="G1558" s="17" t="str">
        <f>data[[#This Row],[OriginCity]] &amp; " - "  &amp; data[[#This Row],[DestinationCity]]</f>
        <v>Northbrook - Naperville</v>
      </c>
      <c r="H1558" s="17" t="s">
        <v>45</v>
      </c>
      <c r="I1558" s="17" t="s">
        <v>31</v>
      </c>
      <c r="J1558" s="17">
        <v>1</v>
      </c>
      <c r="K1558" s="17" t="s">
        <v>48</v>
      </c>
      <c r="L1558" s="17" t="s">
        <v>31</v>
      </c>
      <c r="M1558" s="17" t="s">
        <v>418</v>
      </c>
      <c r="N1558" s="17">
        <v>599</v>
      </c>
      <c r="O1558" s="17">
        <v>485</v>
      </c>
      <c r="P1558" s="26">
        <f>(data[[#This Row],[LoadedMiles]]/data[[#This Row],[TotalMiles]])*100</f>
        <v>80.968280467445737</v>
      </c>
      <c r="Q1558" s="25">
        <f>data[[#This Row],[ShippingCost]]/data[[#This Row],[TotalMiles]]</f>
        <v>1.2287145242070117</v>
      </c>
      <c r="R1558" s="17">
        <v>736</v>
      </c>
      <c r="S1558" s="25">
        <f>data[[#This Row],[Revenue]]/data[[#This Row],[TotalMiles]]</f>
        <v>2.377295492487479</v>
      </c>
      <c r="T1558" s="26">
        <f>data[[#This Row],[Revenue]]-data[[#This Row],[ShippingCost]]</f>
        <v>688</v>
      </c>
      <c r="U1558" s="17">
        <v>1424</v>
      </c>
      <c r="V1558" s="17">
        <v>98</v>
      </c>
      <c r="W1558" s="17" t="s">
        <v>25</v>
      </c>
      <c r="X1558" s="17">
        <v>10</v>
      </c>
      <c r="Y1558" s="17">
        <f>data[[#This Row],[DeliveryDate]]-data[[#This Row],[ShipDate]]</f>
        <v>1</v>
      </c>
      <c r="Z1558" s="17" t="str">
        <f>IF(data[[#This Row],[Actual Delivery Days]]&gt;AD1559,"Yes","No")</f>
        <v>Yes</v>
      </c>
    </row>
    <row r="1559" spans="1:26">
      <c r="A1559" s="17">
        <v>10213</v>
      </c>
      <c r="B1559" s="17">
        <v>2</v>
      </c>
      <c r="C1559" s="17">
        <v>8</v>
      </c>
      <c r="D1559" s="17" t="s">
        <v>510</v>
      </c>
      <c r="E1559" s="17" t="s">
        <v>130</v>
      </c>
      <c r="F1559" s="17" t="str">
        <f>TEXT(data[[#This Row],[ShipDate]],"yyyy - mmmm")</f>
        <v>2016 - March</v>
      </c>
      <c r="G1559" s="17" t="str">
        <f>data[[#This Row],[OriginCity]] &amp; " - "  &amp; data[[#This Row],[DestinationCity]]</f>
        <v>Gary - Milwaukee</v>
      </c>
      <c r="H1559" s="17" t="s">
        <v>57</v>
      </c>
      <c r="I1559" s="17" t="s">
        <v>44</v>
      </c>
      <c r="J1559" s="17">
        <v>1</v>
      </c>
      <c r="K1559" s="17" t="s">
        <v>28</v>
      </c>
      <c r="L1559" s="17" t="s">
        <v>29</v>
      </c>
      <c r="M1559" s="17" t="s">
        <v>453</v>
      </c>
      <c r="N1559" s="17">
        <v>614</v>
      </c>
      <c r="O1559" s="17">
        <v>430</v>
      </c>
      <c r="P1559" s="26">
        <f>(data[[#This Row],[LoadedMiles]]/data[[#This Row],[TotalMiles]])*100</f>
        <v>70.032573289902274</v>
      </c>
      <c r="Q1559" s="25">
        <f>data[[#This Row],[ShippingCost]]/data[[#This Row],[TotalMiles]]</f>
        <v>0.10097719869706841</v>
      </c>
      <c r="R1559" s="17">
        <v>62</v>
      </c>
      <c r="S1559" s="25">
        <f>data[[#This Row],[Revenue]]/data[[#This Row],[TotalMiles]]</f>
        <v>1.0390879478827362</v>
      </c>
      <c r="T1559" s="26">
        <f>data[[#This Row],[Revenue]]-data[[#This Row],[ShippingCost]]</f>
        <v>576</v>
      </c>
      <c r="U1559" s="17">
        <v>638</v>
      </c>
      <c r="V1559" s="17">
        <v>76</v>
      </c>
      <c r="W1559" s="17" t="s">
        <v>25</v>
      </c>
      <c r="X1559" s="17">
        <v>3</v>
      </c>
      <c r="Y1559" s="17">
        <f>data[[#This Row],[DeliveryDate]]-data[[#This Row],[ShipDate]]</f>
        <v>1</v>
      </c>
      <c r="Z1559" s="17" t="str">
        <f>IF(data[[#This Row],[Actual Delivery Days]]&gt;AD1560,"Yes","No")</f>
        <v>Yes</v>
      </c>
    </row>
    <row r="1560" spans="1:26">
      <c r="A1560" s="17">
        <v>10244</v>
      </c>
      <c r="B1560" s="17">
        <v>1</v>
      </c>
      <c r="C1560" s="17">
        <v>7</v>
      </c>
      <c r="D1560" s="17" t="s">
        <v>555</v>
      </c>
      <c r="E1560" s="17" t="s">
        <v>344</v>
      </c>
      <c r="F1560" s="17" t="str">
        <f>TEXT(data[[#This Row],[ShipDate]],"yyyy - mmmm")</f>
        <v>2016 - May</v>
      </c>
      <c r="G1560" s="17" t="str">
        <f>data[[#This Row],[OriginCity]] &amp; " - "  &amp; data[[#This Row],[DestinationCity]]</f>
        <v>Lansing - Dayton</v>
      </c>
      <c r="H1560" s="17" t="s">
        <v>66</v>
      </c>
      <c r="I1560" s="17" t="s">
        <v>21</v>
      </c>
      <c r="J1560" s="17">
        <v>1</v>
      </c>
      <c r="K1560" s="17" t="s">
        <v>93</v>
      </c>
      <c r="L1560" s="17" t="s">
        <v>23</v>
      </c>
      <c r="M1560" s="17" t="s">
        <v>282</v>
      </c>
      <c r="N1560" s="17">
        <v>269</v>
      </c>
      <c r="O1560" s="17">
        <v>269</v>
      </c>
      <c r="P1560" s="26">
        <f>(data[[#This Row],[LoadedMiles]]/data[[#This Row],[TotalMiles]])*100</f>
        <v>100</v>
      </c>
      <c r="Q1560" s="25">
        <f>data[[#This Row],[ShippingCost]]/data[[#This Row],[TotalMiles]]</f>
        <v>22.531598513011151</v>
      </c>
      <c r="R1560" s="17">
        <v>6061</v>
      </c>
      <c r="S1560" s="25">
        <f>data[[#This Row],[Revenue]]/data[[#This Row],[TotalMiles]]</f>
        <v>24.386617100371748</v>
      </c>
      <c r="T1560" s="26">
        <f>data[[#This Row],[Revenue]]-data[[#This Row],[ShippingCost]]</f>
        <v>499</v>
      </c>
      <c r="U1560" s="17">
        <v>6560</v>
      </c>
      <c r="V1560" s="17">
        <v>54</v>
      </c>
      <c r="W1560" s="17" t="s">
        <v>25</v>
      </c>
      <c r="X1560" s="17">
        <v>6</v>
      </c>
      <c r="Y1560" s="17">
        <f>data[[#This Row],[DeliveryDate]]-data[[#This Row],[ShipDate]]</f>
        <v>1</v>
      </c>
      <c r="Z1560" s="17" t="str">
        <f>IF(data[[#This Row],[Actual Delivery Days]]&gt;AD1561,"Yes","No")</f>
        <v>Yes</v>
      </c>
    </row>
    <row r="1561" spans="1:26">
      <c r="A1561" s="17">
        <v>10266</v>
      </c>
      <c r="B1561" s="17">
        <v>1</v>
      </c>
      <c r="C1561" s="17">
        <v>7</v>
      </c>
      <c r="D1561" s="17" t="s">
        <v>582</v>
      </c>
      <c r="E1561" s="17" t="s">
        <v>583</v>
      </c>
      <c r="F1561" s="17" t="str">
        <f>TEXT(data[[#This Row],[ShipDate]],"yyyy - mmmm")</f>
        <v>2016 - January</v>
      </c>
      <c r="G1561" s="17" t="str">
        <f>data[[#This Row],[OriginCity]] &amp; " - "  &amp; data[[#This Row],[DestinationCity]]</f>
        <v>Bangor - Davenport</v>
      </c>
      <c r="H1561" s="17" t="s">
        <v>104</v>
      </c>
      <c r="I1561" s="17" t="s">
        <v>21</v>
      </c>
      <c r="J1561" s="17">
        <v>1</v>
      </c>
      <c r="K1561" s="17" t="s">
        <v>105</v>
      </c>
      <c r="L1561" s="17" t="s">
        <v>106</v>
      </c>
      <c r="M1561" s="17" t="s">
        <v>193</v>
      </c>
      <c r="N1561" s="17">
        <v>585</v>
      </c>
      <c r="O1561" s="17">
        <v>251</v>
      </c>
      <c r="P1561" s="26">
        <f>(data[[#This Row],[LoadedMiles]]/data[[#This Row],[TotalMiles]])*100</f>
        <v>42.905982905982903</v>
      </c>
      <c r="Q1561" s="25">
        <f>data[[#This Row],[ShippingCost]]/data[[#This Row],[TotalMiles]]</f>
        <v>9.552136752136752</v>
      </c>
      <c r="R1561" s="17">
        <v>5588</v>
      </c>
      <c r="S1561" s="25">
        <f>data[[#This Row],[Revenue]]/data[[#This Row],[TotalMiles]]</f>
        <v>10.733333333333333</v>
      </c>
      <c r="T1561" s="26">
        <f>data[[#This Row],[Revenue]]-data[[#This Row],[ShippingCost]]</f>
        <v>691</v>
      </c>
      <c r="U1561" s="17">
        <v>6279</v>
      </c>
      <c r="V1561" s="17">
        <v>56</v>
      </c>
      <c r="W1561" s="17" t="s">
        <v>25</v>
      </c>
      <c r="X1561" s="17">
        <v>1</v>
      </c>
      <c r="Y1561" s="17">
        <f>data[[#This Row],[DeliveryDate]]-data[[#This Row],[ShipDate]]</f>
        <v>1</v>
      </c>
      <c r="Z1561" s="17" t="str">
        <f>IF(data[[#This Row],[Actual Delivery Days]]&gt;AD1562,"Yes","No")</f>
        <v>Yes</v>
      </c>
    </row>
    <row r="1562" spans="1:26">
      <c r="A1562" s="17">
        <v>10280</v>
      </c>
      <c r="B1562" s="17">
        <v>2</v>
      </c>
      <c r="C1562" s="17">
        <v>7</v>
      </c>
      <c r="D1562" s="17" t="s">
        <v>600</v>
      </c>
      <c r="E1562" s="17" t="s">
        <v>293</v>
      </c>
      <c r="F1562" s="17" t="str">
        <f>TEXT(data[[#This Row],[ShipDate]],"yyyy - mmmm")</f>
        <v>2016 - June</v>
      </c>
      <c r="G1562" s="17" t="str">
        <f>data[[#This Row],[OriginCity]] &amp; " - "  &amp; data[[#This Row],[DestinationCity]]</f>
        <v>Madison - Kalamazoo</v>
      </c>
      <c r="H1562" s="17" t="s">
        <v>62</v>
      </c>
      <c r="I1562" s="17" t="s">
        <v>29</v>
      </c>
      <c r="J1562" s="17">
        <v>1</v>
      </c>
      <c r="K1562" s="17" t="s">
        <v>71</v>
      </c>
      <c r="L1562" s="17" t="s">
        <v>21</v>
      </c>
      <c r="M1562" s="17" t="s">
        <v>176</v>
      </c>
      <c r="N1562" s="17">
        <v>925</v>
      </c>
      <c r="O1562" s="17">
        <v>293</v>
      </c>
      <c r="P1562" s="26">
        <f>(data[[#This Row],[LoadedMiles]]/data[[#This Row],[TotalMiles]])*100</f>
        <v>31.675675675675674</v>
      </c>
      <c r="Q1562" s="25">
        <f>data[[#This Row],[ShippingCost]]/data[[#This Row],[TotalMiles]]</f>
        <v>5.6929729729729726</v>
      </c>
      <c r="R1562" s="17">
        <v>5266</v>
      </c>
      <c r="S1562" s="25">
        <f>data[[#This Row],[Revenue]]/data[[#This Row],[TotalMiles]]</f>
        <v>6.5394594594594597</v>
      </c>
      <c r="T1562" s="26">
        <f>data[[#This Row],[Revenue]]-data[[#This Row],[ShippingCost]]</f>
        <v>783</v>
      </c>
      <c r="U1562" s="17">
        <v>6049</v>
      </c>
      <c r="V1562" s="17">
        <v>78</v>
      </c>
      <c r="W1562" s="17" t="s">
        <v>25</v>
      </c>
      <c r="X1562" s="17">
        <v>6</v>
      </c>
      <c r="Y1562" s="17">
        <f>data[[#This Row],[DeliveryDate]]-data[[#This Row],[ShipDate]]</f>
        <v>1</v>
      </c>
      <c r="Z1562" s="17" t="str">
        <f>IF(data[[#This Row],[Actual Delivery Days]]&gt;AD1563,"Yes","No")</f>
        <v>Yes</v>
      </c>
    </row>
    <row r="1563" spans="1:26">
      <c r="A1563" s="17">
        <v>10282</v>
      </c>
      <c r="B1563" s="17">
        <v>2</v>
      </c>
      <c r="C1563" s="17">
        <v>8</v>
      </c>
      <c r="D1563" s="17" t="s">
        <v>604</v>
      </c>
      <c r="E1563" s="17" t="s">
        <v>355</v>
      </c>
      <c r="F1563" s="17" t="str">
        <f>TEXT(data[[#This Row],[ShipDate]],"yyyy - mmmm")</f>
        <v>2016 - March</v>
      </c>
      <c r="G1563" s="17" t="str">
        <f>data[[#This Row],[OriginCity]] &amp; " - "  &amp; data[[#This Row],[DestinationCity]]</f>
        <v>Appleton - Grand Rapids</v>
      </c>
      <c r="H1563" s="17" t="s">
        <v>85</v>
      </c>
      <c r="I1563" s="17" t="s">
        <v>29</v>
      </c>
      <c r="J1563" s="17">
        <v>1</v>
      </c>
      <c r="K1563" s="17" t="s">
        <v>20</v>
      </c>
      <c r="L1563" s="17" t="s">
        <v>21</v>
      </c>
      <c r="M1563" s="17" t="s">
        <v>199</v>
      </c>
      <c r="N1563" s="17">
        <v>747</v>
      </c>
      <c r="O1563" s="17">
        <v>664</v>
      </c>
      <c r="P1563" s="26">
        <f>(data[[#This Row],[LoadedMiles]]/data[[#This Row],[TotalMiles]])*100</f>
        <v>88.888888888888886</v>
      </c>
      <c r="Q1563" s="25">
        <f>data[[#This Row],[ShippingCost]]/data[[#This Row],[TotalMiles]]</f>
        <v>3.7764390896921016</v>
      </c>
      <c r="R1563" s="17">
        <v>2821</v>
      </c>
      <c r="S1563" s="25">
        <f>data[[#This Row],[Revenue]]/data[[#This Row],[TotalMiles]]</f>
        <v>5.0682730923694779</v>
      </c>
      <c r="T1563" s="26">
        <f>data[[#This Row],[Revenue]]-data[[#This Row],[ShippingCost]]</f>
        <v>965</v>
      </c>
      <c r="U1563" s="17">
        <v>3786</v>
      </c>
      <c r="V1563" s="17">
        <v>59</v>
      </c>
      <c r="W1563" s="17" t="s">
        <v>25</v>
      </c>
      <c r="X1563" s="17">
        <v>4</v>
      </c>
      <c r="Y1563" s="17">
        <f>data[[#This Row],[DeliveryDate]]-data[[#This Row],[ShipDate]]</f>
        <v>1</v>
      </c>
      <c r="Z1563" s="17" t="str">
        <f>IF(data[[#This Row],[Actual Delivery Days]]&gt;AD1564,"Yes","No")</f>
        <v>Yes</v>
      </c>
    </row>
    <row r="1564" spans="1:26">
      <c r="A1564" s="17">
        <v>10290</v>
      </c>
      <c r="B1564" s="17">
        <v>1</v>
      </c>
      <c r="C1564" s="17">
        <v>6</v>
      </c>
      <c r="D1564" s="17" t="s">
        <v>50</v>
      </c>
      <c r="E1564" s="17" t="s">
        <v>278</v>
      </c>
      <c r="F1564" s="17" t="str">
        <f>TEXT(data[[#This Row],[ShipDate]],"yyyy - mmmm")</f>
        <v>2016 - June</v>
      </c>
      <c r="G1564" s="17" t="str">
        <f>data[[#This Row],[OriginCity]] &amp; " - "  &amp; data[[#This Row],[DestinationCity]]</f>
        <v>Kalamazoo - Bangor</v>
      </c>
      <c r="H1564" s="17" t="s">
        <v>71</v>
      </c>
      <c r="I1564" s="17" t="s">
        <v>21</v>
      </c>
      <c r="J1564" s="17">
        <v>1</v>
      </c>
      <c r="K1564" s="17" t="s">
        <v>104</v>
      </c>
      <c r="L1564" s="17" t="s">
        <v>21</v>
      </c>
      <c r="M1564" s="17" t="s">
        <v>607</v>
      </c>
      <c r="N1564" s="17">
        <v>293</v>
      </c>
      <c r="O1564" s="17">
        <v>293</v>
      </c>
      <c r="P1564" s="26">
        <f>(data[[#This Row],[LoadedMiles]]/data[[#This Row],[TotalMiles]])*100</f>
        <v>100</v>
      </c>
      <c r="Q1564" s="25">
        <f>data[[#This Row],[ShippingCost]]/data[[#This Row],[TotalMiles]]</f>
        <v>19.139931740614333</v>
      </c>
      <c r="R1564" s="17">
        <v>5608</v>
      </c>
      <c r="S1564" s="25">
        <f>data[[#This Row],[Revenue]]/data[[#This Row],[TotalMiles]]</f>
        <v>20.477815699658702</v>
      </c>
      <c r="T1564" s="26">
        <f>data[[#This Row],[Revenue]]-data[[#This Row],[ShippingCost]]</f>
        <v>392</v>
      </c>
      <c r="U1564" s="17">
        <v>6000</v>
      </c>
      <c r="V1564" s="17">
        <v>83</v>
      </c>
      <c r="W1564" s="17" t="s">
        <v>86</v>
      </c>
      <c r="X1564" s="17">
        <v>8</v>
      </c>
      <c r="Y1564" s="17">
        <f>data[[#This Row],[DeliveryDate]]-data[[#This Row],[ShipDate]]</f>
        <v>1</v>
      </c>
      <c r="Z1564" s="17" t="str">
        <f>IF(data[[#This Row],[Actual Delivery Days]]&gt;AD1565,"Yes","No")</f>
        <v>Yes</v>
      </c>
    </row>
    <row r="1565" spans="1:26">
      <c r="A1565" s="17">
        <v>10302</v>
      </c>
      <c r="B1565" s="17">
        <v>1</v>
      </c>
      <c r="C1565" s="17">
        <v>5</v>
      </c>
      <c r="D1565" s="17" t="s">
        <v>102</v>
      </c>
      <c r="E1565" s="17" t="s">
        <v>238</v>
      </c>
      <c r="F1565" s="17" t="str">
        <f>TEXT(data[[#This Row],[ShipDate]],"yyyy - mmmm")</f>
        <v>2016 - March</v>
      </c>
      <c r="G1565" s="17" t="str">
        <f>data[[#This Row],[OriginCity]] &amp; " - "  &amp; data[[#This Row],[DestinationCity]]</f>
        <v>Green Bay - Joliet</v>
      </c>
      <c r="H1565" s="17" t="s">
        <v>75</v>
      </c>
      <c r="I1565" s="17" t="s">
        <v>29</v>
      </c>
      <c r="J1565" s="17">
        <v>1</v>
      </c>
      <c r="K1565" s="17" t="s">
        <v>61</v>
      </c>
      <c r="L1565" s="17" t="s">
        <v>31</v>
      </c>
      <c r="M1565" s="17" t="s">
        <v>124</v>
      </c>
      <c r="N1565" s="17">
        <v>614</v>
      </c>
      <c r="O1565" s="17">
        <v>204</v>
      </c>
      <c r="P1565" s="26">
        <f>(data[[#This Row],[LoadedMiles]]/data[[#This Row],[TotalMiles]])*100</f>
        <v>33.22475570032573</v>
      </c>
      <c r="Q1565" s="25">
        <f>data[[#This Row],[ShippingCost]]/data[[#This Row],[TotalMiles]]</f>
        <v>7.8013029315960916</v>
      </c>
      <c r="R1565" s="17">
        <v>4790</v>
      </c>
      <c r="S1565" s="25">
        <f>data[[#This Row],[Revenue]]/data[[#This Row],[TotalMiles]]</f>
        <v>9.1368078175895757</v>
      </c>
      <c r="T1565" s="26">
        <f>data[[#This Row],[Revenue]]-data[[#This Row],[ShippingCost]]</f>
        <v>820</v>
      </c>
      <c r="U1565" s="17">
        <v>5610</v>
      </c>
      <c r="V1565" s="17">
        <v>89</v>
      </c>
      <c r="W1565" s="17" t="s">
        <v>25</v>
      </c>
      <c r="X1565" s="17">
        <v>10</v>
      </c>
      <c r="Y1565" s="17">
        <f>data[[#This Row],[DeliveryDate]]-data[[#This Row],[ShipDate]]</f>
        <v>1</v>
      </c>
      <c r="Z1565" s="17" t="str">
        <f>IF(data[[#This Row],[Actual Delivery Days]]&gt;AD1566,"Yes","No")</f>
        <v>Yes</v>
      </c>
    </row>
    <row r="1566" spans="1:26">
      <c r="A1566" s="17">
        <v>10310</v>
      </c>
      <c r="B1566" s="17">
        <v>2</v>
      </c>
      <c r="C1566" s="17">
        <v>5</v>
      </c>
      <c r="D1566" s="17" t="s">
        <v>128</v>
      </c>
      <c r="E1566" s="17" t="s">
        <v>404</v>
      </c>
      <c r="F1566" s="17" t="str">
        <f>TEXT(data[[#This Row],[ShipDate]],"yyyy - mmmm")</f>
        <v>2016 - July</v>
      </c>
      <c r="G1566" s="17" t="str">
        <f>data[[#This Row],[OriginCity]] &amp; " - "  &amp; data[[#This Row],[DestinationCity]]</f>
        <v>Elgin - Cincinnati</v>
      </c>
      <c r="H1566" s="17" t="s">
        <v>94</v>
      </c>
      <c r="I1566" s="17" t="s">
        <v>31</v>
      </c>
      <c r="J1566" s="17">
        <v>1</v>
      </c>
      <c r="K1566" s="17" t="s">
        <v>89</v>
      </c>
      <c r="L1566" s="17" t="s">
        <v>23</v>
      </c>
      <c r="M1566" s="17" t="s">
        <v>63</v>
      </c>
      <c r="N1566" s="17">
        <v>630</v>
      </c>
      <c r="O1566" s="17">
        <v>266</v>
      </c>
      <c r="P1566" s="26">
        <f>(data[[#This Row],[LoadedMiles]]/data[[#This Row],[TotalMiles]])*100</f>
        <v>42.222222222222221</v>
      </c>
      <c r="Q1566" s="25">
        <f>data[[#This Row],[ShippingCost]]/data[[#This Row],[TotalMiles]]</f>
        <v>1.5555555555555556</v>
      </c>
      <c r="R1566" s="17">
        <v>980</v>
      </c>
      <c r="S1566" s="25">
        <f>data[[#This Row],[Revenue]]/data[[#This Row],[TotalMiles]]</f>
        <v>2.2269841269841271</v>
      </c>
      <c r="T1566" s="26">
        <f>data[[#This Row],[Revenue]]-data[[#This Row],[ShippingCost]]</f>
        <v>423</v>
      </c>
      <c r="U1566" s="17">
        <v>1403</v>
      </c>
      <c r="V1566" s="17">
        <v>57</v>
      </c>
      <c r="W1566" s="17" t="s">
        <v>25</v>
      </c>
      <c r="X1566" s="17">
        <v>10</v>
      </c>
      <c r="Y1566" s="17">
        <f>data[[#This Row],[DeliveryDate]]-data[[#This Row],[ShipDate]]</f>
        <v>1</v>
      </c>
      <c r="Z1566" s="17" t="str">
        <f>IF(data[[#This Row],[Actual Delivery Days]]&gt;AD1567,"Yes","No")</f>
        <v>Yes</v>
      </c>
    </row>
    <row r="1567" spans="1:26">
      <c r="A1567" s="17">
        <v>10315</v>
      </c>
      <c r="B1567" s="17">
        <v>2</v>
      </c>
      <c r="C1567" s="17">
        <v>8</v>
      </c>
      <c r="D1567" s="17" t="s">
        <v>143</v>
      </c>
      <c r="E1567" s="17" t="s">
        <v>161</v>
      </c>
      <c r="F1567" s="17" t="str">
        <f>TEXT(data[[#This Row],[ShipDate]],"yyyy - mmmm")</f>
        <v>2016 - April</v>
      </c>
      <c r="G1567" s="17" t="str">
        <f>data[[#This Row],[OriginCity]] &amp; " - "  &amp; data[[#This Row],[DestinationCity]]</f>
        <v>Milwaukee - Springfield</v>
      </c>
      <c r="H1567" s="17" t="s">
        <v>28</v>
      </c>
      <c r="I1567" s="17" t="s">
        <v>29</v>
      </c>
      <c r="J1567" s="17">
        <v>1</v>
      </c>
      <c r="K1567" s="17" t="s">
        <v>30</v>
      </c>
      <c r="L1567" s="17" t="s">
        <v>31</v>
      </c>
      <c r="M1567" s="17" t="s">
        <v>222</v>
      </c>
      <c r="N1567" s="17">
        <v>716</v>
      </c>
      <c r="O1567" s="17">
        <v>716</v>
      </c>
      <c r="P1567" s="26">
        <f>(data[[#This Row],[LoadedMiles]]/data[[#This Row],[TotalMiles]])*100</f>
        <v>100</v>
      </c>
      <c r="Q1567" s="25">
        <f>data[[#This Row],[ShippingCost]]/data[[#This Row],[TotalMiles]]</f>
        <v>3.227653631284916</v>
      </c>
      <c r="R1567" s="17">
        <v>2311</v>
      </c>
      <c r="S1567" s="25">
        <f>data[[#This Row],[Revenue]]/data[[#This Row],[TotalMiles]]</f>
        <v>4.3351955307262573</v>
      </c>
      <c r="T1567" s="26">
        <f>data[[#This Row],[Revenue]]-data[[#This Row],[ShippingCost]]</f>
        <v>793</v>
      </c>
      <c r="U1567" s="17">
        <v>3104</v>
      </c>
      <c r="V1567" s="17">
        <v>52</v>
      </c>
      <c r="W1567" s="17" t="s">
        <v>25</v>
      </c>
      <c r="X1567" s="17">
        <v>4</v>
      </c>
      <c r="Y1567" s="17">
        <f>data[[#This Row],[DeliveryDate]]-data[[#This Row],[ShipDate]]</f>
        <v>1</v>
      </c>
      <c r="Z1567" s="17" t="str">
        <f>IF(data[[#This Row],[Actual Delivery Days]]&gt;AD1568,"Yes","No")</f>
        <v>Yes</v>
      </c>
    </row>
    <row r="1568" spans="1:26">
      <c r="A1568" s="17">
        <v>10319</v>
      </c>
      <c r="B1568" s="17">
        <v>1</v>
      </c>
      <c r="C1568" s="17">
        <v>8</v>
      </c>
      <c r="D1568" s="17" t="s">
        <v>154</v>
      </c>
      <c r="E1568" s="17" t="s">
        <v>365</v>
      </c>
      <c r="F1568" s="17" t="str">
        <f>TEXT(data[[#This Row],[ShipDate]],"yyyy - mmmm")</f>
        <v>2016 - June</v>
      </c>
      <c r="G1568" s="17" t="str">
        <f>data[[#This Row],[OriginCity]] &amp; " - "  &amp; data[[#This Row],[DestinationCity]]</f>
        <v>Northbrook - Naperville</v>
      </c>
      <c r="H1568" s="17" t="s">
        <v>45</v>
      </c>
      <c r="I1568" s="17" t="s">
        <v>31</v>
      </c>
      <c r="J1568" s="17">
        <v>1</v>
      </c>
      <c r="K1568" s="17" t="s">
        <v>48</v>
      </c>
      <c r="L1568" s="17" t="s">
        <v>31</v>
      </c>
      <c r="M1568" s="17" t="s">
        <v>444</v>
      </c>
      <c r="N1568" s="17">
        <v>1131</v>
      </c>
      <c r="O1568" s="17">
        <v>682</v>
      </c>
      <c r="P1568" s="26">
        <f>(data[[#This Row],[LoadedMiles]]/data[[#This Row],[TotalMiles]])*100</f>
        <v>60.300618921308583</v>
      </c>
      <c r="Q1568" s="25">
        <f>data[[#This Row],[ShippingCost]]/data[[#This Row],[TotalMiles]]</f>
        <v>6.6145004420866487</v>
      </c>
      <c r="R1568" s="17">
        <v>7481</v>
      </c>
      <c r="S1568" s="25">
        <f>data[[#This Row],[Revenue]]/data[[#This Row],[TotalMiles]]</f>
        <v>7.4580017683465956</v>
      </c>
      <c r="T1568" s="26">
        <f>data[[#This Row],[Revenue]]-data[[#This Row],[ShippingCost]]</f>
        <v>954</v>
      </c>
      <c r="U1568" s="17">
        <v>8435</v>
      </c>
      <c r="V1568" s="17">
        <v>57</v>
      </c>
      <c r="W1568" s="17" t="s">
        <v>25</v>
      </c>
      <c r="X1568" s="17">
        <v>7</v>
      </c>
      <c r="Y1568" s="17">
        <f>data[[#This Row],[DeliveryDate]]-data[[#This Row],[ShipDate]]</f>
        <v>1</v>
      </c>
      <c r="Z1568" s="17" t="str">
        <f>IF(data[[#This Row],[Actual Delivery Days]]&gt;AD1569,"Yes","No")</f>
        <v>Yes</v>
      </c>
    </row>
    <row r="1569" spans="1:26">
      <c r="A1569" s="17">
        <v>10326</v>
      </c>
      <c r="B1569" s="17">
        <v>1</v>
      </c>
      <c r="C1569" s="17">
        <v>7</v>
      </c>
      <c r="D1569" s="17" t="s">
        <v>175</v>
      </c>
      <c r="E1569" s="17" t="s">
        <v>274</v>
      </c>
      <c r="F1569" s="17" t="str">
        <f>TEXT(data[[#This Row],[ShipDate]],"yyyy - mmmm")</f>
        <v>2016 - March</v>
      </c>
      <c r="G1569" s="17" t="str">
        <f>data[[#This Row],[OriginCity]] &amp; " - "  &amp; data[[#This Row],[DestinationCity]]</f>
        <v>Appleton - Grand Rapids</v>
      </c>
      <c r="H1569" s="17" t="s">
        <v>85</v>
      </c>
      <c r="I1569" s="17" t="s">
        <v>29</v>
      </c>
      <c r="J1569" s="17">
        <v>1</v>
      </c>
      <c r="K1569" s="17" t="s">
        <v>20</v>
      </c>
      <c r="L1569" s="17" t="s">
        <v>21</v>
      </c>
      <c r="M1569" s="17" t="s">
        <v>81</v>
      </c>
      <c r="N1569" s="17">
        <v>495</v>
      </c>
      <c r="O1569" s="17">
        <v>243</v>
      </c>
      <c r="P1569" s="26">
        <f>(data[[#This Row],[LoadedMiles]]/data[[#This Row],[TotalMiles]])*100</f>
        <v>49.090909090909093</v>
      </c>
      <c r="Q1569" s="25">
        <f>data[[#This Row],[ShippingCost]]/data[[#This Row],[TotalMiles]]</f>
        <v>11.242424242424242</v>
      </c>
      <c r="R1569" s="17">
        <v>5565</v>
      </c>
      <c r="S1569" s="25">
        <f>data[[#This Row],[Revenue]]/data[[#This Row],[TotalMiles]]</f>
        <v>13.252525252525253</v>
      </c>
      <c r="T1569" s="26">
        <f>data[[#This Row],[Revenue]]-data[[#This Row],[ShippingCost]]</f>
        <v>995</v>
      </c>
      <c r="U1569" s="17">
        <v>6560</v>
      </c>
      <c r="V1569" s="17">
        <v>91</v>
      </c>
      <c r="W1569" s="17" t="s">
        <v>86</v>
      </c>
      <c r="X1569" s="17">
        <v>9</v>
      </c>
      <c r="Y1569" s="17">
        <f>data[[#This Row],[DeliveryDate]]-data[[#This Row],[ShipDate]]</f>
        <v>1</v>
      </c>
      <c r="Z1569" s="17" t="str">
        <f>IF(data[[#This Row],[Actual Delivery Days]]&gt;AD1570,"Yes","No")</f>
        <v>Yes</v>
      </c>
    </row>
    <row r="1570" spans="1:26">
      <c r="A1570" s="17">
        <v>10332</v>
      </c>
      <c r="B1570" s="17">
        <v>2</v>
      </c>
      <c r="C1570" s="17">
        <v>4</v>
      </c>
      <c r="D1570" s="17" t="s">
        <v>192</v>
      </c>
      <c r="E1570" s="17" t="s">
        <v>214</v>
      </c>
      <c r="F1570" s="17" t="str">
        <f>TEXT(data[[#This Row],[ShipDate]],"yyyy - mmmm")</f>
        <v>2016 - August</v>
      </c>
      <c r="G1570" s="17" t="str">
        <f>data[[#This Row],[OriginCity]] &amp; " - "  &amp; data[[#This Row],[DestinationCity]]</f>
        <v>Skokie - Chicago</v>
      </c>
      <c r="H1570" s="17" t="s">
        <v>35</v>
      </c>
      <c r="I1570" s="17" t="s">
        <v>31</v>
      </c>
      <c r="J1570" s="17">
        <v>1</v>
      </c>
      <c r="K1570" s="17" t="s">
        <v>39</v>
      </c>
      <c r="L1570" s="17" t="s">
        <v>31</v>
      </c>
      <c r="M1570" s="17" t="s">
        <v>301</v>
      </c>
      <c r="N1570" s="17">
        <v>711</v>
      </c>
      <c r="O1570" s="17">
        <v>630</v>
      </c>
      <c r="P1570" s="26">
        <f>(data[[#This Row],[LoadedMiles]]/data[[#This Row],[TotalMiles]])*100</f>
        <v>88.60759493670885</v>
      </c>
      <c r="Q1570" s="25">
        <f>data[[#This Row],[ShippingCost]]/data[[#This Row],[TotalMiles]]</f>
        <v>4.7172995780590714</v>
      </c>
      <c r="R1570" s="17">
        <v>3354</v>
      </c>
      <c r="S1570" s="25">
        <f>data[[#This Row],[Revenue]]/data[[#This Row],[TotalMiles]]</f>
        <v>1.79887482419128</v>
      </c>
      <c r="T1570" s="26">
        <f>data[[#This Row],[Revenue]]-data[[#This Row],[ShippingCost]]</f>
        <v>-2075</v>
      </c>
      <c r="U1570" s="17">
        <v>1279</v>
      </c>
      <c r="V1570" s="17">
        <v>96</v>
      </c>
      <c r="W1570" s="17" t="s">
        <v>25</v>
      </c>
      <c r="X1570" s="17">
        <v>10</v>
      </c>
      <c r="Y1570" s="17">
        <f>data[[#This Row],[DeliveryDate]]-data[[#This Row],[ShipDate]]</f>
        <v>1</v>
      </c>
      <c r="Z1570" s="17" t="str">
        <f>IF(data[[#This Row],[Actual Delivery Days]]&gt;AD1571,"Yes","No")</f>
        <v>Yes</v>
      </c>
    </row>
    <row r="1571" spans="1:26">
      <c r="A1571" s="17">
        <v>10336</v>
      </c>
      <c r="B1571" s="17">
        <v>1</v>
      </c>
      <c r="C1571" s="17">
        <v>6</v>
      </c>
      <c r="D1571" s="17" t="s">
        <v>203</v>
      </c>
      <c r="E1571" s="17" t="s">
        <v>218</v>
      </c>
      <c r="F1571" s="17" t="str">
        <f>TEXT(data[[#This Row],[ShipDate]],"yyyy - mmmm")</f>
        <v>2016 - May</v>
      </c>
      <c r="G1571" s="17" t="str">
        <f>data[[#This Row],[OriginCity]] &amp; " - "  &amp; data[[#This Row],[DestinationCity]]</f>
        <v>Springfield - Skokie</v>
      </c>
      <c r="H1571" s="17" t="s">
        <v>30</v>
      </c>
      <c r="I1571" s="17" t="s">
        <v>31</v>
      </c>
      <c r="J1571" s="17">
        <v>1</v>
      </c>
      <c r="K1571" s="17" t="s">
        <v>35</v>
      </c>
      <c r="L1571" s="17" t="s">
        <v>31</v>
      </c>
      <c r="M1571" s="17" t="s">
        <v>224</v>
      </c>
      <c r="N1571" s="17">
        <v>320</v>
      </c>
      <c r="O1571" s="17">
        <v>320</v>
      </c>
      <c r="P1571" s="26">
        <f>(data[[#This Row],[LoadedMiles]]/data[[#This Row],[TotalMiles]])*100</f>
        <v>100</v>
      </c>
      <c r="Q1571" s="25">
        <f>data[[#This Row],[ShippingCost]]/data[[#This Row],[TotalMiles]]</f>
        <v>11.4</v>
      </c>
      <c r="R1571" s="17">
        <v>3648</v>
      </c>
      <c r="S1571" s="25">
        <f>data[[#This Row],[Revenue]]/data[[#This Row],[TotalMiles]]</f>
        <v>14.346875000000001</v>
      </c>
      <c r="T1571" s="26">
        <f>data[[#This Row],[Revenue]]-data[[#This Row],[ShippingCost]]</f>
        <v>943</v>
      </c>
      <c r="U1571" s="17">
        <v>4591</v>
      </c>
      <c r="V1571" s="17">
        <v>98</v>
      </c>
      <c r="W1571" s="17" t="s">
        <v>25</v>
      </c>
      <c r="X1571" s="17">
        <v>4</v>
      </c>
      <c r="Y1571" s="17">
        <f>data[[#This Row],[DeliveryDate]]-data[[#This Row],[ShipDate]]</f>
        <v>1</v>
      </c>
      <c r="Z1571" s="17" t="str">
        <f>IF(data[[#This Row],[Actual Delivery Days]]&gt;AD1572,"Yes","No")</f>
        <v>Yes</v>
      </c>
    </row>
    <row r="1572" spans="1:26">
      <c r="A1572" s="17">
        <v>10345</v>
      </c>
      <c r="B1572" s="17">
        <v>2</v>
      </c>
      <c r="C1572" s="17">
        <v>6</v>
      </c>
      <c r="D1572" s="17" t="s">
        <v>223</v>
      </c>
      <c r="E1572" s="17" t="s">
        <v>381</v>
      </c>
      <c r="F1572" s="17" t="str">
        <f>TEXT(data[[#This Row],[ShipDate]],"yyyy - mmmm")</f>
        <v>2016 - March</v>
      </c>
      <c r="G1572" s="17" t="str">
        <f>data[[#This Row],[OriginCity]] &amp; " - "  &amp; data[[#This Row],[DestinationCity]]</f>
        <v>Green Bay - Joliet</v>
      </c>
      <c r="H1572" s="17" t="s">
        <v>75</v>
      </c>
      <c r="I1572" s="17" t="s">
        <v>29</v>
      </c>
      <c r="J1572" s="17">
        <v>1</v>
      </c>
      <c r="K1572" s="17" t="s">
        <v>61</v>
      </c>
      <c r="L1572" s="17" t="s">
        <v>31</v>
      </c>
      <c r="M1572" s="17" t="s">
        <v>252</v>
      </c>
      <c r="N1572" s="17">
        <v>293</v>
      </c>
      <c r="O1572" s="17">
        <v>293</v>
      </c>
      <c r="P1572" s="26">
        <f>(data[[#This Row],[LoadedMiles]]/data[[#This Row],[TotalMiles]])*100</f>
        <v>100</v>
      </c>
      <c r="Q1572" s="25">
        <f>data[[#This Row],[ShippingCost]]/data[[#This Row],[TotalMiles]]</f>
        <v>13.058020477815699</v>
      </c>
      <c r="R1572" s="17">
        <v>3826</v>
      </c>
      <c r="S1572" s="25">
        <f>data[[#This Row],[Revenue]]/data[[#This Row],[TotalMiles]]</f>
        <v>14.73037542662116</v>
      </c>
      <c r="T1572" s="26">
        <f>data[[#This Row],[Revenue]]-data[[#This Row],[ShippingCost]]</f>
        <v>490</v>
      </c>
      <c r="U1572" s="17">
        <v>4316</v>
      </c>
      <c r="V1572" s="17">
        <v>92</v>
      </c>
      <c r="W1572" s="17" t="s">
        <v>25</v>
      </c>
      <c r="X1572" s="17">
        <v>1</v>
      </c>
      <c r="Y1572" s="17">
        <f>data[[#This Row],[DeliveryDate]]-data[[#This Row],[ShipDate]]</f>
        <v>1</v>
      </c>
      <c r="Z1572" s="17" t="str">
        <f>IF(data[[#This Row],[Actual Delivery Days]]&gt;AD1573,"Yes","No")</f>
        <v>Yes</v>
      </c>
    </row>
    <row r="1573" spans="1:26">
      <c r="A1573" s="17">
        <v>10346</v>
      </c>
      <c r="B1573" s="17">
        <v>2</v>
      </c>
      <c r="C1573" s="17">
        <v>6</v>
      </c>
      <c r="D1573" s="17" t="s">
        <v>225</v>
      </c>
      <c r="E1573" s="17" t="s">
        <v>612</v>
      </c>
      <c r="F1573" s="17" t="str">
        <f>TEXT(data[[#This Row],[ShipDate]],"yyyy - mmmm")</f>
        <v>2016 - January</v>
      </c>
      <c r="G1573" s="17" t="str">
        <f>data[[#This Row],[OriginCity]] &amp; " - "  &amp; data[[#This Row],[DestinationCity]]</f>
        <v>Naperville - Indianapolis</v>
      </c>
      <c r="H1573" s="17" t="s">
        <v>48</v>
      </c>
      <c r="I1573" s="17" t="s">
        <v>31</v>
      </c>
      <c r="J1573" s="17">
        <v>1</v>
      </c>
      <c r="K1573" s="17" t="s">
        <v>43</v>
      </c>
      <c r="L1573" s="17" t="s">
        <v>44</v>
      </c>
      <c r="M1573" s="17" t="s">
        <v>304</v>
      </c>
      <c r="N1573" s="17">
        <v>224</v>
      </c>
      <c r="O1573" s="17">
        <v>224</v>
      </c>
      <c r="P1573" s="26">
        <f>(data[[#This Row],[LoadedMiles]]/data[[#This Row],[TotalMiles]])*100</f>
        <v>100</v>
      </c>
      <c r="Q1573" s="25">
        <f>data[[#This Row],[ShippingCost]]/data[[#This Row],[TotalMiles]]</f>
        <v>37.950892857142854</v>
      </c>
      <c r="R1573" s="17">
        <v>8501</v>
      </c>
      <c r="S1573" s="25">
        <f>data[[#This Row],[Revenue]]/data[[#This Row],[TotalMiles]]</f>
        <v>39.915178571428569</v>
      </c>
      <c r="T1573" s="26">
        <f>data[[#This Row],[Revenue]]-data[[#This Row],[ShippingCost]]</f>
        <v>440</v>
      </c>
      <c r="U1573" s="17">
        <v>8941</v>
      </c>
      <c r="V1573" s="17">
        <v>65</v>
      </c>
      <c r="W1573" s="17" t="s">
        <v>25</v>
      </c>
      <c r="X1573" s="17">
        <v>10</v>
      </c>
      <c r="Y1573" s="17">
        <f>data[[#This Row],[DeliveryDate]]-data[[#This Row],[ShipDate]]</f>
        <v>1</v>
      </c>
      <c r="Z1573" s="17" t="str">
        <f>IF(data[[#This Row],[Actual Delivery Days]]&gt;AD1574,"Yes","No")</f>
        <v>Yes</v>
      </c>
    </row>
    <row r="1574" spans="1:26">
      <c r="A1574" s="17">
        <v>10354</v>
      </c>
      <c r="B1574" s="17">
        <v>2</v>
      </c>
      <c r="C1574" s="17">
        <v>7</v>
      </c>
      <c r="D1574" s="17" t="s">
        <v>249</v>
      </c>
      <c r="E1574" s="17" t="s">
        <v>309</v>
      </c>
      <c r="F1574" s="17" t="str">
        <f>TEXT(data[[#This Row],[ShipDate]],"yyyy - mmmm")</f>
        <v>2016 - February</v>
      </c>
      <c r="G1574" s="17" t="str">
        <f>data[[#This Row],[OriginCity]] &amp; " - "  &amp; data[[#This Row],[DestinationCity]]</f>
        <v>Davenport - Appleton</v>
      </c>
      <c r="H1574" s="17" t="s">
        <v>105</v>
      </c>
      <c r="I1574" s="17" t="s">
        <v>106</v>
      </c>
      <c r="J1574" s="17">
        <v>1</v>
      </c>
      <c r="K1574" s="17" t="s">
        <v>85</v>
      </c>
      <c r="L1574" s="17" t="s">
        <v>29</v>
      </c>
      <c r="M1574" s="17" t="s">
        <v>95</v>
      </c>
      <c r="N1574" s="17">
        <v>322</v>
      </c>
      <c r="O1574" s="17">
        <v>315</v>
      </c>
      <c r="P1574" s="26">
        <f>(data[[#This Row],[LoadedMiles]]/data[[#This Row],[TotalMiles]])*100</f>
        <v>97.826086956521735</v>
      </c>
      <c r="Q1574" s="25">
        <f>data[[#This Row],[ShippingCost]]/data[[#This Row],[TotalMiles]]</f>
        <v>10.779503105590063</v>
      </c>
      <c r="R1574" s="17">
        <v>3471</v>
      </c>
      <c r="S1574" s="25">
        <f>data[[#This Row],[Revenue]]/data[[#This Row],[TotalMiles]]</f>
        <v>12.24223602484472</v>
      </c>
      <c r="T1574" s="26">
        <f>data[[#This Row],[Revenue]]-data[[#This Row],[ShippingCost]]</f>
        <v>471</v>
      </c>
      <c r="U1574" s="17">
        <v>3942</v>
      </c>
      <c r="V1574" s="17">
        <v>96</v>
      </c>
      <c r="W1574" s="17" t="s">
        <v>25</v>
      </c>
      <c r="X1574" s="17">
        <v>7</v>
      </c>
      <c r="Y1574" s="17">
        <f>data[[#This Row],[DeliveryDate]]-data[[#This Row],[ShipDate]]</f>
        <v>1</v>
      </c>
      <c r="Z1574" s="17" t="str">
        <f>IF(data[[#This Row],[Actual Delivery Days]]&gt;AD1575,"Yes","No")</f>
        <v>Yes</v>
      </c>
    </row>
    <row r="1575" spans="1:26">
      <c r="A1575" s="17">
        <v>10364</v>
      </c>
      <c r="B1575" s="17">
        <v>1</v>
      </c>
      <c r="C1575" s="17">
        <v>4</v>
      </c>
      <c r="D1575" s="17" t="s">
        <v>267</v>
      </c>
      <c r="E1575" s="17" t="s">
        <v>473</v>
      </c>
      <c r="F1575" s="17" t="str">
        <f>TEXT(data[[#This Row],[ShipDate]],"yyyy - mmmm")</f>
        <v>2016 - June</v>
      </c>
      <c r="G1575" s="17" t="str">
        <f>data[[#This Row],[OriginCity]] &amp; " - "  &amp; data[[#This Row],[DestinationCity]]</f>
        <v>Monon - Lansing</v>
      </c>
      <c r="H1575" s="17" t="s">
        <v>53</v>
      </c>
      <c r="I1575" s="17" t="s">
        <v>44</v>
      </c>
      <c r="J1575" s="17">
        <v>1</v>
      </c>
      <c r="K1575" s="17" t="s">
        <v>66</v>
      </c>
      <c r="L1575" s="17" t="s">
        <v>21</v>
      </c>
      <c r="M1575" s="17" t="s">
        <v>474</v>
      </c>
      <c r="N1575" s="17">
        <v>500</v>
      </c>
      <c r="O1575" s="17">
        <v>500</v>
      </c>
      <c r="P1575" s="26">
        <f>(data[[#This Row],[LoadedMiles]]/data[[#This Row],[TotalMiles]])*100</f>
        <v>100</v>
      </c>
      <c r="Q1575" s="25">
        <f>data[[#This Row],[ShippingCost]]/data[[#This Row],[TotalMiles]]</f>
        <v>14.178000000000001</v>
      </c>
      <c r="R1575" s="17">
        <v>7089</v>
      </c>
      <c r="S1575" s="25">
        <f>data[[#This Row],[Revenue]]/data[[#This Row],[TotalMiles]]</f>
        <v>9.9640000000000004</v>
      </c>
      <c r="T1575" s="26">
        <f>data[[#This Row],[Revenue]]-data[[#This Row],[ShippingCost]]</f>
        <v>-2107</v>
      </c>
      <c r="U1575" s="17">
        <v>4982</v>
      </c>
      <c r="V1575" s="17">
        <v>65</v>
      </c>
      <c r="W1575" s="17" t="s">
        <v>25</v>
      </c>
      <c r="X1575" s="17">
        <v>5</v>
      </c>
      <c r="Y1575" s="17">
        <f>data[[#This Row],[DeliveryDate]]-data[[#This Row],[ShipDate]]</f>
        <v>1</v>
      </c>
      <c r="Z1575" s="17" t="str">
        <f>IF(data[[#This Row],[Actual Delivery Days]]&gt;AD1576,"Yes","No")</f>
        <v>Yes</v>
      </c>
    </row>
    <row r="1576" spans="1:26">
      <c r="A1576" s="17">
        <v>10389</v>
      </c>
      <c r="B1576" s="17">
        <v>2</v>
      </c>
      <c r="C1576" s="17">
        <v>5</v>
      </c>
      <c r="D1576" s="17" t="s">
        <v>314</v>
      </c>
      <c r="E1576" s="17" t="s">
        <v>597</v>
      </c>
      <c r="F1576" s="17" t="str">
        <f>TEXT(data[[#This Row],[ShipDate]],"yyyy - mmmm")</f>
        <v>2016 - August</v>
      </c>
      <c r="G1576" s="17" t="str">
        <f>data[[#This Row],[OriginCity]] &amp; " - "  &amp; data[[#This Row],[DestinationCity]]</f>
        <v>Madison - Kalamazoo</v>
      </c>
      <c r="H1576" s="17" t="s">
        <v>62</v>
      </c>
      <c r="I1576" s="17" t="s">
        <v>29</v>
      </c>
      <c r="J1576" s="17">
        <v>1</v>
      </c>
      <c r="K1576" s="17" t="s">
        <v>71</v>
      </c>
      <c r="L1576" s="17" t="s">
        <v>21</v>
      </c>
      <c r="M1576" s="17" t="s">
        <v>138</v>
      </c>
      <c r="N1576" s="17">
        <v>535</v>
      </c>
      <c r="O1576" s="17">
        <v>246</v>
      </c>
      <c r="P1576" s="26">
        <f>(data[[#This Row],[LoadedMiles]]/data[[#This Row],[TotalMiles]])*100</f>
        <v>45.981308411214954</v>
      </c>
      <c r="Q1576" s="25">
        <f>data[[#This Row],[ShippingCost]]/data[[#This Row],[TotalMiles]]</f>
        <v>11.842990654205607</v>
      </c>
      <c r="R1576" s="17">
        <v>6336</v>
      </c>
      <c r="S1576" s="25">
        <f>data[[#This Row],[Revenue]]/data[[#This Row],[TotalMiles]]</f>
        <v>13.037383177570094</v>
      </c>
      <c r="T1576" s="26">
        <f>data[[#This Row],[Revenue]]-data[[#This Row],[ShippingCost]]</f>
        <v>639</v>
      </c>
      <c r="U1576" s="17">
        <v>6975</v>
      </c>
      <c r="V1576" s="17">
        <v>57</v>
      </c>
      <c r="W1576" s="17" t="s">
        <v>25</v>
      </c>
      <c r="X1576" s="17">
        <v>5</v>
      </c>
      <c r="Y1576" s="17">
        <f>data[[#This Row],[DeliveryDate]]-data[[#This Row],[ShipDate]]</f>
        <v>1</v>
      </c>
      <c r="Z1576" s="17" t="str">
        <f>IF(data[[#This Row],[Actual Delivery Days]]&gt;AD1577,"Yes","No")</f>
        <v>Yes</v>
      </c>
    </row>
    <row r="1577" spans="1:26">
      <c r="A1577" s="17">
        <v>10391</v>
      </c>
      <c r="B1577" s="17">
        <v>2</v>
      </c>
      <c r="C1577" s="17">
        <v>8</v>
      </c>
      <c r="D1577" s="17" t="s">
        <v>320</v>
      </c>
      <c r="E1577" s="17" t="s">
        <v>413</v>
      </c>
      <c r="F1577" s="17" t="str">
        <f>TEXT(data[[#This Row],[ShipDate]],"yyyy - mmmm")</f>
        <v>2016 - April</v>
      </c>
      <c r="G1577" s="17" t="str">
        <f>data[[#This Row],[OriginCity]] &amp; " - "  &amp; data[[#This Row],[DestinationCity]]</f>
        <v>Naperville - Indianapolis</v>
      </c>
      <c r="H1577" s="17" t="s">
        <v>48</v>
      </c>
      <c r="I1577" s="17" t="s">
        <v>31</v>
      </c>
      <c r="J1577" s="17">
        <v>1</v>
      </c>
      <c r="K1577" s="17" t="s">
        <v>43</v>
      </c>
      <c r="L1577" s="17" t="s">
        <v>44</v>
      </c>
      <c r="M1577" s="17" t="s">
        <v>97</v>
      </c>
      <c r="N1577" s="17">
        <v>648</v>
      </c>
      <c r="O1577" s="17">
        <v>417</v>
      </c>
      <c r="P1577" s="26">
        <f>(data[[#This Row],[LoadedMiles]]/data[[#This Row],[TotalMiles]])*100</f>
        <v>64.351851851851848</v>
      </c>
      <c r="Q1577" s="25">
        <f>data[[#This Row],[ShippingCost]]/data[[#This Row],[TotalMiles]]</f>
        <v>9.682098765432098</v>
      </c>
      <c r="R1577" s="17">
        <v>6274</v>
      </c>
      <c r="S1577" s="25">
        <f>data[[#This Row],[Revenue]]/data[[#This Row],[TotalMiles]]</f>
        <v>10.390432098765432</v>
      </c>
      <c r="T1577" s="26">
        <f>data[[#This Row],[Revenue]]-data[[#This Row],[ShippingCost]]</f>
        <v>459</v>
      </c>
      <c r="U1577" s="17">
        <v>6733</v>
      </c>
      <c r="V1577" s="17">
        <v>81</v>
      </c>
      <c r="W1577" s="17" t="s">
        <v>25</v>
      </c>
      <c r="X1577" s="17">
        <v>10</v>
      </c>
      <c r="Y1577" s="17">
        <f>data[[#This Row],[DeliveryDate]]-data[[#This Row],[ShipDate]]</f>
        <v>1</v>
      </c>
      <c r="Z1577" s="17" t="str">
        <f>IF(data[[#This Row],[Actual Delivery Days]]&gt;AD1578,"Yes","No")</f>
        <v>Yes</v>
      </c>
    </row>
    <row r="1578" spans="1:26">
      <c r="A1578" s="17">
        <v>10392</v>
      </c>
      <c r="B1578" s="17">
        <v>2</v>
      </c>
      <c r="C1578" s="17">
        <v>7</v>
      </c>
      <c r="D1578" s="17" t="s">
        <v>321</v>
      </c>
      <c r="E1578" s="17" t="s">
        <v>112</v>
      </c>
      <c r="F1578" s="17" t="str">
        <f>TEXT(data[[#This Row],[ShipDate]],"yyyy - mmmm")</f>
        <v>2016 - January</v>
      </c>
      <c r="G1578" s="17" t="str">
        <f>data[[#This Row],[OriginCity]] &amp; " - "  &amp; data[[#This Row],[DestinationCity]]</f>
        <v>Rockford - Green Bay</v>
      </c>
      <c r="H1578" s="17" t="s">
        <v>40</v>
      </c>
      <c r="I1578" s="17" t="s">
        <v>31</v>
      </c>
      <c r="J1578" s="17">
        <v>1</v>
      </c>
      <c r="K1578" s="17" t="s">
        <v>75</v>
      </c>
      <c r="L1578" s="17" t="s">
        <v>29</v>
      </c>
      <c r="M1578" s="17" t="s">
        <v>174</v>
      </c>
      <c r="N1578" s="17">
        <v>868</v>
      </c>
      <c r="O1578" s="17">
        <v>335</v>
      </c>
      <c r="P1578" s="26">
        <f>(data[[#This Row],[LoadedMiles]]/data[[#This Row],[TotalMiles]])*100</f>
        <v>38.594470046082954</v>
      </c>
      <c r="Q1578" s="25">
        <f>data[[#This Row],[ShippingCost]]/data[[#This Row],[TotalMiles]]</f>
        <v>6.0990783410138247</v>
      </c>
      <c r="R1578" s="17">
        <v>5294</v>
      </c>
      <c r="S1578" s="25">
        <f>data[[#This Row],[Revenue]]/data[[#This Row],[TotalMiles]]</f>
        <v>6.4216589861751148</v>
      </c>
      <c r="T1578" s="26">
        <f>data[[#This Row],[Revenue]]-data[[#This Row],[ShippingCost]]</f>
        <v>280</v>
      </c>
      <c r="U1578" s="17">
        <v>5574</v>
      </c>
      <c r="V1578" s="17">
        <v>79</v>
      </c>
      <c r="W1578" s="17" t="s">
        <v>25</v>
      </c>
      <c r="X1578" s="17">
        <v>10</v>
      </c>
      <c r="Y1578" s="17">
        <f>data[[#This Row],[DeliveryDate]]-data[[#This Row],[ShipDate]]</f>
        <v>1</v>
      </c>
      <c r="Z1578" s="17" t="str">
        <f>IF(data[[#This Row],[Actual Delivery Days]]&gt;AD1579,"Yes","No")</f>
        <v>Yes</v>
      </c>
    </row>
    <row r="1579" spans="1:26">
      <c r="A1579" s="17">
        <v>10409</v>
      </c>
      <c r="B1579" s="17">
        <v>1</v>
      </c>
      <c r="C1579" s="17">
        <v>4</v>
      </c>
      <c r="D1579" s="17" t="s">
        <v>346</v>
      </c>
      <c r="E1579" s="17" t="s">
        <v>97</v>
      </c>
      <c r="F1579" s="17" t="str">
        <f>TEXT(data[[#This Row],[ShipDate]],"yyyy - mmmm")</f>
        <v>2016 - April</v>
      </c>
      <c r="G1579" s="17" t="str">
        <f>data[[#This Row],[OriginCity]] &amp; " - "  &amp; data[[#This Row],[DestinationCity]]</f>
        <v>Detriot - Monon</v>
      </c>
      <c r="H1579" s="17" t="s">
        <v>52</v>
      </c>
      <c r="I1579" s="17" t="s">
        <v>21</v>
      </c>
      <c r="J1579" s="17">
        <v>1</v>
      </c>
      <c r="K1579" s="17" t="s">
        <v>53</v>
      </c>
      <c r="L1579" s="17" t="s">
        <v>44</v>
      </c>
      <c r="M1579" s="17" t="s">
        <v>171</v>
      </c>
      <c r="N1579" s="17">
        <v>451</v>
      </c>
      <c r="O1579" s="17">
        <v>451</v>
      </c>
      <c r="P1579" s="26">
        <f>(data[[#This Row],[LoadedMiles]]/data[[#This Row],[TotalMiles]])*100</f>
        <v>100</v>
      </c>
      <c r="Q1579" s="25">
        <f>data[[#This Row],[ShippingCost]]/data[[#This Row],[TotalMiles]]</f>
        <v>19.31929046563193</v>
      </c>
      <c r="R1579" s="17">
        <v>8713</v>
      </c>
      <c r="S1579" s="25">
        <f>data[[#This Row],[Revenue]]/data[[#This Row],[TotalMiles]]</f>
        <v>13.93569844789357</v>
      </c>
      <c r="T1579" s="26">
        <f>data[[#This Row],[Revenue]]-data[[#This Row],[ShippingCost]]</f>
        <v>-2428</v>
      </c>
      <c r="U1579" s="17">
        <v>6285</v>
      </c>
      <c r="V1579" s="17">
        <v>61</v>
      </c>
      <c r="W1579" s="17" t="s">
        <v>25</v>
      </c>
      <c r="X1579" s="17">
        <v>6</v>
      </c>
      <c r="Y1579" s="17">
        <f>data[[#This Row],[DeliveryDate]]-data[[#This Row],[ShipDate]]</f>
        <v>1</v>
      </c>
      <c r="Z1579" s="17" t="str">
        <f>IF(data[[#This Row],[Actual Delivery Days]]&gt;AD1580,"Yes","No")</f>
        <v>Yes</v>
      </c>
    </row>
    <row r="1580" spans="1:26">
      <c r="A1580" s="17">
        <v>10413</v>
      </c>
      <c r="B1580" s="17">
        <v>2</v>
      </c>
      <c r="C1580" s="17">
        <v>5</v>
      </c>
      <c r="D1580" s="17" t="s">
        <v>356</v>
      </c>
      <c r="E1580" s="17" t="s">
        <v>136</v>
      </c>
      <c r="F1580" s="17" t="str">
        <f>TEXT(data[[#This Row],[ShipDate]],"yyyy - mmmm")</f>
        <v>2016 - June</v>
      </c>
      <c r="G1580" s="17" t="str">
        <f>data[[#This Row],[OriginCity]] &amp; " - "  &amp; data[[#This Row],[DestinationCity]]</f>
        <v>Green Bay - Joliet</v>
      </c>
      <c r="H1580" s="17" t="s">
        <v>75</v>
      </c>
      <c r="I1580" s="17" t="s">
        <v>29</v>
      </c>
      <c r="J1580" s="17">
        <v>1</v>
      </c>
      <c r="K1580" s="17" t="s">
        <v>61</v>
      </c>
      <c r="L1580" s="17" t="s">
        <v>31</v>
      </c>
      <c r="M1580" s="17" t="s">
        <v>617</v>
      </c>
      <c r="N1580" s="17">
        <v>660</v>
      </c>
      <c r="O1580" s="17">
        <v>418</v>
      </c>
      <c r="P1580" s="26">
        <f>(data[[#This Row],[LoadedMiles]]/data[[#This Row],[TotalMiles]])*100</f>
        <v>63.333333333333329</v>
      </c>
      <c r="Q1580" s="25">
        <f>data[[#This Row],[ShippingCost]]/data[[#This Row],[TotalMiles]]</f>
        <v>3.9651515151515153</v>
      </c>
      <c r="R1580" s="17">
        <v>2617</v>
      </c>
      <c r="S1580" s="25">
        <f>data[[#This Row],[Revenue]]/data[[#This Row],[TotalMiles]]</f>
        <v>5.2045454545454541</v>
      </c>
      <c r="T1580" s="26">
        <f>data[[#This Row],[Revenue]]-data[[#This Row],[ShippingCost]]</f>
        <v>818</v>
      </c>
      <c r="U1580" s="17">
        <v>3435</v>
      </c>
      <c r="V1580" s="17">
        <v>54</v>
      </c>
      <c r="W1580" s="17" t="s">
        <v>25</v>
      </c>
      <c r="X1580" s="17">
        <v>8</v>
      </c>
      <c r="Y1580" s="17">
        <f>data[[#This Row],[DeliveryDate]]-data[[#This Row],[ShipDate]]</f>
        <v>1</v>
      </c>
      <c r="Z1580" s="17" t="str">
        <f>IF(data[[#This Row],[Actual Delivery Days]]&gt;AD1581,"Yes","No")</f>
        <v>Yes</v>
      </c>
    </row>
    <row r="1581" spans="1:26">
      <c r="A1581" s="17">
        <v>10420</v>
      </c>
      <c r="B1581" s="17">
        <v>1</v>
      </c>
      <c r="C1581" s="17">
        <v>6</v>
      </c>
      <c r="D1581" s="17" t="s">
        <v>366</v>
      </c>
      <c r="E1581" s="17" t="s">
        <v>141</v>
      </c>
      <c r="F1581" s="17" t="str">
        <f>TEXT(data[[#This Row],[ShipDate]],"yyyy - mmmm")</f>
        <v>2016 - August</v>
      </c>
      <c r="G1581" s="17" t="str">
        <f>data[[#This Row],[OriginCity]] &amp; " - "  &amp; data[[#This Row],[DestinationCity]]</f>
        <v>Lansing - Dayton</v>
      </c>
      <c r="H1581" s="17" t="s">
        <v>66</v>
      </c>
      <c r="I1581" s="17" t="s">
        <v>21</v>
      </c>
      <c r="J1581" s="17">
        <v>1</v>
      </c>
      <c r="K1581" s="17" t="s">
        <v>93</v>
      </c>
      <c r="L1581" s="17" t="s">
        <v>23</v>
      </c>
      <c r="M1581" s="17" t="s">
        <v>184</v>
      </c>
      <c r="N1581" s="17">
        <v>326</v>
      </c>
      <c r="O1581" s="17">
        <v>326</v>
      </c>
      <c r="P1581" s="26">
        <f>(data[[#This Row],[LoadedMiles]]/data[[#This Row],[TotalMiles]])*100</f>
        <v>100</v>
      </c>
      <c r="Q1581" s="25">
        <f>data[[#This Row],[ShippingCost]]/data[[#This Row],[TotalMiles]]</f>
        <v>22.886503067484664</v>
      </c>
      <c r="R1581" s="17">
        <v>7461</v>
      </c>
      <c r="S1581" s="25">
        <f>data[[#This Row],[Revenue]]/data[[#This Row],[TotalMiles]]</f>
        <v>24.331288343558281</v>
      </c>
      <c r="T1581" s="26">
        <f>data[[#This Row],[Revenue]]-data[[#This Row],[ShippingCost]]</f>
        <v>471</v>
      </c>
      <c r="U1581" s="17">
        <v>7932</v>
      </c>
      <c r="V1581" s="17">
        <v>65</v>
      </c>
      <c r="W1581" s="17" t="s">
        <v>86</v>
      </c>
      <c r="X1581" s="17">
        <v>8</v>
      </c>
      <c r="Y1581" s="17">
        <f>data[[#This Row],[DeliveryDate]]-data[[#This Row],[ShipDate]]</f>
        <v>1</v>
      </c>
      <c r="Z1581" s="17" t="str">
        <f>IF(data[[#This Row],[Actual Delivery Days]]&gt;AD1582,"Yes","No")</f>
        <v>Yes</v>
      </c>
    </row>
    <row r="1582" spans="1:26">
      <c r="A1582" s="17">
        <v>10421</v>
      </c>
      <c r="B1582" s="17">
        <v>1</v>
      </c>
      <c r="C1582" s="17">
        <v>6</v>
      </c>
      <c r="D1582" s="17" t="s">
        <v>369</v>
      </c>
      <c r="E1582" s="17" t="s">
        <v>530</v>
      </c>
      <c r="F1582" s="17" t="str">
        <f>TEXT(data[[#This Row],[ShipDate]],"yyyy - mmmm")</f>
        <v>2016 - January</v>
      </c>
      <c r="G1582" s="17" t="str">
        <f>data[[#This Row],[OriginCity]] &amp; " - "  &amp; data[[#This Row],[DestinationCity]]</f>
        <v>Bangor - Davenport</v>
      </c>
      <c r="H1582" s="17" t="s">
        <v>104</v>
      </c>
      <c r="I1582" s="17" t="s">
        <v>21</v>
      </c>
      <c r="J1582" s="17">
        <v>1</v>
      </c>
      <c r="K1582" s="17" t="s">
        <v>105</v>
      </c>
      <c r="L1582" s="17" t="s">
        <v>106</v>
      </c>
      <c r="M1582" s="17" t="s">
        <v>112</v>
      </c>
      <c r="N1582" s="17">
        <v>1099</v>
      </c>
      <c r="O1582" s="17">
        <v>690</v>
      </c>
      <c r="P1582" s="26">
        <f>(data[[#This Row],[LoadedMiles]]/data[[#This Row],[TotalMiles]])*100</f>
        <v>62.784349408553233</v>
      </c>
      <c r="Q1582" s="25">
        <f>data[[#This Row],[ShippingCost]]/data[[#This Row],[TotalMiles]]</f>
        <v>7.5122838944494994</v>
      </c>
      <c r="R1582" s="17">
        <v>8256</v>
      </c>
      <c r="S1582" s="25">
        <f>data[[#This Row],[Revenue]]/data[[#This Row],[TotalMiles]]</f>
        <v>7.9062784349408552</v>
      </c>
      <c r="T1582" s="26">
        <f>data[[#This Row],[Revenue]]-data[[#This Row],[ShippingCost]]</f>
        <v>433</v>
      </c>
      <c r="U1582" s="17">
        <v>8689</v>
      </c>
      <c r="V1582" s="17">
        <v>58</v>
      </c>
      <c r="W1582" s="17" t="s">
        <v>25</v>
      </c>
      <c r="X1582" s="17">
        <v>1</v>
      </c>
      <c r="Y1582" s="17">
        <f>data[[#This Row],[DeliveryDate]]-data[[#This Row],[ShipDate]]</f>
        <v>1</v>
      </c>
      <c r="Z1582" s="17" t="str">
        <f>IF(data[[#This Row],[Actual Delivery Days]]&gt;AD1583,"Yes","No")</f>
        <v>Yes</v>
      </c>
    </row>
    <row r="1583" spans="1:26">
      <c r="A1583" s="17">
        <v>10422</v>
      </c>
      <c r="B1583" s="17">
        <v>1</v>
      </c>
      <c r="C1583" s="17">
        <v>8</v>
      </c>
      <c r="D1583" s="17" t="s">
        <v>370</v>
      </c>
      <c r="E1583" s="17" t="s">
        <v>315</v>
      </c>
      <c r="F1583" s="17" t="str">
        <f>TEXT(data[[#This Row],[ShipDate]],"yyyy - mmmm")</f>
        <v>2016 - June</v>
      </c>
      <c r="G1583" s="17" t="str">
        <f>data[[#This Row],[OriginCity]] &amp; " - "  &amp; data[[#This Row],[DestinationCity]]</f>
        <v>Elgin - Cincinnati</v>
      </c>
      <c r="H1583" s="17" t="s">
        <v>94</v>
      </c>
      <c r="I1583" s="17" t="s">
        <v>31</v>
      </c>
      <c r="J1583" s="17">
        <v>1</v>
      </c>
      <c r="K1583" s="17" t="s">
        <v>89</v>
      </c>
      <c r="L1583" s="17" t="s">
        <v>23</v>
      </c>
      <c r="M1583" s="17" t="s">
        <v>316</v>
      </c>
      <c r="N1583" s="17">
        <v>596</v>
      </c>
      <c r="O1583" s="17">
        <v>559</v>
      </c>
      <c r="P1583" s="26">
        <f>(data[[#This Row],[LoadedMiles]]/data[[#This Row],[TotalMiles]])*100</f>
        <v>93.791946308724832</v>
      </c>
      <c r="Q1583" s="25">
        <f>data[[#This Row],[ShippingCost]]/data[[#This Row],[TotalMiles]]</f>
        <v>6.4781879194630871</v>
      </c>
      <c r="R1583" s="17">
        <v>3861</v>
      </c>
      <c r="S1583" s="25">
        <f>data[[#This Row],[Revenue]]/data[[#This Row],[TotalMiles]]</f>
        <v>6.7953020134228188</v>
      </c>
      <c r="T1583" s="26">
        <f>data[[#This Row],[Revenue]]-data[[#This Row],[ShippingCost]]</f>
        <v>189</v>
      </c>
      <c r="U1583" s="17">
        <v>4050</v>
      </c>
      <c r="V1583" s="17">
        <v>64</v>
      </c>
      <c r="W1583" s="17" t="s">
        <v>25</v>
      </c>
      <c r="X1583" s="17">
        <v>5</v>
      </c>
      <c r="Y1583" s="17">
        <f>data[[#This Row],[DeliveryDate]]-data[[#This Row],[ShipDate]]</f>
        <v>1</v>
      </c>
      <c r="Z1583" s="17" t="str">
        <f>IF(data[[#This Row],[Actual Delivery Days]]&gt;AD1584,"Yes","No")</f>
        <v>Yes</v>
      </c>
    </row>
    <row r="1584" spans="1:26">
      <c r="A1584" s="17">
        <v>10423</v>
      </c>
      <c r="B1584" s="17">
        <v>1</v>
      </c>
      <c r="C1584" s="17">
        <v>8</v>
      </c>
      <c r="D1584" s="17" t="s">
        <v>371</v>
      </c>
      <c r="E1584" s="17" t="s">
        <v>315</v>
      </c>
      <c r="F1584" s="17" t="str">
        <f>TEXT(data[[#This Row],[ShipDate]],"yyyy - mmmm")</f>
        <v>2016 - June</v>
      </c>
      <c r="G1584" s="17" t="str">
        <f>data[[#This Row],[OriginCity]] &amp; " - "  &amp; data[[#This Row],[DestinationCity]]</f>
        <v>Skokie - Chicago</v>
      </c>
      <c r="H1584" s="17" t="s">
        <v>35</v>
      </c>
      <c r="I1584" s="17" t="s">
        <v>31</v>
      </c>
      <c r="J1584" s="17">
        <v>1</v>
      </c>
      <c r="K1584" s="17" t="s">
        <v>39</v>
      </c>
      <c r="L1584" s="17" t="s">
        <v>31</v>
      </c>
      <c r="M1584" s="17" t="s">
        <v>316</v>
      </c>
      <c r="N1584" s="17">
        <v>757</v>
      </c>
      <c r="O1584" s="17">
        <v>251</v>
      </c>
      <c r="P1584" s="26">
        <f>(data[[#This Row],[LoadedMiles]]/data[[#This Row],[TotalMiles]])*100</f>
        <v>33.157199471598418</v>
      </c>
      <c r="Q1584" s="25">
        <f>data[[#This Row],[ShippingCost]]/data[[#This Row],[TotalMiles]]</f>
        <v>0.81241743725231175</v>
      </c>
      <c r="R1584" s="17">
        <v>615</v>
      </c>
      <c r="S1584" s="25">
        <f>data[[#This Row],[Revenue]]/data[[#This Row],[TotalMiles]]</f>
        <v>1.3328929986789961</v>
      </c>
      <c r="T1584" s="26">
        <f>data[[#This Row],[Revenue]]-data[[#This Row],[ShippingCost]]</f>
        <v>394</v>
      </c>
      <c r="U1584" s="17">
        <v>1009</v>
      </c>
      <c r="V1584" s="17">
        <v>94</v>
      </c>
      <c r="W1584" s="17" t="s">
        <v>25</v>
      </c>
      <c r="X1584" s="17">
        <v>6</v>
      </c>
      <c r="Y1584" s="17">
        <f>data[[#This Row],[DeliveryDate]]-data[[#This Row],[ShipDate]]</f>
        <v>1</v>
      </c>
      <c r="Z1584" s="17" t="str">
        <f>IF(data[[#This Row],[Actual Delivery Days]]&gt;AD1585,"Yes","No")</f>
        <v>Yes</v>
      </c>
    </row>
    <row r="1585" spans="1:26">
      <c r="A1585" s="17">
        <v>10430</v>
      </c>
      <c r="B1585" s="17">
        <v>1</v>
      </c>
      <c r="C1585" s="17">
        <v>5</v>
      </c>
      <c r="D1585" s="17" t="s">
        <v>383</v>
      </c>
      <c r="E1585" s="17" t="s">
        <v>204</v>
      </c>
      <c r="F1585" s="17" t="str">
        <f>TEXT(data[[#This Row],[ShipDate]],"yyyy - mmmm")</f>
        <v>2016 - January</v>
      </c>
      <c r="G1585" s="17" t="str">
        <f>data[[#This Row],[OriginCity]] &amp; " - "  &amp; data[[#This Row],[DestinationCity]]</f>
        <v>Northbrook - Naperville</v>
      </c>
      <c r="H1585" s="17" t="s">
        <v>45</v>
      </c>
      <c r="I1585" s="17" t="s">
        <v>31</v>
      </c>
      <c r="J1585" s="17">
        <v>1</v>
      </c>
      <c r="K1585" s="17" t="s">
        <v>48</v>
      </c>
      <c r="L1585" s="17" t="s">
        <v>31</v>
      </c>
      <c r="M1585" s="17" t="s">
        <v>447</v>
      </c>
      <c r="N1585" s="17">
        <v>528</v>
      </c>
      <c r="O1585" s="17">
        <v>409</v>
      </c>
      <c r="P1585" s="26">
        <f>(data[[#This Row],[LoadedMiles]]/data[[#This Row],[TotalMiles]])*100</f>
        <v>77.462121212121218</v>
      </c>
      <c r="Q1585" s="25">
        <f>data[[#This Row],[ShippingCost]]/data[[#This Row],[TotalMiles]]</f>
        <v>11.253787878787879</v>
      </c>
      <c r="R1585" s="17">
        <v>5942</v>
      </c>
      <c r="S1585" s="25">
        <f>data[[#This Row],[Revenue]]/data[[#This Row],[TotalMiles]]</f>
        <v>12.839015151515152</v>
      </c>
      <c r="T1585" s="26">
        <f>data[[#This Row],[Revenue]]-data[[#This Row],[ShippingCost]]</f>
        <v>837</v>
      </c>
      <c r="U1585" s="17">
        <v>6779</v>
      </c>
      <c r="V1585" s="17">
        <v>83</v>
      </c>
      <c r="W1585" s="17" t="s">
        <v>25</v>
      </c>
      <c r="X1585" s="17">
        <v>4</v>
      </c>
      <c r="Y1585" s="17">
        <f>data[[#This Row],[DeliveryDate]]-data[[#This Row],[ShipDate]]</f>
        <v>1</v>
      </c>
      <c r="Z1585" s="17" t="str">
        <f>IF(data[[#This Row],[Actual Delivery Days]]&gt;AD1586,"Yes","No")</f>
        <v>Yes</v>
      </c>
    </row>
    <row r="1586" spans="1:26">
      <c r="A1586" s="17">
        <v>10432</v>
      </c>
      <c r="B1586" s="17">
        <v>1</v>
      </c>
      <c r="C1586" s="17">
        <v>6</v>
      </c>
      <c r="D1586" s="17" t="s">
        <v>385</v>
      </c>
      <c r="E1586" s="17" t="s">
        <v>32</v>
      </c>
      <c r="F1586" s="17" t="str">
        <f>TEXT(data[[#This Row],[ShipDate]],"yyyy - mmmm")</f>
        <v>2016 - May</v>
      </c>
      <c r="G1586" s="17" t="str">
        <f>data[[#This Row],[OriginCity]] &amp; " - "  &amp; data[[#This Row],[DestinationCity]]</f>
        <v>Gary - Milwaukee</v>
      </c>
      <c r="H1586" s="17" t="s">
        <v>57</v>
      </c>
      <c r="I1586" s="17" t="s">
        <v>44</v>
      </c>
      <c r="J1586" s="17">
        <v>1</v>
      </c>
      <c r="K1586" s="17" t="s">
        <v>28</v>
      </c>
      <c r="L1586" s="17" t="s">
        <v>29</v>
      </c>
      <c r="M1586" s="17" t="s">
        <v>108</v>
      </c>
      <c r="N1586" s="17">
        <v>1056</v>
      </c>
      <c r="O1586" s="17">
        <v>738</v>
      </c>
      <c r="P1586" s="26">
        <f>(data[[#This Row],[LoadedMiles]]/data[[#This Row],[TotalMiles]])*100</f>
        <v>69.88636363636364</v>
      </c>
      <c r="Q1586" s="25">
        <f>data[[#This Row],[ShippingCost]]/data[[#This Row],[TotalMiles]]</f>
        <v>2.53125</v>
      </c>
      <c r="R1586" s="17">
        <v>2673</v>
      </c>
      <c r="S1586" s="25">
        <f>data[[#This Row],[Revenue]]/data[[#This Row],[TotalMiles]]</f>
        <v>2.78125</v>
      </c>
      <c r="T1586" s="26">
        <f>data[[#This Row],[Revenue]]-data[[#This Row],[ShippingCost]]</f>
        <v>264</v>
      </c>
      <c r="U1586" s="17">
        <v>2937</v>
      </c>
      <c r="V1586" s="17">
        <v>66</v>
      </c>
      <c r="W1586" s="17" t="s">
        <v>25</v>
      </c>
      <c r="X1586" s="17">
        <v>4</v>
      </c>
      <c r="Y1586" s="17">
        <f>data[[#This Row],[DeliveryDate]]-data[[#This Row],[ShipDate]]</f>
        <v>1</v>
      </c>
      <c r="Z1586" s="17" t="str">
        <f>IF(data[[#This Row],[Actual Delivery Days]]&gt;AD1587,"Yes","No")</f>
        <v>Yes</v>
      </c>
    </row>
    <row r="1587" spans="1:26">
      <c r="A1587" s="17">
        <v>10459</v>
      </c>
      <c r="B1587" s="17">
        <v>1</v>
      </c>
      <c r="C1587" s="17">
        <v>6</v>
      </c>
      <c r="D1587" s="17" t="s">
        <v>433</v>
      </c>
      <c r="E1587" s="17" t="s">
        <v>253</v>
      </c>
      <c r="F1587" s="17" t="str">
        <f>TEXT(data[[#This Row],[ShipDate]],"yyyy - mmmm")</f>
        <v>2016 - April</v>
      </c>
      <c r="G1587" s="17" t="str">
        <f>data[[#This Row],[OriginCity]] &amp; " - "  &amp; data[[#This Row],[DestinationCity]]</f>
        <v>Rockford - Green Bay</v>
      </c>
      <c r="H1587" s="17" t="s">
        <v>40</v>
      </c>
      <c r="I1587" s="17" t="s">
        <v>31</v>
      </c>
      <c r="J1587" s="17">
        <v>1</v>
      </c>
      <c r="K1587" s="17" t="s">
        <v>75</v>
      </c>
      <c r="L1587" s="17" t="s">
        <v>29</v>
      </c>
      <c r="M1587" s="17" t="s">
        <v>186</v>
      </c>
      <c r="N1587" s="17">
        <v>477</v>
      </c>
      <c r="O1587" s="17">
        <v>234</v>
      </c>
      <c r="P1587" s="26">
        <f>(data[[#This Row],[LoadedMiles]]/data[[#This Row],[TotalMiles]])*100</f>
        <v>49.056603773584904</v>
      </c>
      <c r="Q1587" s="25">
        <f>data[[#This Row],[ShippingCost]]/data[[#This Row],[TotalMiles]]</f>
        <v>14.578616352201259</v>
      </c>
      <c r="R1587" s="17">
        <v>6954</v>
      </c>
      <c r="S1587" s="25">
        <f>data[[#This Row],[Revenue]]/data[[#This Row],[TotalMiles]]</f>
        <v>14.916142557651991</v>
      </c>
      <c r="T1587" s="26">
        <f>data[[#This Row],[Revenue]]-data[[#This Row],[ShippingCost]]</f>
        <v>161</v>
      </c>
      <c r="U1587" s="17">
        <v>7115</v>
      </c>
      <c r="V1587" s="17">
        <v>87</v>
      </c>
      <c r="W1587" s="17" t="s">
        <v>25</v>
      </c>
      <c r="X1587" s="17">
        <v>8</v>
      </c>
      <c r="Y1587" s="17">
        <f>data[[#This Row],[DeliveryDate]]-data[[#This Row],[ShipDate]]</f>
        <v>1</v>
      </c>
      <c r="Z1587" s="17" t="str">
        <f>IF(data[[#This Row],[Actual Delivery Days]]&gt;AD1588,"Yes","No")</f>
        <v>Yes</v>
      </c>
    </row>
    <row r="1588" spans="1:26">
      <c r="A1588" s="17">
        <v>10466</v>
      </c>
      <c r="B1588" s="17">
        <v>2</v>
      </c>
      <c r="C1588" s="17">
        <v>4</v>
      </c>
      <c r="D1588" s="17" t="s">
        <v>445</v>
      </c>
      <c r="E1588" s="17" t="s">
        <v>42</v>
      </c>
      <c r="F1588" s="17" t="str">
        <f>TEXT(data[[#This Row],[ShipDate]],"yyyy - mmmm")</f>
        <v>2016 - May</v>
      </c>
      <c r="G1588" s="17" t="str">
        <f>data[[#This Row],[OriginCity]] &amp; " - "  &amp; data[[#This Row],[DestinationCity]]</f>
        <v>Skokie - Chicago</v>
      </c>
      <c r="H1588" s="17" t="s">
        <v>35</v>
      </c>
      <c r="I1588" s="17" t="s">
        <v>31</v>
      </c>
      <c r="J1588" s="17">
        <v>1</v>
      </c>
      <c r="K1588" s="17" t="s">
        <v>39</v>
      </c>
      <c r="L1588" s="17" t="s">
        <v>31</v>
      </c>
      <c r="M1588" s="17" t="s">
        <v>27</v>
      </c>
      <c r="N1588" s="17">
        <v>683</v>
      </c>
      <c r="O1588" s="17">
        <v>486</v>
      </c>
      <c r="P1588" s="26">
        <f>(data[[#This Row],[LoadedMiles]]/data[[#This Row],[TotalMiles]])*100</f>
        <v>71.15666178623718</v>
      </c>
      <c r="Q1588" s="25">
        <f>data[[#This Row],[ShippingCost]]/data[[#This Row],[TotalMiles]]</f>
        <v>5.5812591508052707</v>
      </c>
      <c r="R1588" s="17">
        <v>3812</v>
      </c>
      <c r="S1588" s="25">
        <f>data[[#This Row],[Revenue]]/data[[#This Row],[TotalMiles]]</f>
        <v>2.2445095168374816</v>
      </c>
      <c r="T1588" s="26">
        <f>data[[#This Row],[Revenue]]-data[[#This Row],[ShippingCost]]</f>
        <v>-2279</v>
      </c>
      <c r="U1588" s="17">
        <v>1533</v>
      </c>
      <c r="V1588" s="17">
        <v>51</v>
      </c>
      <c r="W1588" s="17" t="s">
        <v>25</v>
      </c>
      <c r="X1588" s="17">
        <v>1</v>
      </c>
      <c r="Y1588" s="17">
        <f>data[[#This Row],[DeliveryDate]]-data[[#This Row],[ShipDate]]</f>
        <v>1</v>
      </c>
      <c r="Z1588" s="17" t="str">
        <f>IF(data[[#This Row],[Actual Delivery Days]]&gt;AD1589,"Yes","No")</f>
        <v>Yes</v>
      </c>
    </row>
    <row r="1589" spans="1:26">
      <c r="A1589" s="17">
        <v>10468</v>
      </c>
      <c r="B1589" s="17">
        <v>2</v>
      </c>
      <c r="C1589" s="17">
        <v>5</v>
      </c>
      <c r="D1589" s="17" t="s">
        <v>448</v>
      </c>
      <c r="E1589" s="17" t="s">
        <v>70</v>
      </c>
      <c r="F1589" s="17" t="str">
        <f>TEXT(data[[#This Row],[ShipDate]],"yyyy - mmmm")</f>
        <v>2016 - January</v>
      </c>
      <c r="G1589" s="17" t="str">
        <f>data[[#This Row],[OriginCity]] &amp; " - "  &amp; data[[#This Row],[DestinationCity]]</f>
        <v>Davenport - Appleton</v>
      </c>
      <c r="H1589" s="17" t="s">
        <v>105</v>
      </c>
      <c r="I1589" s="17" t="s">
        <v>106</v>
      </c>
      <c r="J1589" s="17">
        <v>1</v>
      </c>
      <c r="K1589" s="17" t="s">
        <v>85</v>
      </c>
      <c r="L1589" s="17" t="s">
        <v>29</v>
      </c>
      <c r="M1589" s="17" t="s">
        <v>358</v>
      </c>
      <c r="N1589" s="17">
        <v>675</v>
      </c>
      <c r="O1589" s="17">
        <v>675</v>
      </c>
      <c r="P1589" s="26">
        <f>(data[[#This Row],[LoadedMiles]]/data[[#This Row],[TotalMiles]])*100</f>
        <v>100</v>
      </c>
      <c r="Q1589" s="25">
        <f>data[[#This Row],[ShippingCost]]/data[[#This Row],[TotalMiles]]</f>
        <v>3.9659259259259261</v>
      </c>
      <c r="R1589" s="17">
        <v>2677</v>
      </c>
      <c r="S1589" s="25">
        <f>data[[#This Row],[Revenue]]/data[[#This Row],[TotalMiles]]</f>
        <v>5.4355555555555553</v>
      </c>
      <c r="T1589" s="26">
        <f>data[[#This Row],[Revenue]]-data[[#This Row],[ShippingCost]]</f>
        <v>992</v>
      </c>
      <c r="U1589" s="17">
        <v>3669</v>
      </c>
      <c r="V1589" s="17">
        <v>77</v>
      </c>
      <c r="W1589" s="17" t="s">
        <v>25</v>
      </c>
      <c r="X1589" s="17">
        <v>8</v>
      </c>
      <c r="Y1589" s="17">
        <f>data[[#This Row],[DeliveryDate]]-data[[#This Row],[ShipDate]]</f>
        <v>1</v>
      </c>
      <c r="Z1589" s="17" t="str">
        <f>IF(data[[#This Row],[Actual Delivery Days]]&gt;AD1590,"Yes","No")</f>
        <v>Yes</v>
      </c>
    </row>
    <row r="1590" spans="1:26">
      <c r="A1590" s="17">
        <v>10484</v>
      </c>
      <c r="B1590" s="17">
        <v>1</v>
      </c>
      <c r="C1590" s="17">
        <v>4</v>
      </c>
      <c r="D1590" s="17" t="s">
        <v>472</v>
      </c>
      <c r="E1590" s="17" t="s">
        <v>353</v>
      </c>
      <c r="F1590" s="17" t="str">
        <f>TEXT(data[[#This Row],[ShipDate]],"yyyy - mmmm")</f>
        <v>2016 - March</v>
      </c>
      <c r="G1590" s="17" t="str">
        <f>data[[#This Row],[OriginCity]] &amp; " - "  &amp; data[[#This Row],[DestinationCity]]</f>
        <v>Dayton - Elgin</v>
      </c>
      <c r="H1590" s="17" t="s">
        <v>93</v>
      </c>
      <c r="I1590" s="17" t="s">
        <v>23</v>
      </c>
      <c r="J1590" s="17">
        <v>1</v>
      </c>
      <c r="K1590" s="17" t="s">
        <v>94</v>
      </c>
      <c r="L1590" s="17" t="s">
        <v>31</v>
      </c>
      <c r="M1590" s="17" t="s">
        <v>76</v>
      </c>
      <c r="N1590" s="17">
        <v>349</v>
      </c>
      <c r="O1590" s="17">
        <v>349</v>
      </c>
      <c r="P1590" s="26">
        <f>(data[[#This Row],[LoadedMiles]]/data[[#This Row],[TotalMiles]])*100</f>
        <v>100</v>
      </c>
      <c r="Q1590" s="25">
        <f>data[[#This Row],[ShippingCost]]/data[[#This Row],[TotalMiles]]</f>
        <v>19.008595988538683</v>
      </c>
      <c r="R1590" s="17">
        <v>6634</v>
      </c>
      <c r="S1590" s="25">
        <f>data[[#This Row],[Revenue]]/data[[#This Row],[TotalMiles]]</f>
        <v>14.117478510028654</v>
      </c>
      <c r="T1590" s="26">
        <f>data[[#This Row],[Revenue]]-data[[#This Row],[ShippingCost]]</f>
        <v>-1707</v>
      </c>
      <c r="U1590" s="17">
        <v>4927</v>
      </c>
      <c r="V1590" s="17">
        <v>65</v>
      </c>
      <c r="W1590" s="17" t="s">
        <v>25</v>
      </c>
      <c r="X1590" s="17">
        <v>5</v>
      </c>
      <c r="Y1590" s="17">
        <f>data[[#This Row],[DeliveryDate]]-data[[#This Row],[ShipDate]]</f>
        <v>1</v>
      </c>
      <c r="Z1590" s="17" t="str">
        <f>IF(data[[#This Row],[Actual Delivery Days]]&gt;AD1591,"Yes","No")</f>
        <v>Yes</v>
      </c>
    </row>
    <row r="1591" spans="1:26">
      <c r="A1591" s="17">
        <v>10485</v>
      </c>
      <c r="B1591" s="17">
        <v>1</v>
      </c>
      <c r="C1591" s="17">
        <v>8</v>
      </c>
      <c r="D1591" s="17" t="s">
        <v>475</v>
      </c>
      <c r="E1591" s="17" t="s">
        <v>90</v>
      </c>
      <c r="F1591" s="17" t="str">
        <f>TEXT(data[[#This Row],[ShipDate]],"yyyy - mmmm")</f>
        <v>2016 - February</v>
      </c>
      <c r="G1591" s="17" t="str">
        <f>data[[#This Row],[OriginCity]] &amp; " - "  &amp; data[[#This Row],[DestinationCity]]</f>
        <v>Toledo - Detriot</v>
      </c>
      <c r="H1591" s="17" t="s">
        <v>22</v>
      </c>
      <c r="I1591" s="17" t="s">
        <v>23</v>
      </c>
      <c r="J1591" s="17">
        <v>1</v>
      </c>
      <c r="K1591" s="17" t="s">
        <v>52</v>
      </c>
      <c r="L1591" s="17" t="s">
        <v>21</v>
      </c>
      <c r="M1591" s="17" t="s">
        <v>202</v>
      </c>
      <c r="N1591" s="17">
        <v>1190</v>
      </c>
      <c r="O1591" s="17">
        <v>713</v>
      </c>
      <c r="P1591" s="26">
        <f>(data[[#This Row],[LoadedMiles]]/data[[#This Row],[TotalMiles]])*100</f>
        <v>59.915966386554622</v>
      </c>
      <c r="Q1591" s="25">
        <f>data[[#This Row],[ShippingCost]]/data[[#This Row],[TotalMiles]]</f>
        <v>4.4932773109243698</v>
      </c>
      <c r="R1591" s="17">
        <v>5347</v>
      </c>
      <c r="S1591" s="25">
        <f>data[[#This Row],[Revenue]]/data[[#This Row],[TotalMiles]]</f>
        <v>5.1252100840336139</v>
      </c>
      <c r="T1591" s="26">
        <f>data[[#This Row],[Revenue]]-data[[#This Row],[ShippingCost]]</f>
        <v>752</v>
      </c>
      <c r="U1591" s="17">
        <v>6099</v>
      </c>
      <c r="V1591" s="17">
        <v>77</v>
      </c>
      <c r="W1591" s="17" t="s">
        <v>25</v>
      </c>
      <c r="X1591" s="17">
        <v>1</v>
      </c>
      <c r="Y1591" s="17">
        <f>data[[#This Row],[DeliveryDate]]-data[[#This Row],[ShipDate]]</f>
        <v>1</v>
      </c>
      <c r="Z1591" s="17" t="str">
        <f>IF(data[[#This Row],[Actual Delivery Days]]&gt;AD1592,"Yes","No")</f>
        <v>Yes</v>
      </c>
    </row>
    <row r="1592" spans="1:26">
      <c r="A1592" s="17">
        <v>10487</v>
      </c>
      <c r="B1592" s="17">
        <v>1</v>
      </c>
      <c r="C1592" s="17">
        <v>8</v>
      </c>
      <c r="D1592" s="17" t="s">
        <v>477</v>
      </c>
      <c r="E1592" s="17" t="s">
        <v>229</v>
      </c>
      <c r="F1592" s="17" t="str">
        <f>TEXT(data[[#This Row],[ShipDate]],"yyyy - mmmm")</f>
        <v>2016 - January</v>
      </c>
      <c r="G1592" s="17" t="str">
        <f>data[[#This Row],[OriginCity]] &amp; " - "  &amp; data[[#This Row],[DestinationCity]]</f>
        <v>Bangor - Davenport</v>
      </c>
      <c r="H1592" s="17" t="s">
        <v>104</v>
      </c>
      <c r="I1592" s="17" t="s">
        <v>21</v>
      </c>
      <c r="J1592" s="17">
        <v>1</v>
      </c>
      <c r="K1592" s="17" t="s">
        <v>105</v>
      </c>
      <c r="L1592" s="17" t="s">
        <v>106</v>
      </c>
      <c r="M1592" s="17" t="s">
        <v>327</v>
      </c>
      <c r="N1592" s="17">
        <v>1036</v>
      </c>
      <c r="O1592" s="17">
        <v>476</v>
      </c>
      <c r="P1592" s="26">
        <f>(data[[#This Row],[LoadedMiles]]/data[[#This Row],[TotalMiles]])*100</f>
        <v>45.945945945945951</v>
      </c>
      <c r="Q1592" s="25">
        <f>data[[#This Row],[ShippingCost]]/data[[#This Row],[TotalMiles]]</f>
        <v>1.9044401544401544</v>
      </c>
      <c r="R1592" s="17">
        <v>1973</v>
      </c>
      <c r="S1592" s="25">
        <f>data[[#This Row],[Revenue]]/data[[#This Row],[TotalMiles]]</f>
        <v>2.4806949806949805</v>
      </c>
      <c r="T1592" s="26">
        <f>data[[#This Row],[Revenue]]-data[[#This Row],[ShippingCost]]</f>
        <v>597</v>
      </c>
      <c r="U1592" s="17">
        <v>2570</v>
      </c>
      <c r="V1592" s="17">
        <v>77</v>
      </c>
      <c r="W1592" s="17" t="s">
        <v>25</v>
      </c>
      <c r="X1592" s="17">
        <v>7</v>
      </c>
      <c r="Y1592" s="17">
        <f>data[[#This Row],[DeliveryDate]]-data[[#This Row],[ShipDate]]</f>
        <v>1</v>
      </c>
      <c r="Z1592" s="17" t="str">
        <f>IF(data[[#This Row],[Actual Delivery Days]]&gt;AD1593,"Yes","No")</f>
        <v>Yes</v>
      </c>
    </row>
    <row r="1593" spans="1:26">
      <c r="A1593" s="17">
        <v>10510</v>
      </c>
      <c r="B1593" s="17">
        <v>1</v>
      </c>
      <c r="C1593" s="17">
        <v>4</v>
      </c>
      <c r="D1593" s="17" t="s">
        <v>508</v>
      </c>
      <c r="E1593" s="17" t="s">
        <v>81</v>
      </c>
      <c r="F1593" s="17" t="str">
        <f>TEXT(data[[#This Row],[ShipDate]],"yyyy - mmmm")</f>
        <v>2016 - March</v>
      </c>
      <c r="G1593" s="17" t="str">
        <f>data[[#This Row],[OriginCity]] &amp; " - "  &amp; data[[#This Row],[DestinationCity]]</f>
        <v>Kalamazoo - Bangor</v>
      </c>
      <c r="H1593" s="17" t="s">
        <v>71</v>
      </c>
      <c r="I1593" s="17" t="s">
        <v>21</v>
      </c>
      <c r="J1593" s="17">
        <v>1</v>
      </c>
      <c r="K1593" s="17" t="s">
        <v>104</v>
      </c>
      <c r="L1593" s="17" t="s">
        <v>21</v>
      </c>
      <c r="M1593" s="17" t="s">
        <v>337</v>
      </c>
      <c r="N1593" s="17">
        <v>758</v>
      </c>
      <c r="O1593" s="17">
        <v>392</v>
      </c>
      <c r="P1593" s="26">
        <f>(data[[#This Row],[LoadedMiles]]/data[[#This Row],[TotalMiles]])*100</f>
        <v>51.715039577836407</v>
      </c>
      <c r="Q1593" s="25">
        <f>data[[#This Row],[ShippingCost]]/data[[#This Row],[TotalMiles]]</f>
        <v>2.6002638522427439</v>
      </c>
      <c r="R1593" s="17">
        <v>1971</v>
      </c>
      <c r="S1593" s="25">
        <f>data[[#This Row],[Revenue]]/data[[#This Row],[TotalMiles]]</f>
        <v>0.38390501319261211</v>
      </c>
      <c r="T1593" s="26">
        <f>data[[#This Row],[Revenue]]-data[[#This Row],[ShippingCost]]</f>
        <v>-1680</v>
      </c>
      <c r="U1593" s="17">
        <v>291</v>
      </c>
      <c r="V1593" s="17">
        <v>99</v>
      </c>
      <c r="W1593" s="17" t="s">
        <v>86</v>
      </c>
      <c r="X1593" s="17">
        <v>2</v>
      </c>
      <c r="Y1593" s="17">
        <f>data[[#This Row],[DeliveryDate]]-data[[#This Row],[ShipDate]]</f>
        <v>1</v>
      </c>
      <c r="Z1593" s="17" t="str">
        <f>IF(data[[#This Row],[Actual Delivery Days]]&gt;AD1594,"Yes","No")</f>
        <v>Yes</v>
      </c>
    </row>
    <row r="1594" spans="1:26">
      <c r="A1594" s="17">
        <v>10511</v>
      </c>
      <c r="B1594" s="17">
        <v>2</v>
      </c>
      <c r="C1594" s="17">
        <v>6</v>
      </c>
      <c r="D1594" s="17" t="s">
        <v>510</v>
      </c>
      <c r="E1594" s="17" t="s">
        <v>410</v>
      </c>
      <c r="F1594" s="17" t="str">
        <f>TEXT(data[[#This Row],[ShipDate]],"yyyy - mmmm")</f>
        <v>2016 - June</v>
      </c>
      <c r="G1594" s="17" t="str">
        <f>data[[#This Row],[OriginCity]] &amp; " - "  &amp; data[[#This Row],[DestinationCity]]</f>
        <v>Davenport - Appleton</v>
      </c>
      <c r="H1594" s="17" t="s">
        <v>105</v>
      </c>
      <c r="I1594" s="17" t="s">
        <v>106</v>
      </c>
      <c r="J1594" s="17">
        <v>1</v>
      </c>
      <c r="K1594" s="17" t="s">
        <v>85</v>
      </c>
      <c r="L1594" s="17" t="s">
        <v>29</v>
      </c>
      <c r="M1594" s="17" t="s">
        <v>135</v>
      </c>
      <c r="N1594" s="17">
        <v>980</v>
      </c>
      <c r="O1594" s="17">
        <v>296</v>
      </c>
      <c r="P1594" s="26">
        <f>(data[[#This Row],[LoadedMiles]]/data[[#This Row],[TotalMiles]])*100</f>
        <v>30.204081632653061</v>
      </c>
      <c r="Q1594" s="25">
        <f>data[[#This Row],[ShippingCost]]/data[[#This Row],[TotalMiles]]</f>
        <v>0.86326530612244901</v>
      </c>
      <c r="R1594" s="17">
        <v>846</v>
      </c>
      <c r="S1594" s="25">
        <f>data[[#This Row],[Revenue]]/data[[#This Row],[TotalMiles]]</f>
        <v>1.5081632653061225</v>
      </c>
      <c r="T1594" s="26">
        <f>data[[#This Row],[Revenue]]-data[[#This Row],[ShippingCost]]</f>
        <v>632</v>
      </c>
      <c r="U1594" s="17">
        <v>1478</v>
      </c>
      <c r="V1594" s="17">
        <v>57</v>
      </c>
      <c r="W1594" s="17" t="s">
        <v>25</v>
      </c>
      <c r="X1594" s="17">
        <v>6</v>
      </c>
      <c r="Y1594" s="17">
        <f>data[[#This Row],[DeliveryDate]]-data[[#This Row],[ShipDate]]</f>
        <v>1</v>
      </c>
      <c r="Z1594" s="17" t="str">
        <f>IF(data[[#This Row],[Actual Delivery Days]]&gt;AD1595,"Yes","No")</f>
        <v>Yes</v>
      </c>
    </row>
    <row r="1595" spans="1:26">
      <c r="A1595" s="17">
        <v>10512</v>
      </c>
      <c r="B1595" s="17">
        <v>1</v>
      </c>
      <c r="C1595" s="17">
        <v>7</v>
      </c>
      <c r="D1595" s="17" t="s">
        <v>511</v>
      </c>
      <c r="E1595" s="17" t="s">
        <v>405</v>
      </c>
      <c r="F1595" s="17" t="str">
        <f>TEXT(data[[#This Row],[ShipDate]],"yyyy - mmmm")</f>
        <v>2016 - August</v>
      </c>
      <c r="G1595" s="17" t="str">
        <f>data[[#This Row],[OriginCity]] &amp; " - "  &amp; data[[#This Row],[DestinationCity]]</f>
        <v>Grand Rapids - Toledo</v>
      </c>
      <c r="H1595" s="17" t="s">
        <v>20</v>
      </c>
      <c r="I1595" s="17" t="s">
        <v>21</v>
      </c>
      <c r="J1595" s="17">
        <v>1</v>
      </c>
      <c r="K1595" s="17" t="s">
        <v>22</v>
      </c>
      <c r="L1595" s="17" t="s">
        <v>23</v>
      </c>
      <c r="M1595" s="17" t="s">
        <v>535</v>
      </c>
      <c r="N1595" s="17">
        <v>749</v>
      </c>
      <c r="O1595" s="17">
        <v>739</v>
      </c>
      <c r="P1595" s="26">
        <f>(data[[#This Row],[LoadedMiles]]/data[[#This Row],[TotalMiles]])*100</f>
        <v>98.6648865153538</v>
      </c>
      <c r="Q1595" s="25">
        <f>data[[#This Row],[ShippingCost]]/data[[#This Row],[TotalMiles]]</f>
        <v>4.7850467289719623</v>
      </c>
      <c r="R1595" s="17">
        <v>3584</v>
      </c>
      <c r="S1595" s="25">
        <f>data[[#This Row],[Revenue]]/data[[#This Row],[TotalMiles]]</f>
        <v>5.548731642189586</v>
      </c>
      <c r="T1595" s="26">
        <f>data[[#This Row],[Revenue]]-data[[#This Row],[ShippingCost]]</f>
        <v>572</v>
      </c>
      <c r="U1595" s="17">
        <v>4156</v>
      </c>
      <c r="V1595" s="17">
        <v>84</v>
      </c>
      <c r="W1595" s="17" t="s">
        <v>25</v>
      </c>
      <c r="X1595" s="17">
        <v>9</v>
      </c>
      <c r="Y1595" s="17">
        <f>data[[#This Row],[DeliveryDate]]-data[[#This Row],[ShipDate]]</f>
        <v>1</v>
      </c>
      <c r="Z1595" s="17" t="str">
        <f>IF(data[[#This Row],[Actual Delivery Days]]&gt;AD1596,"Yes","No")</f>
        <v>Yes</v>
      </c>
    </row>
    <row r="1596" spans="1:26">
      <c r="A1596" s="17">
        <v>10513</v>
      </c>
      <c r="B1596" s="17">
        <v>1</v>
      </c>
      <c r="C1596" s="17">
        <v>5</v>
      </c>
      <c r="D1596" s="17" t="s">
        <v>512</v>
      </c>
      <c r="E1596" s="17" t="s">
        <v>444</v>
      </c>
      <c r="F1596" s="17" t="str">
        <f>TEXT(data[[#This Row],[ShipDate]],"yyyy - mmmm")</f>
        <v>2016 - June</v>
      </c>
      <c r="G1596" s="17" t="str">
        <f>data[[#This Row],[OriginCity]] &amp; " - "  &amp; data[[#This Row],[DestinationCity]]</f>
        <v>Milwaukee - Springfield</v>
      </c>
      <c r="H1596" s="17" t="s">
        <v>28</v>
      </c>
      <c r="I1596" s="17" t="s">
        <v>29</v>
      </c>
      <c r="J1596" s="17">
        <v>1</v>
      </c>
      <c r="K1596" s="17" t="s">
        <v>30</v>
      </c>
      <c r="L1596" s="17" t="s">
        <v>31</v>
      </c>
      <c r="M1596" s="17" t="s">
        <v>410</v>
      </c>
      <c r="N1596" s="17">
        <v>1151</v>
      </c>
      <c r="O1596" s="17">
        <v>772</v>
      </c>
      <c r="P1596" s="26">
        <f>(data[[#This Row],[LoadedMiles]]/data[[#This Row],[TotalMiles]])*100</f>
        <v>67.07211120764552</v>
      </c>
      <c r="Q1596" s="25">
        <f>data[[#This Row],[ShippingCost]]/data[[#This Row],[TotalMiles]]</f>
        <v>4.1650738488271069</v>
      </c>
      <c r="R1596" s="17">
        <v>4794</v>
      </c>
      <c r="S1596" s="25">
        <f>data[[#This Row],[Revenue]]/data[[#This Row],[TotalMiles]]</f>
        <v>4.8748913987836664</v>
      </c>
      <c r="T1596" s="26">
        <f>data[[#This Row],[Revenue]]-data[[#This Row],[ShippingCost]]</f>
        <v>817</v>
      </c>
      <c r="U1596" s="17">
        <v>5611</v>
      </c>
      <c r="V1596" s="17">
        <v>98</v>
      </c>
      <c r="W1596" s="17" t="s">
        <v>25</v>
      </c>
      <c r="X1596" s="17">
        <v>2</v>
      </c>
      <c r="Y1596" s="17">
        <f>data[[#This Row],[DeliveryDate]]-data[[#This Row],[ShipDate]]</f>
        <v>1</v>
      </c>
      <c r="Z1596" s="17" t="str">
        <f>IF(data[[#This Row],[Actual Delivery Days]]&gt;AD1597,"Yes","No")</f>
        <v>Yes</v>
      </c>
    </row>
    <row r="1597" spans="1:26">
      <c r="A1597" s="17">
        <v>10521</v>
      </c>
      <c r="B1597" s="17">
        <v>2</v>
      </c>
      <c r="C1597" s="17">
        <v>6</v>
      </c>
      <c r="D1597" s="17" t="s">
        <v>524</v>
      </c>
      <c r="E1597" s="17" t="s">
        <v>612</v>
      </c>
      <c r="F1597" s="17" t="str">
        <f>TEXT(data[[#This Row],[ShipDate]],"yyyy - mmmm")</f>
        <v>2016 - January</v>
      </c>
      <c r="G1597" s="17" t="str">
        <f>data[[#This Row],[OriginCity]] &amp; " - "  &amp; data[[#This Row],[DestinationCity]]</f>
        <v>Madison - Kalamazoo</v>
      </c>
      <c r="H1597" s="17" t="s">
        <v>62</v>
      </c>
      <c r="I1597" s="17" t="s">
        <v>29</v>
      </c>
      <c r="J1597" s="17">
        <v>1</v>
      </c>
      <c r="K1597" s="17" t="s">
        <v>71</v>
      </c>
      <c r="L1597" s="17" t="s">
        <v>21</v>
      </c>
      <c r="M1597" s="17" t="s">
        <v>304</v>
      </c>
      <c r="N1597" s="17">
        <v>983</v>
      </c>
      <c r="O1597" s="17">
        <v>231</v>
      </c>
      <c r="P1597" s="26">
        <f>(data[[#This Row],[LoadedMiles]]/data[[#This Row],[TotalMiles]])*100</f>
        <v>23.499491353001016</v>
      </c>
      <c r="Q1597" s="25">
        <f>data[[#This Row],[ShippingCost]]/data[[#This Row],[TotalMiles]]</f>
        <v>1.2604272634791456</v>
      </c>
      <c r="R1597" s="17">
        <v>1239</v>
      </c>
      <c r="S1597" s="25">
        <f>data[[#This Row],[Revenue]]/data[[#This Row],[TotalMiles]]</f>
        <v>1.7497456765005086</v>
      </c>
      <c r="T1597" s="26">
        <f>data[[#This Row],[Revenue]]-data[[#This Row],[ShippingCost]]</f>
        <v>481</v>
      </c>
      <c r="U1597" s="17">
        <v>1720</v>
      </c>
      <c r="V1597" s="17">
        <v>73</v>
      </c>
      <c r="W1597" s="17" t="s">
        <v>25</v>
      </c>
      <c r="X1597" s="17">
        <v>3</v>
      </c>
      <c r="Y1597" s="17">
        <f>data[[#This Row],[DeliveryDate]]-data[[#This Row],[ShipDate]]</f>
        <v>1</v>
      </c>
      <c r="Z1597" s="17" t="str">
        <f>IF(data[[#This Row],[Actual Delivery Days]]&gt;AD1598,"Yes","No")</f>
        <v>Yes</v>
      </c>
    </row>
    <row r="1598" spans="1:26">
      <c r="A1598" s="17">
        <v>10522</v>
      </c>
      <c r="B1598" s="17">
        <v>2</v>
      </c>
      <c r="C1598" s="17">
        <v>6</v>
      </c>
      <c r="D1598" s="17" t="s">
        <v>525</v>
      </c>
      <c r="E1598" s="17" t="s">
        <v>444</v>
      </c>
      <c r="F1598" s="17" t="str">
        <f>TEXT(data[[#This Row],[ShipDate]],"yyyy - mmmm")</f>
        <v>2016 - June</v>
      </c>
      <c r="G1598" s="17" t="str">
        <f>data[[#This Row],[OriginCity]] &amp; " - "  &amp; data[[#This Row],[DestinationCity]]</f>
        <v>Green Bay - Joliet</v>
      </c>
      <c r="H1598" s="17" t="s">
        <v>75</v>
      </c>
      <c r="I1598" s="17" t="s">
        <v>29</v>
      </c>
      <c r="J1598" s="17">
        <v>1</v>
      </c>
      <c r="K1598" s="17" t="s">
        <v>61</v>
      </c>
      <c r="L1598" s="17" t="s">
        <v>31</v>
      </c>
      <c r="M1598" s="17" t="s">
        <v>410</v>
      </c>
      <c r="N1598" s="17">
        <v>757</v>
      </c>
      <c r="O1598" s="17">
        <v>690</v>
      </c>
      <c r="P1598" s="26">
        <f>(data[[#This Row],[LoadedMiles]]/data[[#This Row],[TotalMiles]])*100</f>
        <v>91.149273447820349</v>
      </c>
      <c r="Q1598" s="25">
        <f>data[[#This Row],[ShippingCost]]/data[[#This Row],[TotalMiles]]</f>
        <v>6.7490092470277414</v>
      </c>
      <c r="R1598" s="17">
        <v>5109</v>
      </c>
      <c r="S1598" s="25">
        <f>data[[#This Row],[Revenue]]/data[[#This Row],[TotalMiles]]</f>
        <v>7.5706737120211365</v>
      </c>
      <c r="T1598" s="26">
        <f>data[[#This Row],[Revenue]]-data[[#This Row],[ShippingCost]]</f>
        <v>622</v>
      </c>
      <c r="U1598" s="17">
        <v>5731</v>
      </c>
      <c r="V1598" s="17">
        <v>52</v>
      </c>
      <c r="W1598" s="17" t="s">
        <v>25</v>
      </c>
      <c r="X1598" s="17">
        <v>9</v>
      </c>
      <c r="Y1598" s="17">
        <f>data[[#This Row],[DeliveryDate]]-data[[#This Row],[ShipDate]]</f>
        <v>1</v>
      </c>
      <c r="Z1598" s="17" t="str">
        <f>IF(data[[#This Row],[Actual Delivery Days]]&gt;AD1599,"Yes","No")</f>
        <v>Yes</v>
      </c>
    </row>
    <row r="1599" spans="1:26">
      <c r="A1599" s="17">
        <v>10529</v>
      </c>
      <c r="B1599" s="17">
        <v>1</v>
      </c>
      <c r="C1599" s="17">
        <v>5</v>
      </c>
      <c r="D1599" s="17" t="s">
        <v>536</v>
      </c>
      <c r="E1599" s="17" t="s">
        <v>537</v>
      </c>
      <c r="F1599" s="17" t="str">
        <f>TEXT(data[[#This Row],[ShipDate]],"yyyy - mmmm")</f>
        <v>2016 - June</v>
      </c>
      <c r="G1599" s="17" t="str">
        <f>data[[#This Row],[OriginCity]] &amp; " - "  &amp; data[[#This Row],[DestinationCity]]</f>
        <v>Bangor - Davenport</v>
      </c>
      <c r="H1599" s="17" t="s">
        <v>104</v>
      </c>
      <c r="I1599" s="17" t="s">
        <v>21</v>
      </c>
      <c r="J1599" s="17">
        <v>1</v>
      </c>
      <c r="K1599" s="17" t="s">
        <v>105</v>
      </c>
      <c r="L1599" s="17" t="s">
        <v>106</v>
      </c>
      <c r="M1599" s="17" t="s">
        <v>318</v>
      </c>
      <c r="N1599" s="17">
        <v>372</v>
      </c>
      <c r="O1599" s="17">
        <v>372</v>
      </c>
      <c r="P1599" s="26">
        <f>(data[[#This Row],[LoadedMiles]]/data[[#This Row],[TotalMiles]])*100</f>
        <v>100</v>
      </c>
      <c r="Q1599" s="25">
        <f>data[[#This Row],[ShippingCost]]/data[[#This Row],[TotalMiles]]</f>
        <v>17.572580645161292</v>
      </c>
      <c r="R1599" s="17">
        <v>6537</v>
      </c>
      <c r="S1599" s="25">
        <f>data[[#This Row],[Revenue]]/data[[#This Row],[TotalMiles]]</f>
        <v>18.287634408602152</v>
      </c>
      <c r="T1599" s="26">
        <f>data[[#This Row],[Revenue]]-data[[#This Row],[ShippingCost]]</f>
        <v>266</v>
      </c>
      <c r="U1599" s="17">
        <v>6803</v>
      </c>
      <c r="V1599" s="17">
        <v>72</v>
      </c>
      <c r="W1599" s="17" t="s">
        <v>25</v>
      </c>
      <c r="X1599" s="17">
        <v>3</v>
      </c>
      <c r="Y1599" s="17">
        <f>data[[#This Row],[DeliveryDate]]-data[[#This Row],[ShipDate]]</f>
        <v>1</v>
      </c>
      <c r="Z1599" s="17" t="str">
        <f>IF(data[[#This Row],[Actual Delivery Days]]&gt;AD1600,"Yes","No")</f>
        <v>Yes</v>
      </c>
    </row>
    <row r="1600" spans="1:26">
      <c r="A1600" s="17">
        <v>10549</v>
      </c>
      <c r="B1600" s="17">
        <v>2</v>
      </c>
      <c r="C1600" s="17">
        <v>6</v>
      </c>
      <c r="D1600" s="17" t="s">
        <v>565</v>
      </c>
      <c r="E1600" s="17" t="s">
        <v>623</v>
      </c>
      <c r="F1600" s="17" t="str">
        <f>TEXT(data[[#This Row],[ShipDate]],"yyyy - mmmm")</f>
        <v>2016 - April</v>
      </c>
      <c r="G1600" s="17" t="str">
        <f>data[[#This Row],[OriginCity]] &amp; " - "  &amp; data[[#This Row],[DestinationCity]]</f>
        <v>Elgin - Cincinnati</v>
      </c>
      <c r="H1600" s="17" t="s">
        <v>94</v>
      </c>
      <c r="I1600" s="17" t="s">
        <v>31</v>
      </c>
      <c r="J1600" s="17">
        <v>1</v>
      </c>
      <c r="K1600" s="17" t="s">
        <v>89</v>
      </c>
      <c r="L1600" s="17" t="s">
        <v>23</v>
      </c>
      <c r="M1600" s="17" t="s">
        <v>623</v>
      </c>
      <c r="N1600" s="17">
        <v>714</v>
      </c>
      <c r="O1600" s="17">
        <v>714</v>
      </c>
      <c r="P1600" s="26">
        <f>(data[[#This Row],[LoadedMiles]]/data[[#This Row],[TotalMiles]])*100</f>
        <v>100</v>
      </c>
      <c r="Q1600" s="25">
        <f>data[[#This Row],[ShippingCost]]/data[[#This Row],[TotalMiles]]</f>
        <v>2.8459383753501402</v>
      </c>
      <c r="R1600" s="17">
        <v>2032</v>
      </c>
      <c r="S1600" s="25">
        <f>data[[#This Row],[Revenue]]/data[[#This Row],[TotalMiles]]</f>
        <v>4.1680672268907566</v>
      </c>
      <c r="T1600" s="26">
        <f>data[[#This Row],[Revenue]]-data[[#This Row],[ShippingCost]]</f>
        <v>944</v>
      </c>
      <c r="U1600" s="17">
        <v>2976</v>
      </c>
      <c r="V1600" s="17">
        <v>59</v>
      </c>
      <c r="W1600" s="17" t="s">
        <v>25</v>
      </c>
      <c r="X1600" s="17">
        <v>5</v>
      </c>
      <c r="Y1600" s="17">
        <f>data[[#This Row],[DeliveryDate]]-data[[#This Row],[ShipDate]]</f>
        <v>0</v>
      </c>
      <c r="Z1600" s="17" t="str">
        <f>IF(data[[#This Row],[Actual Delivery Days]]&gt;AD1601,"Yes","No")</f>
        <v>No</v>
      </c>
    </row>
    <row r="1601" spans="1:26">
      <c r="A1601" s="17">
        <v>10552</v>
      </c>
      <c r="B1601" s="17">
        <v>1</v>
      </c>
      <c r="C1601" s="17">
        <v>6</v>
      </c>
      <c r="D1601" s="17" t="s">
        <v>569</v>
      </c>
      <c r="E1601" s="17" t="s">
        <v>63</v>
      </c>
      <c r="F1601" s="17" t="str">
        <f>TEXT(data[[#This Row],[ShipDate]],"yyyy - mmmm")</f>
        <v>2016 - July</v>
      </c>
      <c r="G1601" s="17" t="str">
        <f>data[[#This Row],[OriginCity]] &amp; " - "  &amp; data[[#This Row],[DestinationCity]]</f>
        <v>Davenport - Appleton</v>
      </c>
      <c r="H1601" s="17" t="s">
        <v>105</v>
      </c>
      <c r="I1601" s="17" t="s">
        <v>106</v>
      </c>
      <c r="J1601" s="17">
        <v>1</v>
      </c>
      <c r="K1601" s="17" t="s">
        <v>85</v>
      </c>
      <c r="L1601" s="17" t="s">
        <v>29</v>
      </c>
      <c r="M1601" s="17" t="s">
        <v>183</v>
      </c>
      <c r="N1601" s="17">
        <v>1052</v>
      </c>
      <c r="O1601" s="17">
        <v>800</v>
      </c>
      <c r="P1601" s="26">
        <f>(data[[#This Row],[LoadedMiles]]/data[[#This Row],[TotalMiles]])*100</f>
        <v>76.045627376425855</v>
      </c>
      <c r="Q1601" s="25">
        <f>data[[#This Row],[ShippingCost]]/data[[#This Row],[TotalMiles]]</f>
        <v>7.2737642585551328</v>
      </c>
      <c r="R1601" s="17">
        <v>7652</v>
      </c>
      <c r="S1601" s="25">
        <f>data[[#This Row],[Revenue]]/data[[#This Row],[TotalMiles]]</f>
        <v>7.9667300380228134</v>
      </c>
      <c r="T1601" s="26">
        <f>data[[#This Row],[Revenue]]-data[[#This Row],[ShippingCost]]</f>
        <v>729</v>
      </c>
      <c r="U1601" s="17">
        <v>8381</v>
      </c>
      <c r="V1601" s="17">
        <v>55</v>
      </c>
      <c r="W1601" s="17" t="s">
        <v>25</v>
      </c>
      <c r="X1601" s="17">
        <v>5</v>
      </c>
      <c r="Y1601" s="17">
        <f>data[[#This Row],[DeliveryDate]]-data[[#This Row],[ShipDate]]</f>
        <v>1</v>
      </c>
      <c r="Z1601" s="17" t="str">
        <f>IF(data[[#This Row],[Actual Delivery Days]]&gt;AD1602,"Yes","No")</f>
        <v>Yes</v>
      </c>
    </row>
    <row r="1602" spans="1:26">
      <c r="A1602" s="17">
        <v>10554</v>
      </c>
      <c r="B1602" s="17">
        <v>1</v>
      </c>
      <c r="C1602" s="17">
        <v>5</v>
      </c>
      <c r="D1602" s="17" t="s">
        <v>571</v>
      </c>
      <c r="E1602" s="17" t="s">
        <v>454</v>
      </c>
      <c r="F1602" s="17" t="str">
        <f>TEXT(data[[#This Row],[ShipDate]],"yyyy - mmmm")</f>
        <v>2016 - March</v>
      </c>
      <c r="G1602" s="17" t="str">
        <f>data[[#This Row],[OriginCity]] &amp; " - "  &amp; data[[#This Row],[DestinationCity]]</f>
        <v>Milwaukee - Springfield</v>
      </c>
      <c r="H1602" s="17" t="s">
        <v>28</v>
      </c>
      <c r="I1602" s="17" t="s">
        <v>29</v>
      </c>
      <c r="J1602" s="17">
        <v>1</v>
      </c>
      <c r="K1602" s="17" t="s">
        <v>30</v>
      </c>
      <c r="L1602" s="17" t="s">
        <v>31</v>
      </c>
      <c r="M1602" s="17" t="s">
        <v>272</v>
      </c>
      <c r="N1602" s="17">
        <v>620</v>
      </c>
      <c r="O1602" s="17">
        <v>620</v>
      </c>
      <c r="P1602" s="26">
        <f>(data[[#This Row],[LoadedMiles]]/data[[#This Row],[TotalMiles]])*100</f>
        <v>100</v>
      </c>
      <c r="Q1602" s="25">
        <f>data[[#This Row],[ShippingCost]]/data[[#This Row],[TotalMiles]]</f>
        <v>1.2451612903225806</v>
      </c>
      <c r="R1602" s="17">
        <v>772</v>
      </c>
      <c r="S1602" s="25">
        <f>data[[#This Row],[Revenue]]/data[[#This Row],[TotalMiles]]</f>
        <v>1.9467741935483871</v>
      </c>
      <c r="T1602" s="26">
        <f>data[[#This Row],[Revenue]]-data[[#This Row],[ShippingCost]]</f>
        <v>435</v>
      </c>
      <c r="U1602" s="17">
        <v>1207</v>
      </c>
      <c r="V1602" s="17">
        <v>68</v>
      </c>
      <c r="W1602" s="17" t="s">
        <v>25</v>
      </c>
      <c r="X1602" s="17">
        <v>5</v>
      </c>
      <c r="Y1602" s="17">
        <f>data[[#This Row],[DeliveryDate]]-data[[#This Row],[ShipDate]]</f>
        <v>1</v>
      </c>
      <c r="Z1602" s="17" t="str">
        <f>IF(data[[#This Row],[Actual Delivery Days]]&gt;AD1603,"Yes","No")</f>
        <v>Yes</v>
      </c>
    </row>
    <row r="1603" spans="1:26">
      <c r="A1603" s="17">
        <v>10563</v>
      </c>
      <c r="B1603" s="17">
        <v>2</v>
      </c>
      <c r="C1603" s="17">
        <v>6</v>
      </c>
      <c r="D1603" s="17" t="s">
        <v>581</v>
      </c>
      <c r="E1603" s="17" t="s">
        <v>540</v>
      </c>
      <c r="F1603" s="17" t="str">
        <f>TEXT(data[[#This Row],[ShipDate]],"yyyy - mmmm")</f>
        <v>2016 - July</v>
      </c>
      <c r="G1603" s="17" t="str">
        <f>data[[#This Row],[OriginCity]] &amp; " - "  &amp; data[[#This Row],[DestinationCity]]</f>
        <v>Madison - Kalamazoo</v>
      </c>
      <c r="H1603" s="17" t="s">
        <v>62</v>
      </c>
      <c r="I1603" s="17" t="s">
        <v>29</v>
      </c>
      <c r="J1603" s="17">
        <v>1</v>
      </c>
      <c r="K1603" s="17" t="s">
        <v>71</v>
      </c>
      <c r="L1603" s="17" t="s">
        <v>21</v>
      </c>
      <c r="M1603" s="17" t="s">
        <v>614</v>
      </c>
      <c r="N1603" s="17">
        <v>753</v>
      </c>
      <c r="O1603" s="17">
        <v>281</v>
      </c>
      <c r="P1603" s="26">
        <f>(data[[#This Row],[LoadedMiles]]/data[[#This Row],[TotalMiles]])*100</f>
        <v>37.317397078353252</v>
      </c>
      <c r="Q1603" s="25">
        <f>data[[#This Row],[ShippingCost]]/data[[#This Row],[TotalMiles]]</f>
        <v>6.9601593625498008</v>
      </c>
      <c r="R1603" s="17">
        <v>5241</v>
      </c>
      <c r="S1603" s="25">
        <f>data[[#This Row],[Revenue]]/data[[#This Row],[TotalMiles]]</f>
        <v>7.381142098273572</v>
      </c>
      <c r="T1603" s="26">
        <f>data[[#This Row],[Revenue]]-data[[#This Row],[ShippingCost]]</f>
        <v>317</v>
      </c>
      <c r="U1603" s="17">
        <v>5558</v>
      </c>
      <c r="V1603" s="17">
        <v>79</v>
      </c>
      <c r="W1603" s="17" t="s">
        <v>86</v>
      </c>
      <c r="X1603" s="17">
        <v>7</v>
      </c>
      <c r="Y1603" s="17">
        <f>data[[#This Row],[DeliveryDate]]-data[[#This Row],[ShipDate]]</f>
        <v>1</v>
      </c>
      <c r="Z1603" s="17" t="str">
        <f>IF(data[[#This Row],[Actual Delivery Days]]&gt;AD1604,"Yes","No")</f>
        <v>Yes</v>
      </c>
    </row>
    <row r="1604" spans="1:26">
      <c r="A1604" s="17">
        <v>10570</v>
      </c>
      <c r="B1604" s="17">
        <v>1</v>
      </c>
      <c r="C1604" s="17">
        <v>8</v>
      </c>
      <c r="D1604" s="17" t="s">
        <v>590</v>
      </c>
      <c r="E1604" s="17" t="s">
        <v>218</v>
      </c>
      <c r="F1604" s="17" t="str">
        <f>TEXT(data[[#This Row],[ShipDate]],"yyyy - mmmm")</f>
        <v>2016 - May</v>
      </c>
      <c r="G1604" s="17" t="str">
        <f>data[[#This Row],[OriginCity]] &amp; " - "  &amp; data[[#This Row],[DestinationCity]]</f>
        <v>Toledo - Detriot</v>
      </c>
      <c r="H1604" s="17" t="s">
        <v>22</v>
      </c>
      <c r="I1604" s="17" t="s">
        <v>23</v>
      </c>
      <c r="J1604" s="17">
        <v>1</v>
      </c>
      <c r="K1604" s="17" t="s">
        <v>52</v>
      </c>
      <c r="L1604" s="17" t="s">
        <v>21</v>
      </c>
      <c r="M1604" s="17" t="s">
        <v>224</v>
      </c>
      <c r="N1604" s="17">
        <v>1020</v>
      </c>
      <c r="O1604" s="17">
        <v>643</v>
      </c>
      <c r="P1604" s="26">
        <f>(data[[#This Row],[LoadedMiles]]/data[[#This Row],[TotalMiles]])*100</f>
        <v>63.03921568627451</v>
      </c>
      <c r="Q1604" s="25">
        <f>data[[#This Row],[ShippingCost]]/data[[#This Row],[TotalMiles]]</f>
        <v>2.3078431372549018</v>
      </c>
      <c r="R1604" s="17">
        <v>2354</v>
      </c>
      <c r="S1604" s="25">
        <f>data[[#This Row],[Revenue]]/data[[#This Row],[TotalMiles]]</f>
        <v>3.1921568627450982</v>
      </c>
      <c r="T1604" s="26">
        <f>data[[#This Row],[Revenue]]-data[[#This Row],[ShippingCost]]</f>
        <v>902</v>
      </c>
      <c r="U1604" s="17">
        <v>3256</v>
      </c>
      <c r="V1604" s="17">
        <v>62</v>
      </c>
      <c r="W1604" s="17" t="s">
        <v>25</v>
      </c>
      <c r="X1604" s="17">
        <v>6</v>
      </c>
      <c r="Y1604" s="17">
        <f>data[[#This Row],[DeliveryDate]]-data[[#This Row],[ShipDate]]</f>
        <v>1</v>
      </c>
      <c r="Z1604" s="17" t="str">
        <f>IF(data[[#This Row],[Actual Delivery Days]]&gt;AD1605,"Yes","No")</f>
        <v>Yes</v>
      </c>
    </row>
    <row r="1605" spans="1:26">
      <c r="A1605" s="17">
        <v>10572</v>
      </c>
      <c r="B1605" s="17">
        <v>1</v>
      </c>
      <c r="C1605" s="17">
        <v>6</v>
      </c>
      <c r="D1605" s="17" t="s">
        <v>592</v>
      </c>
      <c r="E1605" s="17" t="s">
        <v>226</v>
      </c>
      <c r="F1605" s="17" t="str">
        <f>TEXT(data[[#This Row],[ShipDate]],"yyyy - mmmm")</f>
        <v>2016 - May</v>
      </c>
      <c r="G1605" s="17" t="str">
        <f>data[[#This Row],[OriginCity]] &amp; " - "  &amp; data[[#This Row],[DestinationCity]]</f>
        <v>Bangor - Davenport</v>
      </c>
      <c r="H1605" s="17" t="s">
        <v>104</v>
      </c>
      <c r="I1605" s="17" t="s">
        <v>21</v>
      </c>
      <c r="J1605" s="17">
        <v>1</v>
      </c>
      <c r="K1605" s="17" t="s">
        <v>105</v>
      </c>
      <c r="L1605" s="17" t="s">
        <v>106</v>
      </c>
      <c r="M1605" s="17" t="s">
        <v>227</v>
      </c>
      <c r="N1605" s="17">
        <v>806</v>
      </c>
      <c r="O1605" s="17">
        <v>326</v>
      </c>
      <c r="P1605" s="26">
        <f>(data[[#This Row],[LoadedMiles]]/data[[#This Row],[TotalMiles]])*100</f>
        <v>40.446650124069478</v>
      </c>
      <c r="Q1605" s="25">
        <f>data[[#This Row],[ShippingCost]]/data[[#This Row],[TotalMiles]]</f>
        <v>0.19975186104218362</v>
      </c>
      <c r="R1605" s="17">
        <v>161</v>
      </c>
      <c r="S1605" s="25">
        <f>data[[#This Row],[Revenue]]/data[[#This Row],[TotalMiles]]</f>
        <v>0.91315136476426795</v>
      </c>
      <c r="T1605" s="26">
        <f>data[[#This Row],[Revenue]]-data[[#This Row],[ShippingCost]]</f>
        <v>575</v>
      </c>
      <c r="U1605" s="17">
        <v>736</v>
      </c>
      <c r="V1605" s="17">
        <v>72</v>
      </c>
      <c r="W1605" s="17" t="s">
        <v>25</v>
      </c>
      <c r="X1605" s="17">
        <v>4</v>
      </c>
      <c r="Y1605" s="17">
        <f>data[[#This Row],[DeliveryDate]]-data[[#This Row],[ShipDate]]</f>
        <v>1</v>
      </c>
      <c r="Z1605" s="17" t="str">
        <f>IF(data[[#This Row],[Actual Delivery Days]]&gt;AD1606,"Yes","No")</f>
        <v>Yes</v>
      </c>
    </row>
    <row r="1606" spans="1:26">
      <c r="A1606" s="17">
        <v>10576</v>
      </c>
      <c r="B1606" s="17">
        <v>1</v>
      </c>
      <c r="C1606" s="17">
        <v>5</v>
      </c>
      <c r="D1606" s="17" t="s">
        <v>596</v>
      </c>
      <c r="E1606" s="17" t="s">
        <v>394</v>
      </c>
      <c r="F1606" s="17" t="str">
        <f>TEXT(data[[#This Row],[ShipDate]],"yyyy - mmmm")</f>
        <v>2016 - January</v>
      </c>
      <c r="G1606" s="17" t="str">
        <f>data[[#This Row],[OriginCity]] &amp; " - "  &amp; data[[#This Row],[DestinationCity]]</f>
        <v>Davenport - Appleton</v>
      </c>
      <c r="H1606" s="17" t="s">
        <v>105</v>
      </c>
      <c r="I1606" s="17" t="s">
        <v>106</v>
      </c>
      <c r="J1606" s="17">
        <v>1</v>
      </c>
      <c r="K1606" s="17" t="s">
        <v>85</v>
      </c>
      <c r="L1606" s="17" t="s">
        <v>29</v>
      </c>
      <c r="M1606" s="17" t="s">
        <v>236</v>
      </c>
      <c r="N1606" s="17">
        <v>1003</v>
      </c>
      <c r="O1606" s="17">
        <v>621</v>
      </c>
      <c r="P1606" s="26">
        <f>(data[[#This Row],[LoadedMiles]]/data[[#This Row],[TotalMiles]])*100</f>
        <v>61.914257228315051</v>
      </c>
      <c r="Q1606" s="25">
        <f>data[[#This Row],[ShippingCost]]/data[[#This Row],[TotalMiles]]</f>
        <v>7.1625124626121632</v>
      </c>
      <c r="R1606" s="17">
        <v>7184</v>
      </c>
      <c r="S1606" s="25">
        <f>data[[#This Row],[Revenue]]/data[[#This Row],[TotalMiles]]</f>
        <v>7.9641076769690926</v>
      </c>
      <c r="T1606" s="26">
        <f>data[[#This Row],[Revenue]]-data[[#This Row],[ShippingCost]]</f>
        <v>804</v>
      </c>
      <c r="U1606" s="17">
        <v>7988</v>
      </c>
      <c r="V1606" s="17">
        <v>51</v>
      </c>
      <c r="W1606" s="17" t="s">
        <v>25</v>
      </c>
      <c r="X1606" s="17">
        <v>1</v>
      </c>
      <c r="Y1606" s="17">
        <f>data[[#This Row],[DeliveryDate]]-data[[#This Row],[ShipDate]]</f>
        <v>1</v>
      </c>
      <c r="Z1606" s="17" t="str">
        <f>IF(data[[#This Row],[Actual Delivery Days]]&gt;AD1607,"Yes","No")</f>
        <v>Yes</v>
      </c>
    </row>
    <row r="1607" spans="1:26">
      <c r="A1607" s="17">
        <v>10582</v>
      </c>
      <c r="B1607" s="17">
        <v>1</v>
      </c>
      <c r="C1607" s="17">
        <v>5</v>
      </c>
      <c r="D1607" s="17" t="s">
        <v>604</v>
      </c>
      <c r="E1607" s="17" t="s">
        <v>119</v>
      </c>
      <c r="F1607" s="17" t="str">
        <f>TEXT(data[[#This Row],[ShipDate]],"yyyy - mmmm")</f>
        <v>2016 - August</v>
      </c>
      <c r="G1607" s="17" t="str">
        <f>data[[#This Row],[OriginCity]] &amp; " - "  &amp; data[[#This Row],[DestinationCity]]</f>
        <v>Detriot - Monon</v>
      </c>
      <c r="H1607" s="17" t="s">
        <v>52</v>
      </c>
      <c r="I1607" s="17" t="s">
        <v>21</v>
      </c>
      <c r="J1607" s="17">
        <v>1</v>
      </c>
      <c r="K1607" s="17" t="s">
        <v>53</v>
      </c>
      <c r="L1607" s="17" t="s">
        <v>44</v>
      </c>
      <c r="M1607" s="17" t="s">
        <v>38</v>
      </c>
      <c r="N1607" s="17">
        <v>1095</v>
      </c>
      <c r="O1607" s="17">
        <v>251</v>
      </c>
      <c r="P1607" s="26">
        <f>(data[[#This Row],[LoadedMiles]]/data[[#This Row],[TotalMiles]])*100</f>
        <v>22.922374429223744</v>
      </c>
      <c r="Q1607" s="25">
        <f>data[[#This Row],[ShippingCost]]/data[[#This Row],[TotalMiles]]</f>
        <v>3.8164383561643835</v>
      </c>
      <c r="R1607" s="17">
        <v>4179</v>
      </c>
      <c r="S1607" s="25">
        <f>data[[#This Row],[Revenue]]/data[[#This Row],[TotalMiles]]</f>
        <v>4.666666666666667</v>
      </c>
      <c r="T1607" s="26">
        <f>data[[#This Row],[Revenue]]-data[[#This Row],[ShippingCost]]</f>
        <v>931</v>
      </c>
      <c r="U1607" s="17">
        <v>5110</v>
      </c>
      <c r="V1607" s="17">
        <v>96</v>
      </c>
      <c r="W1607" s="17" t="s">
        <v>86</v>
      </c>
      <c r="X1607" s="17">
        <v>7</v>
      </c>
      <c r="Y1607" s="17">
        <f>data[[#This Row],[DeliveryDate]]-data[[#This Row],[ShipDate]]</f>
        <v>1</v>
      </c>
      <c r="Z1607" s="17" t="str">
        <f>IF(data[[#This Row],[Actual Delivery Days]]&gt;AD1608,"Yes","No")</f>
        <v>Yes</v>
      </c>
    </row>
    <row r="1608" spans="1:26">
      <c r="A1608" s="17">
        <v>10584</v>
      </c>
      <c r="B1608" s="17">
        <v>1</v>
      </c>
      <c r="C1608" s="17">
        <v>6</v>
      </c>
      <c r="D1608" s="17" t="s">
        <v>18</v>
      </c>
      <c r="E1608" s="17" t="s">
        <v>470</v>
      </c>
      <c r="F1608" s="17" t="str">
        <f>TEXT(data[[#This Row],[ShipDate]],"yyyy - mmmm")</f>
        <v>2016 - August</v>
      </c>
      <c r="G1608" s="17" t="str">
        <f>data[[#This Row],[OriginCity]] &amp; " - "  &amp; data[[#This Row],[DestinationCity]]</f>
        <v>Joliet - Madison</v>
      </c>
      <c r="H1608" s="17" t="s">
        <v>61</v>
      </c>
      <c r="I1608" s="17" t="s">
        <v>31</v>
      </c>
      <c r="J1608" s="17">
        <v>1</v>
      </c>
      <c r="K1608" s="17" t="s">
        <v>62</v>
      </c>
      <c r="L1608" s="17" t="s">
        <v>29</v>
      </c>
      <c r="M1608" s="17" t="s">
        <v>141</v>
      </c>
      <c r="N1608" s="17">
        <v>1163</v>
      </c>
      <c r="O1608" s="17">
        <v>498</v>
      </c>
      <c r="P1608" s="26">
        <f>(data[[#This Row],[LoadedMiles]]/data[[#This Row],[TotalMiles]])*100</f>
        <v>42.820292347377467</v>
      </c>
      <c r="Q1608" s="25">
        <f>data[[#This Row],[ShippingCost]]/data[[#This Row],[TotalMiles]]</f>
        <v>6.1263972484952705</v>
      </c>
      <c r="R1608" s="17">
        <v>7125</v>
      </c>
      <c r="S1608" s="25">
        <f>data[[#This Row],[Revenue]]/data[[#This Row],[TotalMiles]]</f>
        <v>6.5442820292347381</v>
      </c>
      <c r="T1608" s="26">
        <f>data[[#This Row],[Revenue]]-data[[#This Row],[ShippingCost]]</f>
        <v>486</v>
      </c>
      <c r="U1608" s="17">
        <v>7611</v>
      </c>
      <c r="V1608" s="17">
        <v>70</v>
      </c>
      <c r="W1608" s="17" t="s">
        <v>25</v>
      </c>
      <c r="X1608" s="17">
        <v>8</v>
      </c>
      <c r="Y1608" s="17">
        <f>data[[#This Row],[DeliveryDate]]-data[[#This Row],[ShipDate]]</f>
        <v>1</v>
      </c>
      <c r="Z1608" s="17" t="str">
        <f>IF(data[[#This Row],[Actual Delivery Days]]&gt;AD1609,"Yes","No")</f>
        <v>Yes</v>
      </c>
    </row>
    <row r="1609" spans="1:26">
      <c r="A1609" s="17">
        <v>10593</v>
      </c>
      <c r="B1609" s="17">
        <v>2</v>
      </c>
      <c r="C1609" s="17">
        <v>8</v>
      </c>
      <c r="D1609" s="17" t="s">
        <v>64</v>
      </c>
      <c r="E1609" s="17" t="s">
        <v>352</v>
      </c>
      <c r="F1609" s="17" t="str">
        <f>TEXT(data[[#This Row],[ShipDate]],"yyyy - mmmm")</f>
        <v>2016 - March</v>
      </c>
      <c r="G1609" s="17" t="str">
        <f>data[[#This Row],[OriginCity]] &amp; " - "  &amp; data[[#This Row],[DestinationCity]]</f>
        <v>Toledo - Detriot</v>
      </c>
      <c r="H1609" s="17" t="s">
        <v>22</v>
      </c>
      <c r="I1609" s="17" t="s">
        <v>23</v>
      </c>
      <c r="J1609" s="17">
        <v>1</v>
      </c>
      <c r="K1609" s="17" t="s">
        <v>52</v>
      </c>
      <c r="L1609" s="17" t="s">
        <v>21</v>
      </c>
      <c r="M1609" s="17" t="s">
        <v>207</v>
      </c>
      <c r="N1609" s="17">
        <v>828</v>
      </c>
      <c r="O1609" s="17">
        <v>655</v>
      </c>
      <c r="P1609" s="26">
        <f>(data[[#This Row],[LoadedMiles]]/data[[#This Row],[TotalMiles]])*100</f>
        <v>79.106280193236714</v>
      </c>
      <c r="Q1609" s="25">
        <f>data[[#This Row],[ShippingCost]]/data[[#This Row],[TotalMiles]]</f>
        <v>0.9408212560386473</v>
      </c>
      <c r="R1609" s="17">
        <v>779</v>
      </c>
      <c r="S1609" s="25">
        <f>data[[#This Row],[Revenue]]/data[[#This Row],[TotalMiles]]</f>
        <v>1.4951690821256038</v>
      </c>
      <c r="T1609" s="26">
        <f>data[[#This Row],[Revenue]]-data[[#This Row],[ShippingCost]]</f>
        <v>459</v>
      </c>
      <c r="U1609" s="17">
        <v>1238</v>
      </c>
      <c r="V1609" s="17">
        <v>96</v>
      </c>
      <c r="W1609" s="17" t="s">
        <v>25</v>
      </c>
      <c r="X1609" s="17">
        <v>7</v>
      </c>
      <c r="Y1609" s="17">
        <f>data[[#This Row],[DeliveryDate]]-data[[#This Row],[ShipDate]]</f>
        <v>1</v>
      </c>
      <c r="Z1609" s="17" t="str">
        <f>IF(data[[#This Row],[Actual Delivery Days]]&gt;AD1610,"Yes","No")</f>
        <v>Yes</v>
      </c>
    </row>
    <row r="1610" spans="1:26">
      <c r="A1610" s="17">
        <v>10613</v>
      </c>
      <c r="B1610" s="17">
        <v>2</v>
      </c>
      <c r="C1610" s="17">
        <v>4</v>
      </c>
      <c r="D1610" s="17" t="s">
        <v>137</v>
      </c>
      <c r="E1610" s="17" t="s">
        <v>587</v>
      </c>
      <c r="F1610" s="17" t="str">
        <f>TEXT(data[[#This Row],[ShipDate]],"yyyy - mmmm")</f>
        <v>2016 - August</v>
      </c>
      <c r="G1610" s="17" t="str">
        <f>data[[#This Row],[OriginCity]] &amp; " - "  &amp; data[[#This Row],[DestinationCity]]</f>
        <v>Cincinnati - Gary</v>
      </c>
      <c r="H1610" s="17" t="s">
        <v>89</v>
      </c>
      <c r="I1610" s="17" t="s">
        <v>23</v>
      </c>
      <c r="J1610" s="17">
        <v>1</v>
      </c>
      <c r="K1610" s="17" t="s">
        <v>57</v>
      </c>
      <c r="L1610" s="17" t="s">
        <v>44</v>
      </c>
      <c r="M1610" s="17" t="s">
        <v>34</v>
      </c>
      <c r="N1610" s="17">
        <v>446</v>
      </c>
      <c r="O1610" s="17">
        <v>446</v>
      </c>
      <c r="P1610" s="26">
        <f>(data[[#This Row],[LoadedMiles]]/data[[#This Row],[TotalMiles]])*100</f>
        <v>100</v>
      </c>
      <c r="Q1610" s="25">
        <f>data[[#This Row],[ShippingCost]]/data[[#This Row],[TotalMiles]]</f>
        <v>19.502242152466369</v>
      </c>
      <c r="R1610" s="17">
        <v>8698</v>
      </c>
      <c r="S1610" s="25">
        <f>data[[#This Row],[Revenue]]/data[[#This Row],[TotalMiles]]</f>
        <v>14.665919282511211</v>
      </c>
      <c r="T1610" s="26">
        <f>data[[#This Row],[Revenue]]-data[[#This Row],[ShippingCost]]</f>
        <v>-2157</v>
      </c>
      <c r="U1610" s="17">
        <v>6541</v>
      </c>
      <c r="V1610" s="17">
        <v>59</v>
      </c>
      <c r="W1610" s="17" t="s">
        <v>25</v>
      </c>
      <c r="X1610" s="17">
        <v>10</v>
      </c>
      <c r="Y1610" s="17">
        <f>data[[#This Row],[DeliveryDate]]-data[[#This Row],[ShipDate]]</f>
        <v>1</v>
      </c>
      <c r="Z1610" s="17" t="str">
        <f>IF(data[[#This Row],[Actual Delivery Days]]&gt;AD1611,"Yes","No")</f>
        <v>Yes</v>
      </c>
    </row>
    <row r="1611" spans="1:26">
      <c r="A1611" s="17">
        <v>10620</v>
      </c>
      <c r="B1611" s="17">
        <v>1</v>
      </c>
      <c r="C1611" s="17">
        <v>5</v>
      </c>
      <c r="D1611" s="17" t="s">
        <v>157</v>
      </c>
      <c r="E1611" s="17" t="s">
        <v>416</v>
      </c>
      <c r="F1611" s="17" t="str">
        <f>TEXT(data[[#This Row],[ShipDate]],"yyyy - mmmm")</f>
        <v>2016 - August</v>
      </c>
      <c r="G1611" s="17" t="str">
        <f>data[[#This Row],[OriginCity]] &amp; " - "  &amp; data[[#This Row],[DestinationCity]]</f>
        <v>Kalamazoo - Bangor</v>
      </c>
      <c r="H1611" s="17" t="s">
        <v>71</v>
      </c>
      <c r="I1611" s="17" t="s">
        <v>21</v>
      </c>
      <c r="J1611" s="17">
        <v>1</v>
      </c>
      <c r="K1611" s="17" t="s">
        <v>104</v>
      </c>
      <c r="L1611" s="17" t="s">
        <v>21</v>
      </c>
      <c r="M1611" s="17" t="s">
        <v>387</v>
      </c>
      <c r="N1611" s="17">
        <v>840</v>
      </c>
      <c r="O1611" s="17">
        <v>508</v>
      </c>
      <c r="P1611" s="26">
        <f>(data[[#This Row],[LoadedMiles]]/data[[#This Row],[TotalMiles]])*100</f>
        <v>60.476190476190474</v>
      </c>
      <c r="Q1611" s="25">
        <f>data[[#This Row],[ShippingCost]]/data[[#This Row],[TotalMiles]]</f>
        <v>4.4000000000000004</v>
      </c>
      <c r="R1611" s="17">
        <v>3696</v>
      </c>
      <c r="S1611" s="25">
        <f>data[[#This Row],[Revenue]]/data[[#This Row],[TotalMiles]]</f>
        <v>5.1738095238095241</v>
      </c>
      <c r="T1611" s="26">
        <f>data[[#This Row],[Revenue]]-data[[#This Row],[ShippingCost]]</f>
        <v>650</v>
      </c>
      <c r="U1611" s="17">
        <v>4346</v>
      </c>
      <c r="V1611" s="17">
        <v>78</v>
      </c>
      <c r="W1611" s="17" t="s">
        <v>86</v>
      </c>
      <c r="X1611" s="17">
        <v>9</v>
      </c>
      <c r="Y1611" s="17">
        <f>data[[#This Row],[DeliveryDate]]-data[[#This Row],[ShipDate]]</f>
        <v>1</v>
      </c>
      <c r="Z1611" s="17" t="str">
        <f>IF(data[[#This Row],[Actual Delivery Days]]&gt;AD1612,"Yes","No")</f>
        <v>Yes</v>
      </c>
    </row>
    <row r="1612" spans="1:26">
      <c r="A1612" s="17">
        <v>10628</v>
      </c>
      <c r="B1612" s="17">
        <v>1</v>
      </c>
      <c r="C1612" s="17">
        <v>6</v>
      </c>
      <c r="D1612" s="17" t="s">
        <v>178</v>
      </c>
      <c r="E1612" s="17" t="s">
        <v>408</v>
      </c>
      <c r="F1612" s="17" t="str">
        <f>TEXT(data[[#This Row],[ShipDate]],"yyyy - mmmm")</f>
        <v>2016 - August</v>
      </c>
      <c r="G1612" s="17" t="str">
        <f>data[[#This Row],[OriginCity]] &amp; " - "  &amp; data[[#This Row],[DestinationCity]]</f>
        <v>Gary - Milwaukee</v>
      </c>
      <c r="H1612" s="17" t="s">
        <v>57</v>
      </c>
      <c r="I1612" s="17" t="s">
        <v>44</v>
      </c>
      <c r="J1612" s="17">
        <v>1</v>
      </c>
      <c r="K1612" s="17" t="s">
        <v>28</v>
      </c>
      <c r="L1612" s="17" t="s">
        <v>29</v>
      </c>
      <c r="M1612" s="17" t="s">
        <v>212</v>
      </c>
      <c r="N1612" s="17">
        <v>1166</v>
      </c>
      <c r="O1612" s="17">
        <v>228</v>
      </c>
      <c r="P1612" s="26">
        <f>(data[[#This Row],[LoadedMiles]]/data[[#This Row],[TotalMiles]])*100</f>
        <v>19.554030874785592</v>
      </c>
      <c r="Q1612" s="25">
        <f>data[[#This Row],[ShippingCost]]/data[[#This Row],[TotalMiles]]</f>
        <v>7.2504288164665525</v>
      </c>
      <c r="R1612" s="17">
        <v>8454</v>
      </c>
      <c r="S1612" s="25">
        <f>data[[#This Row],[Revenue]]/data[[#This Row],[TotalMiles]]</f>
        <v>7.6269296740994852</v>
      </c>
      <c r="T1612" s="26">
        <f>data[[#This Row],[Revenue]]-data[[#This Row],[ShippingCost]]</f>
        <v>439</v>
      </c>
      <c r="U1612" s="17">
        <v>8893</v>
      </c>
      <c r="V1612" s="17">
        <v>78</v>
      </c>
      <c r="W1612" s="17" t="s">
        <v>25</v>
      </c>
      <c r="X1612" s="17">
        <v>4</v>
      </c>
      <c r="Y1612" s="17">
        <f>data[[#This Row],[DeliveryDate]]-data[[#This Row],[ShipDate]]</f>
        <v>1</v>
      </c>
      <c r="Z1612" s="17" t="str">
        <f>IF(data[[#This Row],[Actual Delivery Days]]&gt;AD1613,"Yes","No")</f>
        <v>Yes</v>
      </c>
    </row>
    <row r="1613" spans="1:26">
      <c r="A1613" s="17">
        <v>10651</v>
      </c>
      <c r="B1613" s="17">
        <v>2</v>
      </c>
      <c r="C1613" s="17">
        <v>8</v>
      </c>
      <c r="D1613" s="17" t="s">
        <v>232</v>
      </c>
      <c r="E1613" s="17" t="s">
        <v>422</v>
      </c>
      <c r="F1613" s="17" t="str">
        <f>TEXT(data[[#This Row],[ShipDate]],"yyyy - mmmm")</f>
        <v>2016 - August</v>
      </c>
      <c r="G1613" s="17" t="str">
        <f>data[[#This Row],[OriginCity]] &amp; " - "  &amp; data[[#This Row],[DestinationCity]]</f>
        <v>Gary - Milwaukee</v>
      </c>
      <c r="H1613" s="17" t="s">
        <v>57</v>
      </c>
      <c r="I1613" s="17" t="s">
        <v>44</v>
      </c>
      <c r="J1613" s="17">
        <v>1</v>
      </c>
      <c r="K1613" s="17" t="s">
        <v>28</v>
      </c>
      <c r="L1613" s="17" t="s">
        <v>29</v>
      </c>
      <c r="M1613" s="17" t="s">
        <v>211</v>
      </c>
      <c r="N1613" s="17">
        <v>1155</v>
      </c>
      <c r="O1613" s="17">
        <v>257</v>
      </c>
      <c r="P1613" s="26">
        <f>(data[[#This Row],[LoadedMiles]]/data[[#This Row],[TotalMiles]])*100</f>
        <v>22.251082251082252</v>
      </c>
      <c r="Q1613" s="25">
        <f>data[[#This Row],[ShippingCost]]/data[[#This Row],[TotalMiles]]</f>
        <v>6.5653679653679653</v>
      </c>
      <c r="R1613" s="17">
        <v>7583</v>
      </c>
      <c r="S1613" s="25">
        <f>data[[#This Row],[Revenue]]/data[[#This Row],[TotalMiles]]</f>
        <v>7.2545454545454549</v>
      </c>
      <c r="T1613" s="26">
        <f>data[[#This Row],[Revenue]]-data[[#This Row],[ShippingCost]]</f>
        <v>796</v>
      </c>
      <c r="U1613" s="17">
        <v>8379</v>
      </c>
      <c r="V1613" s="17">
        <v>80</v>
      </c>
      <c r="W1613" s="17" t="s">
        <v>25</v>
      </c>
      <c r="X1613" s="17">
        <v>6</v>
      </c>
      <c r="Y1613" s="17">
        <f>data[[#This Row],[DeliveryDate]]-data[[#This Row],[ShipDate]]</f>
        <v>1</v>
      </c>
      <c r="Z1613" s="17" t="str">
        <f>IF(data[[#This Row],[Actual Delivery Days]]&gt;AD1614,"Yes","No")</f>
        <v>Yes</v>
      </c>
    </row>
    <row r="1614" spans="1:26">
      <c r="A1614" s="17">
        <v>10652</v>
      </c>
      <c r="B1614" s="17">
        <v>1</v>
      </c>
      <c r="C1614" s="17">
        <v>7</v>
      </c>
      <c r="D1614" s="17" t="s">
        <v>233</v>
      </c>
      <c r="E1614" s="17" t="s">
        <v>542</v>
      </c>
      <c r="F1614" s="17" t="str">
        <f>TEXT(data[[#This Row],[ShipDate]],"yyyy - mmmm")</f>
        <v>2016 - June</v>
      </c>
      <c r="G1614" s="17" t="str">
        <f>data[[#This Row],[OriginCity]] &amp; " - "  &amp; data[[#This Row],[DestinationCity]]</f>
        <v>Joliet - Madison</v>
      </c>
      <c r="H1614" s="17" t="s">
        <v>61</v>
      </c>
      <c r="I1614" s="17" t="s">
        <v>31</v>
      </c>
      <c r="J1614" s="17">
        <v>1</v>
      </c>
      <c r="K1614" s="17" t="s">
        <v>62</v>
      </c>
      <c r="L1614" s="17" t="s">
        <v>29</v>
      </c>
      <c r="M1614" s="17" t="s">
        <v>542</v>
      </c>
      <c r="N1614" s="17">
        <v>903</v>
      </c>
      <c r="O1614" s="17">
        <v>282</v>
      </c>
      <c r="P1614" s="26">
        <f>(data[[#This Row],[LoadedMiles]]/data[[#This Row],[TotalMiles]])*100</f>
        <v>31.229235880398669</v>
      </c>
      <c r="Q1614" s="25">
        <f>data[[#This Row],[ShippingCost]]/data[[#This Row],[TotalMiles]]</f>
        <v>8.1406423034330011</v>
      </c>
      <c r="R1614" s="17">
        <v>7351</v>
      </c>
      <c r="S1614" s="25">
        <f>data[[#This Row],[Revenue]]/data[[#This Row],[TotalMiles]]</f>
        <v>9.1605758582502776</v>
      </c>
      <c r="T1614" s="26">
        <f>data[[#This Row],[Revenue]]-data[[#This Row],[ShippingCost]]</f>
        <v>921</v>
      </c>
      <c r="U1614" s="17">
        <v>8272</v>
      </c>
      <c r="V1614" s="17">
        <v>51</v>
      </c>
      <c r="W1614" s="17" t="s">
        <v>25</v>
      </c>
      <c r="X1614" s="17">
        <v>1</v>
      </c>
      <c r="Y1614" s="17">
        <f>data[[#This Row],[DeliveryDate]]-data[[#This Row],[ShipDate]]</f>
        <v>0</v>
      </c>
      <c r="Z1614" s="17" t="str">
        <f>IF(data[[#This Row],[Actual Delivery Days]]&gt;AD1615,"Yes","No")</f>
        <v>No</v>
      </c>
    </row>
    <row r="1615" spans="1:26">
      <c r="A1615" s="17">
        <v>10665</v>
      </c>
      <c r="B1615" s="17">
        <v>2</v>
      </c>
      <c r="C1615" s="17">
        <v>8</v>
      </c>
      <c r="D1615" s="17" t="s">
        <v>262</v>
      </c>
      <c r="E1615" s="17" t="s">
        <v>90</v>
      </c>
      <c r="F1615" s="17" t="str">
        <f>TEXT(data[[#This Row],[ShipDate]],"yyyy - mmmm")</f>
        <v>2016 - February</v>
      </c>
      <c r="G1615" s="17" t="str">
        <f>data[[#This Row],[OriginCity]] &amp; " - "  &amp; data[[#This Row],[DestinationCity]]</f>
        <v>Kalamazoo - Bangor</v>
      </c>
      <c r="H1615" s="17" t="s">
        <v>71</v>
      </c>
      <c r="I1615" s="17" t="s">
        <v>21</v>
      </c>
      <c r="J1615" s="17">
        <v>1</v>
      </c>
      <c r="K1615" s="17" t="s">
        <v>104</v>
      </c>
      <c r="L1615" s="17" t="s">
        <v>21</v>
      </c>
      <c r="M1615" s="17" t="s">
        <v>202</v>
      </c>
      <c r="N1615" s="17">
        <v>873</v>
      </c>
      <c r="O1615" s="17">
        <v>384</v>
      </c>
      <c r="P1615" s="26">
        <f>(data[[#This Row],[LoadedMiles]]/data[[#This Row],[TotalMiles]])*100</f>
        <v>43.986254295532646</v>
      </c>
      <c r="Q1615" s="25">
        <f>data[[#This Row],[ShippingCost]]/data[[#This Row],[TotalMiles]]</f>
        <v>8.4604810996563575</v>
      </c>
      <c r="R1615" s="17">
        <v>7386</v>
      </c>
      <c r="S1615" s="25">
        <f>data[[#This Row],[Revenue]]/data[[#This Row],[TotalMiles]]</f>
        <v>8.853379152348225</v>
      </c>
      <c r="T1615" s="26">
        <f>data[[#This Row],[Revenue]]-data[[#This Row],[ShippingCost]]</f>
        <v>343</v>
      </c>
      <c r="U1615" s="17">
        <v>7729</v>
      </c>
      <c r="V1615" s="17">
        <v>56</v>
      </c>
      <c r="W1615" s="17" t="s">
        <v>25</v>
      </c>
      <c r="X1615" s="17">
        <v>10</v>
      </c>
      <c r="Y1615" s="17">
        <f>data[[#This Row],[DeliveryDate]]-data[[#This Row],[ShipDate]]</f>
        <v>1</v>
      </c>
      <c r="Z1615" s="17" t="str">
        <f>IF(data[[#This Row],[Actual Delivery Days]]&gt;AD1616,"Yes","No")</f>
        <v>Yes</v>
      </c>
    </row>
    <row r="1616" spans="1:26">
      <c r="A1616" s="17">
        <v>10666</v>
      </c>
      <c r="B1616" s="17">
        <v>2</v>
      </c>
      <c r="C1616" s="17">
        <v>8</v>
      </c>
      <c r="D1616" s="17" t="s">
        <v>265</v>
      </c>
      <c r="E1616" s="17" t="s">
        <v>155</v>
      </c>
      <c r="F1616" s="17" t="str">
        <f>TEXT(data[[#This Row],[ShipDate]],"yyyy - mmmm")</f>
        <v>2016 - July</v>
      </c>
      <c r="G1616" s="17" t="str">
        <f>data[[#This Row],[OriginCity]] &amp; " - "  &amp; data[[#This Row],[DestinationCity]]</f>
        <v>Davenport - Appleton</v>
      </c>
      <c r="H1616" s="17" t="s">
        <v>105</v>
      </c>
      <c r="I1616" s="17" t="s">
        <v>106</v>
      </c>
      <c r="J1616" s="17">
        <v>1</v>
      </c>
      <c r="K1616" s="17" t="s">
        <v>85</v>
      </c>
      <c r="L1616" s="17" t="s">
        <v>29</v>
      </c>
      <c r="M1616" s="17" t="s">
        <v>553</v>
      </c>
      <c r="N1616" s="17">
        <v>863</v>
      </c>
      <c r="O1616" s="17">
        <v>305</v>
      </c>
      <c r="P1616" s="26">
        <f>(data[[#This Row],[LoadedMiles]]/data[[#This Row],[TotalMiles]])*100</f>
        <v>35.341830822711472</v>
      </c>
      <c r="Q1616" s="25">
        <f>data[[#This Row],[ShippingCost]]/data[[#This Row],[TotalMiles]]</f>
        <v>5.2178447276940902</v>
      </c>
      <c r="R1616" s="17">
        <v>4503</v>
      </c>
      <c r="S1616" s="25">
        <f>data[[#This Row],[Revenue]]/data[[#This Row],[TotalMiles]]</f>
        <v>5.6419466975666284</v>
      </c>
      <c r="T1616" s="26">
        <f>data[[#This Row],[Revenue]]-data[[#This Row],[ShippingCost]]</f>
        <v>366</v>
      </c>
      <c r="U1616" s="17">
        <v>4869</v>
      </c>
      <c r="V1616" s="17">
        <v>70</v>
      </c>
      <c r="W1616" s="17" t="s">
        <v>25</v>
      </c>
      <c r="X1616" s="17">
        <v>3</v>
      </c>
      <c r="Y1616" s="17">
        <f>data[[#This Row],[DeliveryDate]]-data[[#This Row],[ShipDate]]</f>
        <v>1</v>
      </c>
      <c r="Z1616" s="17" t="str">
        <f>IF(data[[#This Row],[Actual Delivery Days]]&gt;AD1617,"Yes","No")</f>
        <v>Yes</v>
      </c>
    </row>
    <row r="1617" spans="1:26">
      <c r="A1617" s="17">
        <v>10685</v>
      </c>
      <c r="B1617" s="17">
        <v>1</v>
      </c>
      <c r="C1617" s="17">
        <v>6</v>
      </c>
      <c r="D1617" s="17" t="s">
        <v>306</v>
      </c>
      <c r="E1617" s="17" t="s">
        <v>216</v>
      </c>
      <c r="F1617" s="17" t="str">
        <f>TEXT(data[[#This Row],[ShipDate]],"yyyy - mmmm")</f>
        <v>2016 - August</v>
      </c>
      <c r="G1617" s="17" t="str">
        <f>data[[#This Row],[OriginCity]] &amp; " - "  &amp; data[[#This Row],[DestinationCity]]</f>
        <v>Skokie - Chicago</v>
      </c>
      <c r="H1617" s="17" t="s">
        <v>35</v>
      </c>
      <c r="I1617" s="17" t="s">
        <v>31</v>
      </c>
      <c r="J1617" s="17">
        <v>1</v>
      </c>
      <c r="K1617" s="17" t="s">
        <v>39</v>
      </c>
      <c r="L1617" s="17" t="s">
        <v>31</v>
      </c>
      <c r="M1617" s="17" t="s">
        <v>119</v>
      </c>
      <c r="N1617" s="17">
        <v>987</v>
      </c>
      <c r="O1617" s="17">
        <v>250</v>
      </c>
      <c r="P1617" s="26">
        <f>(data[[#This Row],[LoadedMiles]]/data[[#This Row],[TotalMiles]])*100</f>
        <v>25.329280648429588</v>
      </c>
      <c r="Q1617" s="25">
        <f>data[[#This Row],[ShippingCost]]/data[[#This Row],[TotalMiles]]</f>
        <v>3.4984802431610942</v>
      </c>
      <c r="R1617" s="17">
        <v>3453</v>
      </c>
      <c r="S1617" s="25">
        <f>data[[#This Row],[Revenue]]/data[[#This Row],[TotalMiles]]</f>
        <v>3.9128672745694022</v>
      </c>
      <c r="T1617" s="26">
        <f>data[[#This Row],[Revenue]]-data[[#This Row],[ShippingCost]]</f>
        <v>409</v>
      </c>
      <c r="U1617" s="17">
        <v>3862</v>
      </c>
      <c r="V1617" s="17">
        <v>97</v>
      </c>
      <c r="W1617" s="17" t="s">
        <v>25</v>
      </c>
      <c r="X1617" s="17">
        <v>8</v>
      </c>
      <c r="Y1617" s="17">
        <f>data[[#This Row],[DeliveryDate]]-data[[#This Row],[ShipDate]]</f>
        <v>1</v>
      </c>
      <c r="Z1617" s="17" t="str">
        <f>IF(data[[#This Row],[Actual Delivery Days]]&gt;AD1618,"Yes","No")</f>
        <v>Yes</v>
      </c>
    </row>
    <row r="1618" spans="1:26">
      <c r="A1618" s="17">
        <v>10686</v>
      </c>
      <c r="B1618" s="17">
        <v>2</v>
      </c>
      <c r="C1618" s="17">
        <v>7</v>
      </c>
      <c r="D1618" s="17" t="s">
        <v>308</v>
      </c>
      <c r="E1618" s="17" t="s">
        <v>286</v>
      </c>
      <c r="F1618" s="17" t="str">
        <f>TEXT(data[[#This Row],[ShipDate]],"yyyy - mmmm")</f>
        <v>2016 - May</v>
      </c>
      <c r="G1618" s="17" t="str">
        <f>data[[#This Row],[OriginCity]] &amp; " - "  &amp; data[[#This Row],[DestinationCity]]</f>
        <v>Kalamazoo - Bangor</v>
      </c>
      <c r="H1618" s="17" t="s">
        <v>71</v>
      </c>
      <c r="I1618" s="17" t="s">
        <v>21</v>
      </c>
      <c r="J1618" s="17">
        <v>1</v>
      </c>
      <c r="K1618" s="17" t="s">
        <v>104</v>
      </c>
      <c r="L1618" s="17" t="s">
        <v>21</v>
      </c>
      <c r="M1618" s="17" t="s">
        <v>626</v>
      </c>
      <c r="N1618" s="17">
        <v>241</v>
      </c>
      <c r="O1618" s="17">
        <v>241</v>
      </c>
      <c r="P1618" s="26">
        <f>(data[[#This Row],[LoadedMiles]]/data[[#This Row],[TotalMiles]])*100</f>
        <v>100</v>
      </c>
      <c r="Q1618" s="25">
        <f>data[[#This Row],[ShippingCost]]/data[[#This Row],[TotalMiles]]</f>
        <v>10.385892116182573</v>
      </c>
      <c r="R1618" s="17">
        <v>2503</v>
      </c>
      <c r="S1618" s="25">
        <f>data[[#This Row],[Revenue]]/data[[#This Row],[TotalMiles]]</f>
        <v>12.937759336099585</v>
      </c>
      <c r="T1618" s="26">
        <f>data[[#This Row],[Revenue]]-data[[#This Row],[ShippingCost]]</f>
        <v>615</v>
      </c>
      <c r="U1618" s="17">
        <v>3118</v>
      </c>
      <c r="V1618" s="17">
        <v>73</v>
      </c>
      <c r="W1618" s="17" t="s">
        <v>25</v>
      </c>
      <c r="X1618" s="17">
        <v>1</v>
      </c>
      <c r="Y1618" s="17">
        <f>data[[#This Row],[DeliveryDate]]-data[[#This Row],[ShipDate]]</f>
        <v>1</v>
      </c>
      <c r="Z1618" s="17" t="str">
        <f>IF(data[[#This Row],[Actual Delivery Days]]&gt;AD1619,"Yes","No")</f>
        <v>Yes</v>
      </c>
    </row>
    <row r="1619" spans="1:26">
      <c r="A1619" s="17">
        <v>10687</v>
      </c>
      <c r="B1619" s="17">
        <v>2</v>
      </c>
      <c r="C1619" s="17">
        <v>8</v>
      </c>
      <c r="D1619" s="17" t="s">
        <v>311</v>
      </c>
      <c r="E1619" s="17" t="s">
        <v>522</v>
      </c>
      <c r="F1619" s="17" t="str">
        <f>TEXT(data[[#This Row],[ShipDate]],"yyyy - mmmm")</f>
        <v>2016 - February</v>
      </c>
      <c r="G1619" s="17" t="str">
        <f>data[[#This Row],[OriginCity]] &amp; " - "  &amp; data[[#This Row],[DestinationCity]]</f>
        <v>Davenport - Appleton</v>
      </c>
      <c r="H1619" s="17" t="s">
        <v>105</v>
      </c>
      <c r="I1619" s="17" t="s">
        <v>106</v>
      </c>
      <c r="J1619" s="17">
        <v>1</v>
      </c>
      <c r="K1619" s="17" t="s">
        <v>85</v>
      </c>
      <c r="L1619" s="17" t="s">
        <v>29</v>
      </c>
      <c r="M1619" s="17" t="s">
        <v>291</v>
      </c>
      <c r="N1619" s="17">
        <v>690</v>
      </c>
      <c r="O1619" s="17">
        <v>223</v>
      </c>
      <c r="P1619" s="26">
        <f>(data[[#This Row],[LoadedMiles]]/data[[#This Row],[TotalMiles]])*100</f>
        <v>32.318840579710148</v>
      </c>
      <c r="Q1619" s="25">
        <f>data[[#This Row],[ShippingCost]]/data[[#This Row],[TotalMiles]]</f>
        <v>11.315942028985507</v>
      </c>
      <c r="R1619" s="17">
        <v>7808</v>
      </c>
      <c r="S1619" s="25">
        <f>data[[#This Row],[Revenue]]/data[[#This Row],[TotalMiles]]</f>
        <v>12.321739130434782</v>
      </c>
      <c r="T1619" s="26">
        <f>data[[#This Row],[Revenue]]-data[[#This Row],[ShippingCost]]</f>
        <v>694</v>
      </c>
      <c r="U1619" s="17">
        <v>8502</v>
      </c>
      <c r="V1619" s="17">
        <v>85</v>
      </c>
      <c r="W1619" s="17" t="s">
        <v>25</v>
      </c>
      <c r="X1619" s="17">
        <v>2</v>
      </c>
      <c r="Y1619" s="17">
        <f>data[[#This Row],[DeliveryDate]]-data[[#This Row],[ShipDate]]</f>
        <v>1</v>
      </c>
      <c r="Z1619" s="17" t="str">
        <f>IF(data[[#This Row],[Actual Delivery Days]]&gt;AD1620,"Yes","No")</f>
        <v>Yes</v>
      </c>
    </row>
    <row r="1620" spans="1:26">
      <c r="A1620" s="17">
        <v>10701</v>
      </c>
      <c r="B1620" s="17">
        <v>1</v>
      </c>
      <c r="C1620" s="17">
        <v>4</v>
      </c>
      <c r="D1620" s="17" t="s">
        <v>334</v>
      </c>
      <c r="E1620" s="17" t="s">
        <v>139</v>
      </c>
      <c r="F1620" s="17" t="str">
        <f>TEXT(data[[#This Row],[ShipDate]],"yyyy - mmmm")</f>
        <v>2016 - August</v>
      </c>
      <c r="G1620" s="17" t="str">
        <f>data[[#This Row],[OriginCity]] &amp; " - "  &amp; data[[#This Row],[DestinationCity]]</f>
        <v>Appleton - Grand Rapids</v>
      </c>
      <c r="H1620" s="17" t="s">
        <v>85</v>
      </c>
      <c r="I1620" s="17" t="s">
        <v>29</v>
      </c>
      <c r="J1620" s="17">
        <v>1</v>
      </c>
      <c r="K1620" s="17" t="s">
        <v>20</v>
      </c>
      <c r="L1620" s="17" t="s">
        <v>21</v>
      </c>
      <c r="M1620" s="17" t="s">
        <v>587</v>
      </c>
      <c r="N1620" s="17">
        <v>542</v>
      </c>
      <c r="O1620" s="17">
        <v>542</v>
      </c>
      <c r="P1620" s="26">
        <f>(data[[#This Row],[LoadedMiles]]/data[[#This Row],[TotalMiles]])*100</f>
        <v>100</v>
      </c>
      <c r="Q1620" s="25">
        <f>data[[#This Row],[ShippingCost]]/data[[#This Row],[TotalMiles]]</f>
        <v>14.206642066420665</v>
      </c>
      <c r="R1620" s="17">
        <v>7700</v>
      </c>
      <c r="S1620" s="25">
        <f>data[[#This Row],[Revenue]]/data[[#This Row],[TotalMiles]]</f>
        <v>11.708487084870848</v>
      </c>
      <c r="T1620" s="26">
        <f>data[[#This Row],[Revenue]]-data[[#This Row],[ShippingCost]]</f>
        <v>-1354</v>
      </c>
      <c r="U1620" s="17">
        <v>6346</v>
      </c>
      <c r="V1620" s="17">
        <v>98</v>
      </c>
      <c r="W1620" s="17" t="s">
        <v>25</v>
      </c>
      <c r="X1620" s="17">
        <v>3</v>
      </c>
      <c r="Y1620" s="17">
        <f>data[[#This Row],[DeliveryDate]]-data[[#This Row],[ShipDate]]</f>
        <v>1</v>
      </c>
      <c r="Z1620" s="17" t="str">
        <f>IF(data[[#This Row],[Actual Delivery Days]]&gt;AD1621,"Yes","No")</f>
        <v>Yes</v>
      </c>
    </row>
    <row r="1621" spans="1:26">
      <c r="A1621" s="17">
        <v>10702</v>
      </c>
      <c r="B1621" s="17">
        <v>1</v>
      </c>
      <c r="C1621" s="17">
        <v>4</v>
      </c>
      <c r="D1621" s="17" t="s">
        <v>335</v>
      </c>
      <c r="E1621" s="17" t="s">
        <v>111</v>
      </c>
      <c r="F1621" s="17" t="str">
        <f>TEXT(data[[#This Row],[ShipDate]],"yyyy - mmmm")</f>
        <v>2016 - January</v>
      </c>
      <c r="G1621" s="17" t="str">
        <f>data[[#This Row],[OriginCity]] &amp; " - "  &amp; data[[#This Row],[DestinationCity]]</f>
        <v>Cincinnati - Gary</v>
      </c>
      <c r="H1621" s="17" t="s">
        <v>89</v>
      </c>
      <c r="I1621" s="17" t="s">
        <v>23</v>
      </c>
      <c r="J1621" s="17">
        <v>1</v>
      </c>
      <c r="K1621" s="17" t="s">
        <v>57</v>
      </c>
      <c r="L1621" s="17" t="s">
        <v>44</v>
      </c>
      <c r="M1621" s="17" t="s">
        <v>530</v>
      </c>
      <c r="N1621" s="17">
        <v>353</v>
      </c>
      <c r="O1621" s="17">
        <v>305</v>
      </c>
      <c r="P1621" s="26">
        <f>(data[[#This Row],[LoadedMiles]]/data[[#This Row],[TotalMiles]])*100</f>
        <v>86.40226628895185</v>
      </c>
      <c r="Q1621" s="25">
        <f>data[[#This Row],[ShippingCost]]/data[[#This Row],[TotalMiles]]</f>
        <v>12.875354107648725</v>
      </c>
      <c r="R1621" s="17">
        <v>4545</v>
      </c>
      <c r="S1621" s="25">
        <f>data[[#This Row],[Revenue]]/data[[#This Row],[TotalMiles]]</f>
        <v>8.8328611898016991</v>
      </c>
      <c r="T1621" s="26">
        <f>data[[#This Row],[Revenue]]-data[[#This Row],[ShippingCost]]</f>
        <v>-1427</v>
      </c>
      <c r="U1621" s="17">
        <v>3118</v>
      </c>
      <c r="V1621" s="17">
        <v>59</v>
      </c>
      <c r="W1621" s="17" t="s">
        <v>25</v>
      </c>
      <c r="X1621" s="17">
        <v>7</v>
      </c>
      <c r="Y1621" s="17">
        <f>data[[#This Row],[DeliveryDate]]-data[[#This Row],[ShipDate]]</f>
        <v>1</v>
      </c>
      <c r="Z1621" s="17" t="str">
        <f>IF(data[[#This Row],[Actual Delivery Days]]&gt;AD1622,"Yes","No")</f>
        <v>Yes</v>
      </c>
    </row>
    <row r="1622" spans="1:26">
      <c r="A1622" s="17">
        <v>10703</v>
      </c>
      <c r="B1622" s="17">
        <v>1</v>
      </c>
      <c r="C1622" s="17">
        <v>8</v>
      </c>
      <c r="D1622" s="17" t="s">
        <v>336</v>
      </c>
      <c r="E1622" s="17" t="s">
        <v>616</v>
      </c>
      <c r="F1622" s="17" t="str">
        <f>TEXT(data[[#This Row],[ShipDate]],"yyyy - mmmm")</f>
        <v>2016 - May</v>
      </c>
      <c r="G1622" s="17" t="str">
        <f>data[[#This Row],[OriginCity]] &amp; " - "  &amp; data[[#This Row],[DestinationCity]]</f>
        <v>Dayton - Elgin</v>
      </c>
      <c r="H1622" s="17" t="s">
        <v>93</v>
      </c>
      <c r="I1622" s="17" t="s">
        <v>23</v>
      </c>
      <c r="J1622" s="17">
        <v>1</v>
      </c>
      <c r="K1622" s="17" t="s">
        <v>94</v>
      </c>
      <c r="L1622" s="17" t="s">
        <v>31</v>
      </c>
      <c r="M1622" s="17" t="s">
        <v>509</v>
      </c>
      <c r="N1622" s="17">
        <v>1173</v>
      </c>
      <c r="O1622" s="17">
        <v>302</v>
      </c>
      <c r="P1622" s="26">
        <f>(data[[#This Row],[LoadedMiles]]/data[[#This Row],[TotalMiles]])*100</f>
        <v>25.745950554134701</v>
      </c>
      <c r="Q1622" s="25">
        <f>data[[#This Row],[ShippingCost]]/data[[#This Row],[TotalMiles]]</f>
        <v>3.452685421994885</v>
      </c>
      <c r="R1622" s="17">
        <v>4050</v>
      </c>
      <c r="S1622" s="25">
        <f>data[[#This Row],[Revenue]]/data[[#This Row],[TotalMiles]]</f>
        <v>4.1142369991474848</v>
      </c>
      <c r="T1622" s="26">
        <f>data[[#This Row],[Revenue]]-data[[#This Row],[ShippingCost]]</f>
        <v>776</v>
      </c>
      <c r="U1622" s="17">
        <v>4826</v>
      </c>
      <c r="V1622" s="17">
        <v>72</v>
      </c>
      <c r="W1622" s="17" t="s">
        <v>25</v>
      </c>
      <c r="X1622" s="17">
        <v>7</v>
      </c>
      <c r="Y1622" s="17">
        <f>data[[#This Row],[DeliveryDate]]-data[[#This Row],[ShipDate]]</f>
        <v>1</v>
      </c>
      <c r="Z1622" s="17" t="str">
        <f>IF(data[[#This Row],[Actual Delivery Days]]&gt;AD1623,"Yes","No")</f>
        <v>Yes</v>
      </c>
    </row>
    <row r="1623" spans="1:26">
      <c r="A1623" s="17">
        <v>10715</v>
      </c>
      <c r="B1623" s="17">
        <v>2</v>
      </c>
      <c r="C1623" s="17">
        <v>6</v>
      </c>
      <c r="D1623" s="17" t="s">
        <v>357</v>
      </c>
      <c r="E1623" s="17" t="s">
        <v>74</v>
      </c>
      <c r="F1623" s="17" t="str">
        <f>TEXT(data[[#This Row],[ShipDate]],"yyyy - mmmm")</f>
        <v>2016 - March</v>
      </c>
      <c r="G1623" s="17" t="str">
        <f>data[[#This Row],[OriginCity]] &amp; " - "  &amp; data[[#This Row],[DestinationCity]]</f>
        <v>Indianapolis - Northbrook</v>
      </c>
      <c r="H1623" s="17" t="s">
        <v>43</v>
      </c>
      <c r="I1623" s="17" t="s">
        <v>44</v>
      </c>
      <c r="J1623" s="17">
        <v>1</v>
      </c>
      <c r="K1623" s="17" t="s">
        <v>45</v>
      </c>
      <c r="L1623" s="17" t="s">
        <v>31</v>
      </c>
      <c r="M1623" s="17" t="s">
        <v>209</v>
      </c>
      <c r="N1623" s="17">
        <v>315</v>
      </c>
      <c r="O1623" s="17">
        <v>315</v>
      </c>
      <c r="P1623" s="26">
        <f>(data[[#This Row],[LoadedMiles]]/data[[#This Row],[TotalMiles]])*100</f>
        <v>100</v>
      </c>
      <c r="Q1623" s="25">
        <f>data[[#This Row],[ShippingCost]]/data[[#This Row],[TotalMiles]]</f>
        <v>15.961904761904762</v>
      </c>
      <c r="R1623" s="17">
        <v>5028</v>
      </c>
      <c r="S1623" s="25">
        <f>data[[#This Row],[Revenue]]/data[[#This Row],[TotalMiles]]</f>
        <v>16.603174603174605</v>
      </c>
      <c r="T1623" s="26">
        <f>data[[#This Row],[Revenue]]-data[[#This Row],[ShippingCost]]</f>
        <v>202</v>
      </c>
      <c r="U1623" s="17">
        <v>5230</v>
      </c>
      <c r="V1623" s="17">
        <v>97</v>
      </c>
      <c r="W1623" s="17" t="s">
        <v>25</v>
      </c>
      <c r="X1623" s="17">
        <v>5</v>
      </c>
      <c r="Y1623" s="17">
        <f>data[[#This Row],[DeliveryDate]]-data[[#This Row],[ShipDate]]</f>
        <v>1</v>
      </c>
      <c r="Z1623" s="17" t="str">
        <f>IF(data[[#This Row],[Actual Delivery Days]]&gt;AD1624,"Yes","No")</f>
        <v>Yes</v>
      </c>
    </row>
    <row r="1624" spans="1:26">
      <c r="A1624" s="17">
        <v>10718</v>
      </c>
      <c r="B1624" s="17">
        <v>2</v>
      </c>
      <c r="C1624" s="17">
        <v>6</v>
      </c>
      <c r="D1624" s="17" t="s">
        <v>361</v>
      </c>
      <c r="E1624" s="17" t="s">
        <v>623</v>
      </c>
      <c r="F1624" s="17" t="str">
        <f>TEXT(data[[#This Row],[ShipDate]],"yyyy - mmmm")</f>
        <v>2016 - April</v>
      </c>
      <c r="G1624" s="17" t="str">
        <f>data[[#This Row],[OriginCity]] &amp; " - "  &amp; data[[#This Row],[DestinationCity]]</f>
        <v>Joliet - Madison</v>
      </c>
      <c r="H1624" s="17" t="s">
        <v>61</v>
      </c>
      <c r="I1624" s="17" t="s">
        <v>31</v>
      </c>
      <c r="J1624" s="17">
        <v>1</v>
      </c>
      <c r="K1624" s="17" t="s">
        <v>62</v>
      </c>
      <c r="L1624" s="17" t="s">
        <v>29</v>
      </c>
      <c r="M1624" s="17" t="s">
        <v>623</v>
      </c>
      <c r="N1624" s="17">
        <v>254</v>
      </c>
      <c r="O1624" s="17">
        <v>254</v>
      </c>
      <c r="P1624" s="26">
        <f>(data[[#This Row],[LoadedMiles]]/data[[#This Row],[TotalMiles]])*100</f>
        <v>100</v>
      </c>
      <c r="Q1624" s="25">
        <f>data[[#This Row],[ShippingCost]]/data[[#This Row],[TotalMiles]]</f>
        <v>25.885826771653544</v>
      </c>
      <c r="R1624" s="17">
        <v>6575</v>
      </c>
      <c r="S1624" s="25">
        <f>data[[#This Row],[Revenue]]/data[[#This Row],[TotalMiles]]</f>
        <v>28.472440944881889</v>
      </c>
      <c r="T1624" s="26">
        <f>data[[#This Row],[Revenue]]-data[[#This Row],[ShippingCost]]</f>
        <v>657</v>
      </c>
      <c r="U1624" s="17">
        <v>7232</v>
      </c>
      <c r="V1624" s="17">
        <v>91</v>
      </c>
      <c r="W1624" s="17" t="s">
        <v>25</v>
      </c>
      <c r="X1624" s="17">
        <v>5</v>
      </c>
      <c r="Y1624" s="17">
        <f>data[[#This Row],[DeliveryDate]]-data[[#This Row],[ShipDate]]</f>
        <v>0</v>
      </c>
      <c r="Z1624" s="17" t="str">
        <f>IF(data[[#This Row],[Actual Delivery Days]]&gt;AD1625,"Yes","No")</f>
        <v>No</v>
      </c>
    </row>
    <row r="1625" spans="1:26">
      <c r="A1625" s="17">
        <v>10720</v>
      </c>
      <c r="B1625" s="17">
        <v>1</v>
      </c>
      <c r="C1625" s="17">
        <v>5</v>
      </c>
      <c r="D1625" s="17" t="s">
        <v>366</v>
      </c>
      <c r="E1625" s="17" t="s">
        <v>200</v>
      </c>
      <c r="F1625" s="17" t="str">
        <f>TEXT(data[[#This Row],[ShipDate]],"yyyy - mmmm")</f>
        <v>2016 - March</v>
      </c>
      <c r="G1625" s="17" t="str">
        <f>data[[#This Row],[OriginCity]] &amp; " - "  &amp; data[[#This Row],[DestinationCity]]</f>
        <v>Madison - Kalamazoo</v>
      </c>
      <c r="H1625" s="17" t="s">
        <v>62</v>
      </c>
      <c r="I1625" s="17" t="s">
        <v>29</v>
      </c>
      <c r="J1625" s="17">
        <v>1</v>
      </c>
      <c r="K1625" s="17" t="s">
        <v>71</v>
      </c>
      <c r="L1625" s="17" t="s">
        <v>21</v>
      </c>
      <c r="M1625" s="17" t="s">
        <v>381</v>
      </c>
      <c r="N1625" s="17">
        <v>679</v>
      </c>
      <c r="O1625" s="17">
        <v>522</v>
      </c>
      <c r="P1625" s="26">
        <f>(data[[#This Row],[LoadedMiles]]/data[[#This Row],[TotalMiles]])*100</f>
        <v>76.877761413843899</v>
      </c>
      <c r="Q1625" s="25">
        <f>data[[#This Row],[ShippingCost]]/data[[#This Row],[TotalMiles]]</f>
        <v>3.2650957290132547</v>
      </c>
      <c r="R1625" s="17">
        <v>2217</v>
      </c>
      <c r="S1625" s="25">
        <f>data[[#This Row],[Revenue]]/data[[#This Row],[TotalMiles]]</f>
        <v>4.4653902798232696</v>
      </c>
      <c r="T1625" s="26">
        <f>data[[#This Row],[Revenue]]-data[[#This Row],[ShippingCost]]</f>
        <v>815</v>
      </c>
      <c r="U1625" s="17">
        <v>3032</v>
      </c>
      <c r="V1625" s="17">
        <v>90</v>
      </c>
      <c r="W1625" s="17" t="s">
        <v>25</v>
      </c>
      <c r="X1625" s="17">
        <v>8</v>
      </c>
      <c r="Y1625" s="17">
        <f>data[[#This Row],[DeliveryDate]]-data[[#This Row],[ShipDate]]</f>
        <v>1</v>
      </c>
      <c r="Z1625" s="17" t="str">
        <f>IF(data[[#This Row],[Actual Delivery Days]]&gt;AD1626,"Yes","No")</f>
        <v>Yes</v>
      </c>
    </row>
    <row r="1626" spans="1:26">
      <c r="A1626" s="17">
        <v>10732</v>
      </c>
      <c r="B1626" s="17">
        <v>1</v>
      </c>
      <c r="C1626" s="17">
        <v>7</v>
      </c>
      <c r="D1626" s="17" t="s">
        <v>389</v>
      </c>
      <c r="E1626" s="17" t="s">
        <v>537</v>
      </c>
      <c r="F1626" s="17" t="str">
        <f>TEXT(data[[#This Row],[ShipDate]],"yyyy - mmmm")</f>
        <v>2016 - June</v>
      </c>
      <c r="G1626" s="17" t="str">
        <f>data[[#This Row],[OriginCity]] &amp; " - "  &amp; data[[#This Row],[DestinationCity]]</f>
        <v>Milwaukee - Springfield</v>
      </c>
      <c r="H1626" s="17" t="s">
        <v>28</v>
      </c>
      <c r="I1626" s="17" t="s">
        <v>29</v>
      </c>
      <c r="J1626" s="17">
        <v>1</v>
      </c>
      <c r="K1626" s="17" t="s">
        <v>30</v>
      </c>
      <c r="L1626" s="17" t="s">
        <v>31</v>
      </c>
      <c r="M1626" s="17" t="s">
        <v>318</v>
      </c>
      <c r="N1626" s="17">
        <v>793</v>
      </c>
      <c r="O1626" s="17">
        <v>674</v>
      </c>
      <c r="P1626" s="26">
        <f>(data[[#This Row],[LoadedMiles]]/data[[#This Row],[TotalMiles]])*100</f>
        <v>84.9936948297604</v>
      </c>
      <c r="Q1626" s="25">
        <f>data[[#This Row],[ShippingCost]]/data[[#This Row],[TotalMiles]]</f>
        <v>2.5851197982345524</v>
      </c>
      <c r="R1626" s="17">
        <v>2050</v>
      </c>
      <c r="S1626" s="25">
        <f>data[[#This Row],[Revenue]]/data[[#This Row],[TotalMiles]]</f>
        <v>3.5208070617906682</v>
      </c>
      <c r="T1626" s="26">
        <f>data[[#This Row],[Revenue]]-data[[#This Row],[ShippingCost]]</f>
        <v>742</v>
      </c>
      <c r="U1626" s="17">
        <v>2792</v>
      </c>
      <c r="V1626" s="17">
        <v>83</v>
      </c>
      <c r="W1626" s="17" t="s">
        <v>25</v>
      </c>
      <c r="X1626" s="17">
        <v>9</v>
      </c>
      <c r="Y1626" s="17">
        <f>data[[#This Row],[DeliveryDate]]-data[[#This Row],[ShipDate]]</f>
        <v>1</v>
      </c>
      <c r="Z1626" s="17" t="str">
        <f>IF(data[[#This Row],[Actual Delivery Days]]&gt;AD1627,"Yes","No")</f>
        <v>Yes</v>
      </c>
    </row>
    <row r="1627" spans="1:26">
      <c r="A1627" s="17">
        <v>10737</v>
      </c>
      <c r="B1627" s="17">
        <v>1</v>
      </c>
      <c r="C1627" s="17">
        <v>7</v>
      </c>
      <c r="D1627" s="17" t="s">
        <v>397</v>
      </c>
      <c r="E1627" s="17" t="s">
        <v>617</v>
      </c>
      <c r="F1627" s="17" t="str">
        <f>TEXT(data[[#This Row],[ShipDate]],"yyyy - mmmm")</f>
        <v>2016 - June</v>
      </c>
      <c r="G1627" s="17" t="str">
        <f>data[[#This Row],[OriginCity]] &amp; " - "  &amp; data[[#This Row],[DestinationCity]]</f>
        <v>Detriot - Monon</v>
      </c>
      <c r="H1627" s="17" t="s">
        <v>52</v>
      </c>
      <c r="I1627" s="17" t="s">
        <v>21</v>
      </c>
      <c r="J1627" s="17">
        <v>1</v>
      </c>
      <c r="K1627" s="17" t="s">
        <v>53</v>
      </c>
      <c r="L1627" s="17" t="s">
        <v>44</v>
      </c>
      <c r="M1627" s="17" t="s">
        <v>473</v>
      </c>
      <c r="N1627" s="17">
        <v>533</v>
      </c>
      <c r="O1627" s="17">
        <v>370</v>
      </c>
      <c r="P1627" s="26">
        <f>(data[[#This Row],[LoadedMiles]]/data[[#This Row],[TotalMiles]])*100</f>
        <v>69.418386491557229</v>
      </c>
      <c r="Q1627" s="25">
        <f>data[[#This Row],[ShippingCost]]/data[[#This Row],[TotalMiles]]</f>
        <v>2.1613508442776737</v>
      </c>
      <c r="R1627" s="17">
        <v>1152</v>
      </c>
      <c r="S1627" s="25">
        <f>data[[#This Row],[Revenue]]/data[[#This Row],[TotalMiles]]</f>
        <v>3.4015009380863042</v>
      </c>
      <c r="T1627" s="26">
        <f>data[[#This Row],[Revenue]]-data[[#This Row],[ShippingCost]]</f>
        <v>661</v>
      </c>
      <c r="U1627" s="17">
        <v>1813</v>
      </c>
      <c r="V1627" s="17">
        <v>58</v>
      </c>
      <c r="W1627" s="17" t="s">
        <v>25</v>
      </c>
      <c r="X1627" s="17">
        <v>3</v>
      </c>
      <c r="Y1627" s="17">
        <f>data[[#This Row],[DeliveryDate]]-data[[#This Row],[ShipDate]]</f>
        <v>1</v>
      </c>
      <c r="Z1627" s="17" t="str">
        <f>IF(data[[#This Row],[Actual Delivery Days]]&gt;AD1628,"Yes","No")</f>
        <v>Yes</v>
      </c>
    </row>
    <row r="1628" spans="1:26">
      <c r="A1628" s="17">
        <v>10739</v>
      </c>
      <c r="B1628" s="17">
        <v>1</v>
      </c>
      <c r="C1628" s="17">
        <v>5</v>
      </c>
      <c r="D1628" s="17" t="s">
        <v>402</v>
      </c>
      <c r="E1628" s="17" t="s">
        <v>171</v>
      </c>
      <c r="F1628" s="17" t="str">
        <f>TEXT(data[[#This Row],[ShipDate]],"yyyy - mmmm")</f>
        <v>2016 - April</v>
      </c>
      <c r="G1628" s="17" t="str">
        <f>data[[#This Row],[OriginCity]] &amp; " - "  &amp; data[[#This Row],[DestinationCity]]</f>
        <v>Madison - Kalamazoo</v>
      </c>
      <c r="H1628" s="17" t="s">
        <v>62</v>
      </c>
      <c r="I1628" s="17" t="s">
        <v>29</v>
      </c>
      <c r="J1628" s="17">
        <v>1</v>
      </c>
      <c r="K1628" s="17" t="s">
        <v>71</v>
      </c>
      <c r="L1628" s="17" t="s">
        <v>21</v>
      </c>
      <c r="M1628" s="17" t="s">
        <v>98</v>
      </c>
      <c r="N1628" s="17">
        <v>334</v>
      </c>
      <c r="O1628" s="17">
        <v>253</v>
      </c>
      <c r="P1628" s="26">
        <f>(data[[#This Row],[LoadedMiles]]/data[[#This Row],[TotalMiles]])*100</f>
        <v>75.748502994011986</v>
      </c>
      <c r="Q1628" s="25">
        <f>data[[#This Row],[ShippingCost]]/data[[#This Row],[TotalMiles]]</f>
        <v>23.526946107784433</v>
      </c>
      <c r="R1628" s="17">
        <v>7858</v>
      </c>
      <c r="S1628" s="25">
        <f>data[[#This Row],[Revenue]]/data[[#This Row],[TotalMiles]]</f>
        <v>25.131736526946106</v>
      </c>
      <c r="T1628" s="26">
        <f>data[[#This Row],[Revenue]]-data[[#This Row],[ShippingCost]]</f>
        <v>536</v>
      </c>
      <c r="U1628" s="17">
        <v>8394</v>
      </c>
      <c r="V1628" s="17">
        <v>91</v>
      </c>
      <c r="W1628" s="17" t="s">
        <v>25</v>
      </c>
      <c r="X1628" s="17">
        <v>8</v>
      </c>
      <c r="Y1628" s="17">
        <f>data[[#This Row],[DeliveryDate]]-data[[#This Row],[ShipDate]]</f>
        <v>1</v>
      </c>
      <c r="Z1628" s="17" t="str">
        <f>IF(data[[#This Row],[Actual Delivery Days]]&gt;AD1629,"Yes","No")</f>
        <v>Yes</v>
      </c>
    </row>
    <row r="1629" spans="1:26">
      <c r="A1629" s="17">
        <v>10747</v>
      </c>
      <c r="B1629" s="17">
        <v>2</v>
      </c>
      <c r="C1629" s="17">
        <v>5</v>
      </c>
      <c r="D1629" s="17" t="s">
        <v>419</v>
      </c>
      <c r="E1629" s="17" t="s">
        <v>415</v>
      </c>
      <c r="F1629" s="17" t="str">
        <f>TEXT(data[[#This Row],[ShipDate]],"yyyy - mmmm")</f>
        <v>2016 - August</v>
      </c>
      <c r="G1629" s="17" t="str">
        <f>data[[#This Row],[OriginCity]] &amp; " - "  &amp; data[[#This Row],[DestinationCity]]</f>
        <v>Bangor - Davenport</v>
      </c>
      <c r="H1629" s="17" t="s">
        <v>104</v>
      </c>
      <c r="I1629" s="17" t="s">
        <v>21</v>
      </c>
      <c r="J1629" s="17">
        <v>1</v>
      </c>
      <c r="K1629" s="17" t="s">
        <v>105</v>
      </c>
      <c r="L1629" s="17" t="s">
        <v>106</v>
      </c>
      <c r="M1629" s="17" t="s">
        <v>416</v>
      </c>
      <c r="N1629" s="17">
        <v>1144</v>
      </c>
      <c r="O1629" s="17">
        <v>470</v>
      </c>
      <c r="P1629" s="26">
        <f>(data[[#This Row],[LoadedMiles]]/data[[#This Row],[TotalMiles]])*100</f>
        <v>41.08391608391608</v>
      </c>
      <c r="Q1629" s="25">
        <f>data[[#This Row],[ShippingCost]]/data[[#This Row],[TotalMiles]]</f>
        <v>4.9982517482517483</v>
      </c>
      <c r="R1629" s="17">
        <v>5718</v>
      </c>
      <c r="S1629" s="25">
        <f>data[[#This Row],[Revenue]]/data[[#This Row],[TotalMiles]]</f>
        <v>5.1424825174825175</v>
      </c>
      <c r="T1629" s="26">
        <f>data[[#This Row],[Revenue]]-data[[#This Row],[ShippingCost]]</f>
        <v>165</v>
      </c>
      <c r="U1629" s="17">
        <v>5883</v>
      </c>
      <c r="V1629" s="17">
        <v>70</v>
      </c>
      <c r="W1629" s="17" t="s">
        <v>25</v>
      </c>
      <c r="X1629" s="17">
        <v>3</v>
      </c>
      <c r="Y1629" s="17">
        <f>data[[#This Row],[DeliveryDate]]-data[[#This Row],[ShipDate]]</f>
        <v>1</v>
      </c>
      <c r="Z1629" s="17" t="str">
        <f>IF(data[[#This Row],[Actual Delivery Days]]&gt;AD1630,"Yes","No")</f>
        <v>Yes</v>
      </c>
    </row>
    <row r="1630" spans="1:26">
      <c r="A1630" s="17">
        <v>10756</v>
      </c>
      <c r="B1630" s="17">
        <v>1</v>
      </c>
      <c r="C1630" s="17">
        <v>5</v>
      </c>
      <c r="D1630" s="17" t="s">
        <v>434</v>
      </c>
      <c r="E1630" s="17" t="s">
        <v>191</v>
      </c>
      <c r="F1630" s="17" t="str">
        <f>TEXT(data[[#This Row],[ShipDate]],"yyyy - mmmm")</f>
        <v>2016 - July</v>
      </c>
      <c r="G1630" s="17" t="str">
        <f>data[[#This Row],[OriginCity]] &amp; " - "  &amp; data[[#This Row],[DestinationCity]]</f>
        <v>Detriot - Monon</v>
      </c>
      <c r="H1630" s="17" t="s">
        <v>52</v>
      </c>
      <c r="I1630" s="17" t="s">
        <v>21</v>
      </c>
      <c r="J1630" s="17">
        <v>1</v>
      </c>
      <c r="K1630" s="17" t="s">
        <v>53</v>
      </c>
      <c r="L1630" s="17" t="s">
        <v>44</v>
      </c>
      <c r="M1630" s="17" t="s">
        <v>179</v>
      </c>
      <c r="N1630" s="17">
        <v>1003</v>
      </c>
      <c r="O1630" s="17">
        <v>387</v>
      </c>
      <c r="P1630" s="26">
        <f>(data[[#This Row],[LoadedMiles]]/data[[#This Row],[TotalMiles]])*100</f>
        <v>38.584247258225325</v>
      </c>
      <c r="Q1630" s="25">
        <f>data[[#This Row],[ShippingCost]]/data[[#This Row],[TotalMiles]]</f>
        <v>2.7976071784646064</v>
      </c>
      <c r="R1630" s="17">
        <v>2806</v>
      </c>
      <c r="S1630" s="25">
        <f>data[[#This Row],[Revenue]]/data[[#This Row],[TotalMiles]]</f>
        <v>3.0608175473579262</v>
      </c>
      <c r="T1630" s="26">
        <f>data[[#This Row],[Revenue]]-data[[#This Row],[ShippingCost]]</f>
        <v>264</v>
      </c>
      <c r="U1630" s="17">
        <v>3070</v>
      </c>
      <c r="V1630" s="17">
        <v>86</v>
      </c>
      <c r="W1630" s="17" t="s">
        <v>25</v>
      </c>
      <c r="X1630" s="17">
        <v>7</v>
      </c>
      <c r="Y1630" s="17">
        <f>data[[#This Row],[DeliveryDate]]-data[[#This Row],[ShipDate]]</f>
        <v>1</v>
      </c>
      <c r="Z1630" s="17" t="str">
        <f>IF(data[[#This Row],[Actual Delivery Days]]&gt;AD1631,"Yes","No")</f>
        <v>Yes</v>
      </c>
    </row>
    <row r="1631" spans="1:26">
      <c r="A1631" s="17">
        <v>10764</v>
      </c>
      <c r="B1631" s="17">
        <v>2</v>
      </c>
      <c r="C1631" s="17">
        <v>6</v>
      </c>
      <c r="D1631" s="17" t="s">
        <v>446</v>
      </c>
      <c r="E1631" s="17" t="s">
        <v>447</v>
      </c>
      <c r="F1631" s="17" t="str">
        <f>TEXT(data[[#This Row],[ShipDate]],"yyyy - mmmm")</f>
        <v>2016 - January</v>
      </c>
      <c r="G1631" s="17" t="str">
        <f>data[[#This Row],[OriginCity]] &amp; " - "  &amp; data[[#This Row],[DestinationCity]]</f>
        <v>Appleton - Grand Rapids</v>
      </c>
      <c r="H1631" s="17" t="s">
        <v>85</v>
      </c>
      <c r="I1631" s="17" t="s">
        <v>29</v>
      </c>
      <c r="J1631" s="17">
        <v>1</v>
      </c>
      <c r="K1631" s="17" t="s">
        <v>20</v>
      </c>
      <c r="L1631" s="17" t="s">
        <v>21</v>
      </c>
      <c r="M1631" s="17" t="s">
        <v>229</v>
      </c>
      <c r="N1631" s="17">
        <v>686</v>
      </c>
      <c r="O1631" s="17">
        <v>650</v>
      </c>
      <c r="P1631" s="26">
        <f>(data[[#This Row],[LoadedMiles]]/data[[#This Row],[TotalMiles]])*100</f>
        <v>94.75218658892129</v>
      </c>
      <c r="Q1631" s="25">
        <f>data[[#This Row],[ShippingCost]]/data[[#This Row],[TotalMiles]]</f>
        <v>12.058309037900875</v>
      </c>
      <c r="R1631" s="17">
        <v>8272</v>
      </c>
      <c r="S1631" s="25">
        <f>data[[#This Row],[Revenue]]/data[[#This Row],[TotalMiles]]</f>
        <v>12.43002915451895</v>
      </c>
      <c r="T1631" s="26">
        <f>data[[#This Row],[Revenue]]-data[[#This Row],[ShippingCost]]</f>
        <v>255</v>
      </c>
      <c r="U1631" s="17">
        <v>8527</v>
      </c>
      <c r="V1631" s="17">
        <v>62</v>
      </c>
      <c r="W1631" s="17" t="s">
        <v>86</v>
      </c>
      <c r="X1631" s="17">
        <v>2</v>
      </c>
      <c r="Y1631" s="17">
        <f>data[[#This Row],[DeliveryDate]]-data[[#This Row],[ShipDate]]</f>
        <v>1</v>
      </c>
      <c r="Z1631" s="17" t="str">
        <f>IF(data[[#This Row],[Actual Delivery Days]]&gt;AD1632,"Yes","No")</f>
        <v>Yes</v>
      </c>
    </row>
    <row r="1632" spans="1:26">
      <c r="A1632" s="17">
        <v>10767</v>
      </c>
      <c r="B1632" s="17">
        <v>1</v>
      </c>
      <c r="C1632" s="17">
        <v>6</v>
      </c>
      <c r="D1632" s="17" t="s">
        <v>451</v>
      </c>
      <c r="E1632" s="17" t="s">
        <v>609</v>
      </c>
      <c r="F1632" s="17" t="str">
        <f>TEXT(data[[#This Row],[ShipDate]],"yyyy - mmmm")</f>
        <v>2016 - April</v>
      </c>
      <c r="G1632" s="17" t="str">
        <f>data[[#This Row],[OriginCity]] &amp; " - "  &amp; data[[#This Row],[DestinationCity]]</f>
        <v>Toledo - Detriot</v>
      </c>
      <c r="H1632" s="17" t="s">
        <v>22</v>
      </c>
      <c r="I1632" s="17" t="s">
        <v>23</v>
      </c>
      <c r="J1632" s="17">
        <v>1</v>
      </c>
      <c r="K1632" s="17" t="s">
        <v>52</v>
      </c>
      <c r="L1632" s="17" t="s">
        <v>21</v>
      </c>
      <c r="M1632" s="17" t="s">
        <v>67</v>
      </c>
      <c r="N1632" s="17">
        <v>340</v>
      </c>
      <c r="O1632" s="17">
        <v>340</v>
      </c>
      <c r="P1632" s="26">
        <f>(data[[#This Row],[LoadedMiles]]/data[[#This Row],[TotalMiles]])*100</f>
        <v>100</v>
      </c>
      <c r="Q1632" s="25">
        <f>data[[#This Row],[ShippingCost]]/data[[#This Row],[TotalMiles]]</f>
        <v>9.2617647058823529</v>
      </c>
      <c r="R1632" s="17">
        <v>3149</v>
      </c>
      <c r="S1632" s="25">
        <f>data[[#This Row],[Revenue]]/data[[#This Row],[TotalMiles]]</f>
        <v>11.426470588235293</v>
      </c>
      <c r="T1632" s="26">
        <f>data[[#This Row],[Revenue]]-data[[#This Row],[ShippingCost]]</f>
        <v>736</v>
      </c>
      <c r="U1632" s="17">
        <v>3885</v>
      </c>
      <c r="V1632" s="17">
        <v>96</v>
      </c>
      <c r="W1632" s="17" t="s">
        <v>25</v>
      </c>
      <c r="X1632" s="17">
        <v>3</v>
      </c>
      <c r="Y1632" s="17">
        <f>data[[#This Row],[DeliveryDate]]-data[[#This Row],[ShipDate]]</f>
        <v>1</v>
      </c>
      <c r="Z1632" s="17" t="str">
        <f>IF(data[[#This Row],[Actual Delivery Days]]&gt;AD1633,"Yes","No")</f>
        <v>Yes</v>
      </c>
    </row>
    <row r="1633" spans="1:26">
      <c r="A1633" s="17">
        <v>10771</v>
      </c>
      <c r="B1633" s="17">
        <v>1</v>
      </c>
      <c r="C1633" s="17">
        <v>5</v>
      </c>
      <c r="D1633" s="17" t="s">
        <v>457</v>
      </c>
      <c r="E1633" s="17" t="s">
        <v>211</v>
      </c>
      <c r="F1633" s="17" t="str">
        <f>TEXT(data[[#This Row],[ShipDate]],"yyyy - mmmm")</f>
        <v>2016 - August</v>
      </c>
      <c r="G1633" s="17" t="str">
        <f>data[[#This Row],[OriginCity]] &amp; " - "  &amp; data[[#This Row],[DestinationCity]]</f>
        <v>Skokie - Chicago</v>
      </c>
      <c r="H1633" s="17" t="s">
        <v>35</v>
      </c>
      <c r="I1633" s="17" t="s">
        <v>31</v>
      </c>
      <c r="J1633" s="17">
        <v>1</v>
      </c>
      <c r="K1633" s="17" t="s">
        <v>39</v>
      </c>
      <c r="L1633" s="17" t="s">
        <v>31</v>
      </c>
      <c r="M1633" s="17" t="s">
        <v>142</v>
      </c>
      <c r="N1633" s="17">
        <v>868</v>
      </c>
      <c r="O1633" s="17">
        <v>721</v>
      </c>
      <c r="P1633" s="26">
        <f>(data[[#This Row],[LoadedMiles]]/data[[#This Row],[TotalMiles]])*100</f>
        <v>83.064516129032256</v>
      </c>
      <c r="Q1633" s="25">
        <f>data[[#This Row],[ShippingCost]]/data[[#This Row],[TotalMiles]]</f>
        <v>2.9907834101382487</v>
      </c>
      <c r="R1633" s="17">
        <v>2596</v>
      </c>
      <c r="S1633" s="25">
        <f>data[[#This Row],[Revenue]]/data[[#This Row],[TotalMiles]]</f>
        <v>3.5184331797235022</v>
      </c>
      <c r="T1633" s="26">
        <f>data[[#This Row],[Revenue]]-data[[#This Row],[ShippingCost]]</f>
        <v>458</v>
      </c>
      <c r="U1633" s="17">
        <v>3054</v>
      </c>
      <c r="V1633" s="17">
        <v>73</v>
      </c>
      <c r="W1633" s="17" t="s">
        <v>25</v>
      </c>
      <c r="X1633" s="17">
        <v>2</v>
      </c>
      <c r="Y1633" s="17">
        <f>data[[#This Row],[DeliveryDate]]-data[[#This Row],[ShipDate]]</f>
        <v>1</v>
      </c>
      <c r="Z1633" s="17" t="str">
        <f>IF(data[[#This Row],[Actual Delivery Days]]&gt;AD1634,"Yes","No")</f>
        <v>Yes</v>
      </c>
    </row>
    <row r="1634" spans="1:26">
      <c r="A1634" s="17">
        <v>10775</v>
      </c>
      <c r="B1634" s="17">
        <v>1</v>
      </c>
      <c r="C1634" s="17">
        <v>8</v>
      </c>
      <c r="D1634" s="17" t="s">
        <v>463</v>
      </c>
      <c r="E1634" s="17" t="s">
        <v>522</v>
      </c>
      <c r="F1634" s="17" t="str">
        <f>TEXT(data[[#This Row],[ShipDate]],"yyyy - mmmm")</f>
        <v>2016 - February</v>
      </c>
      <c r="G1634" s="17" t="str">
        <f>data[[#This Row],[OriginCity]] &amp; " - "  &amp; data[[#This Row],[DestinationCity]]</f>
        <v>Milwaukee - Springfield</v>
      </c>
      <c r="H1634" s="17" t="s">
        <v>28</v>
      </c>
      <c r="I1634" s="17" t="s">
        <v>29</v>
      </c>
      <c r="J1634" s="17">
        <v>1</v>
      </c>
      <c r="K1634" s="17" t="s">
        <v>30</v>
      </c>
      <c r="L1634" s="17" t="s">
        <v>31</v>
      </c>
      <c r="M1634" s="17" t="s">
        <v>291</v>
      </c>
      <c r="N1634" s="17">
        <v>1101</v>
      </c>
      <c r="O1634" s="17">
        <v>414</v>
      </c>
      <c r="P1634" s="26">
        <f>(data[[#This Row],[LoadedMiles]]/data[[#This Row],[TotalMiles]])*100</f>
        <v>37.602179836512263</v>
      </c>
      <c r="Q1634" s="25">
        <f>data[[#This Row],[ShippingCost]]/data[[#This Row],[TotalMiles]]</f>
        <v>7.0408719346049047</v>
      </c>
      <c r="R1634" s="17">
        <v>7752</v>
      </c>
      <c r="S1634" s="25">
        <f>data[[#This Row],[Revenue]]/data[[#This Row],[TotalMiles]]</f>
        <v>7.73841961852861</v>
      </c>
      <c r="T1634" s="26">
        <f>data[[#This Row],[Revenue]]-data[[#This Row],[ShippingCost]]</f>
        <v>768</v>
      </c>
      <c r="U1634" s="17">
        <v>8520</v>
      </c>
      <c r="V1634" s="17">
        <v>50</v>
      </c>
      <c r="W1634" s="17" t="s">
        <v>25</v>
      </c>
      <c r="X1634" s="17">
        <v>1</v>
      </c>
      <c r="Y1634" s="17">
        <f>data[[#This Row],[DeliveryDate]]-data[[#This Row],[ShipDate]]</f>
        <v>1</v>
      </c>
      <c r="Z1634" s="17" t="str">
        <f>IF(data[[#This Row],[Actual Delivery Days]]&gt;AD1635,"Yes","No")</f>
        <v>Yes</v>
      </c>
    </row>
    <row r="1635" spans="1:26">
      <c r="A1635" s="17">
        <v>10784</v>
      </c>
      <c r="B1635" s="17">
        <v>2</v>
      </c>
      <c r="C1635" s="17">
        <v>7</v>
      </c>
      <c r="D1635" s="17" t="s">
        <v>477</v>
      </c>
      <c r="E1635" s="17" t="s">
        <v>439</v>
      </c>
      <c r="F1635" s="17" t="str">
        <f>TEXT(data[[#This Row],[ShipDate]],"yyyy - mmmm")</f>
        <v>2016 - June</v>
      </c>
      <c r="G1635" s="17" t="str">
        <f>data[[#This Row],[OriginCity]] &amp; " - "  &amp; data[[#This Row],[DestinationCity]]</f>
        <v>Green Bay - Joliet</v>
      </c>
      <c r="H1635" s="17" t="s">
        <v>75</v>
      </c>
      <c r="I1635" s="17" t="s">
        <v>29</v>
      </c>
      <c r="J1635" s="17">
        <v>1</v>
      </c>
      <c r="K1635" s="17" t="s">
        <v>61</v>
      </c>
      <c r="L1635" s="17" t="s">
        <v>31</v>
      </c>
      <c r="M1635" s="17" t="s">
        <v>399</v>
      </c>
      <c r="N1635" s="17">
        <v>515</v>
      </c>
      <c r="O1635" s="17">
        <v>515</v>
      </c>
      <c r="P1635" s="26">
        <f>(data[[#This Row],[LoadedMiles]]/data[[#This Row],[TotalMiles]])*100</f>
        <v>100</v>
      </c>
      <c r="Q1635" s="25">
        <f>data[[#This Row],[ShippingCost]]/data[[#This Row],[TotalMiles]]</f>
        <v>15.848543689320389</v>
      </c>
      <c r="R1635" s="17">
        <v>8162</v>
      </c>
      <c r="S1635" s="25">
        <f>data[[#This Row],[Revenue]]/data[[#This Row],[TotalMiles]]</f>
        <v>17.079611650485436</v>
      </c>
      <c r="T1635" s="26">
        <f>data[[#This Row],[Revenue]]-data[[#This Row],[ShippingCost]]</f>
        <v>634</v>
      </c>
      <c r="U1635" s="17">
        <v>8796</v>
      </c>
      <c r="V1635" s="17">
        <v>50</v>
      </c>
      <c r="W1635" s="17" t="s">
        <v>25</v>
      </c>
      <c r="X1635" s="17">
        <v>7</v>
      </c>
      <c r="Y1635" s="17">
        <f>data[[#This Row],[DeliveryDate]]-data[[#This Row],[ShipDate]]</f>
        <v>1</v>
      </c>
      <c r="Z1635" s="17" t="str">
        <f>IF(data[[#This Row],[Actual Delivery Days]]&gt;AD1636,"Yes","No")</f>
        <v>Yes</v>
      </c>
    </row>
    <row r="1636" spans="1:26">
      <c r="A1636" s="17">
        <v>10790</v>
      </c>
      <c r="B1636" s="17">
        <v>1</v>
      </c>
      <c r="C1636" s="17">
        <v>8</v>
      </c>
      <c r="D1636" s="17" t="s">
        <v>484</v>
      </c>
      <c r="E1636" s="17" t="s">
        <v>54</v>
      </c>
      <c r="F1636" s="17" t="str">
        <f>TEXT(data[[#This Row],[ShipDate]],"yyyy - mmmm")</f>
        <v>2016 - April</v>
      </c>
      <c r="G1636" s="17" t="str">
        <f>data[[#This Row],[OriginCity]] &amp; " - "  &amp; data[[#This Row],[DestinationCity]]</f>
        <v>Toledo - Detriot</v>
      </c>
      <c r="H1636" s="17" t="s">
        <v>22</v>
      </c>
      <c r="I1636" s="17" t="s">
        <v>23</v>
      </c>
      <c r="J1636" s="17">
        <v>1</v>
      </c>
      <c r="K1636" s="17" t="s">
        <v>52</v>
      </c>
      <c r="L1636" s="17" t="s">
        <v>21</v>
      </c>
      <c r="M1636" s="17" t="s">
        <v>65</v>
      </c>
      <c r="N1636" s="17">
        <v>1005</v>
      </c>
      <c r="O1636" s="17">
        <v>592</v>
      </c>
      <c r="P1636" s="26">
        <f>(data[[#This Row],[LoadedMiles]]/data[[#This Row],[TotalMiles]])*100</f>
        <v>58.905472636815922</v>
      </c>
      <c r="Q1636" s="25">
        <f>data[[#This Row],[ShippingCost]]/data[[#This Row],[TotalMiles]]</f>
        <v>8.0318407960198996</v>
      </c>
      <c r="R1636" s="17">
        <v>8072</v>
      </c>
      <c r="S1636" s="25">
        <f>data[[#This Row],[Revenue]]/data[[#This Row],[TotalMiles]]</f>
        <v>8.8905472636815919</v>
      </c>
      <c r="T1636" s="26">
        <f>data[[#This Row],[Revenue]]-data[[#This Row],[ShippingCost]]</f>
        <v>863</v>
      </c>
      <c r="U1636" s="17">
        <v>8935</v>
      </c>
      <c r="V1636" s="17">
        <v>67</v>
      </c>
      <c r="W1636" s="17" t="s">
        <v>25</v>
      </c>
      <c r="X1636" s="17">
        <v>7</v>
      </c>
      <c r="Y1636" s="17">
        <f>data[[#This Row],[DeliveryDate]]-data[[#This Row],[ShipDate]]</f>
        <v>1</v>
      </c>
      <c r="Z1636" s="17" t="str">
        <f>IF(data[[#This Row],[Actual Delivery Days]]&gt;AD1637,"Yes","No")</f>
        <v>Yes</v>
      </c>
    </row>
    <row r="1637" spans="1:26">
      <c r="A1637" s="17">
        <v>10801</v>
      </c>
      <c r="B1637" s="17">
        <v>2</v>
      </c>
      <c r="C1637" s="17">
        <v>8</v>
      </c>
      <c r="D1637" s="17" t="s">
        <v>500</v>
      </c>
      <c r="E1637" s="17" t="s">
        <v>274</v>
      </c>
      <c r="F1637" s="17" t="str">
        <f>TEXT(data[[#This Row],[ShipDate]],"yyyy - mmmm")</f>
        <v>2016 - March</v>
      </c>
      <c r="G1637" s="17" t="str">
        <f>data[[#This Row],[OriginCity]] &amp; " - "  &amp; data[[#This Row],[DestinationCity]]</f>
        <v>Detriot - Monon</v>
      </c>
      <c r="H1637" s="17" t="s">
        <v>52</v>
      </c>
      <c r="I1637" s="17" t="s">
        <v>21</v>
      </c>
      <c r="J1637" s="17">
        <v>1</v>
      </c>
      <c r="K1637" s="17" t="s">
        <v>53</v>
      </c>
      <c r="L1637" s="17" t="s">
        <v>44</v>
      </c>
      <c r="M1637" s="17" t="s">
        <v>81</v>
      </c>
      <c r="N1637" s="17">
        <v>304</v>
      </c>
      <c r="O1637" s="17">
        <v>304</v>
      </c>
      <c r="P1637" s="26">
        <f>(data[[#This Row],[LoadedMiles]]/data[[#This Row],[TotalMiles]])*100</f>
        <v>100</v>
      </c>
      <c r="Q1637" s="25">
        <f>data[[#This Row],[ShippingCost]]/data[[#This Row],[TotalMiles]]</f>
        <v>23.095394736842106</v>
      </c>
      <c r="R1637" s="17">
        <v>7021</v>
      </c>
      <c r="S1637" s="25">
        <f>data[[#This Row],[Revenue]]/data[[#This Row],[TotalMiles]]</f>
        <v>26.13486842105263</v>
      </c>
      <c r="T1637" s="26">
        <f>data[[#This Row],[Revenue]]-data[[#This Row],[ShippingCost]]</f>
        <v>924</v>
      </c>
      <c r="U1637" s="17">
        <v>7945</v>
      </c>
      <c r="V1637" s="17">
        <v>60</v>
      </c>
      <c r="W1637" s="17" t="s">
        <v>86</v>
      </c>
      <c r="X1637" s="17">
        <v>1</v>
      </c>
      <c r="Y1637" s="17">
        <f>data[[#This Row],[DeliveryDate]]-data[[#This Row],[ShipDate]]</f>
        <v>1</v>
      </c>
      <c r="Z1637" s="17" t="str">
        <f>IF(data[[#This Row],[Actual Delivery Days]]&gt;AD1638,"Yes","No")</f>
        <v>Yes</v>
      </c>
    </row>
    <row r="1638" spans="1:26">
      <c r="A1638" s="17">
        <v>10810</v>
      </c>
      <c r="B1638" s="17">
        <v>2</v>
      </c>
      <c r="C1638" s="17">
        <v>6</v>
      </c>
      <c r="D1638" s="17" t="s">
        <v>512</v>
      </c>
      <c r="E1638" s="17" t="s">
        <v>394</v>
      </c>
      <c r="F1638" s="17" t="str">
        <f>TEXT(data[[#This Row],[ShipDate]],"yyyy - mmmm")</f>
        <v>2016 - January</v>
      </c>
      <c r="G1638" s="17" t="str">
        <f>data[[#This Row],[OriginCity]] &amp; " - "  &amp; data[[#This Row],[DestinationCity]]</f>
        <v>Toledo - Detriot</v>
      </c>
      <c r="H1638" s="17" t="s">
        <v>22</v>
      </c>
      <c r="I1638" s="17" t="s">
        <v>23</v>
      </c>
      <c r="J1638" s="17">
        <v>1</v>
      </c>
      <c r="K1638" s="17" t="s">
        <v>52</v>
      </c>
      <c r="L1638" s="17" t="s">
        <v>21</v>
      </c>
      <c r="M1638" s="17" t="s">
        <v>236</v>
      </c>
      <c r="N1638" s="17">
        <v>1145</v>
      </c>
      <c r="O1638" s="17">
        <v>318</v>
      </c>
      <c r="P1638" s="26">
        <f>(data[[#This Row],[LoadedMiles]]/data[[#This Row],[TotalMiles]])*100</f>
        <v>27.772925764192141</v>
      </c>
      <c r="Q1638" s="25">
        <f>data[[#This Row],[ShippingCost]]/data[[#This Row],[TotalMiles]]</f>
        <v>2.8917030567685589</v>
      </c>
      <c r="R1638" s="17">
        <v>3311</v>
      </c>
      <c r="S1638" s="25">
        <f>data[[#This Row],[Revenue]]/data[[#This Row],[TotalMiles]]</f>
        <v>3.2436681222707424</v>
      </c>
      <c r="T1638" s="26">
        <f>data[[#This Row],[Revenue]]-data[[#This Row],[ShippingCost]]</f>
        <v>403</v>
      </c>
      <c r="U1638" s="17">
        <v>3714</v>
      </c>
      <c r="V1638" s="17">
        <v>86</v>
      </c>
      <c r="W1638" s="17" t="s">
        <v>25</v>
      </c>
      <c r="X1638" s="17">
        <v>9</v>
      </c>
      <c r="Y1638" s="17">
        <f>data[[#This Row],[DeliveryDate]]-data[[#This Row],[ShipDate]]</f>
        <v>1</v>
      </c>
      <c r="Z1638" s="17" t="str">
        <f>IF(data[[#This Row],[Actual Delivery Days]]&gt;AD1639,"Yes","No")</f>
        <v>Yes</v>
      </c>
    </row>
    <row r="1639" spans="1:26">
      <c r="A1639" s="17">
        <v>10819</v>
      </c>
      <c r="B1639" s="17">
        <v>1</v>
      </c>
      <c r="C1639" s="17">
        <v>4</v>
      </c>
      <c r="D1639" s="17" t="s">
        <v>525</v>
      </c>
      <c r="E1639" s="17" t="s">
        <v>209</v>
      </c>
      <c r="F1639" s="17" t="str">
        <f>TEXT(data[[#This Row],[ShipDate]],"yyyy - mmmm")</f>
        <v>2016 - March</v>
      </c>
      <c r="G1639" s="17" t="str">
        <f>data[[#This Row],[OriginCity]] &amp; " - "  &amp; data[[#This Row],[DestinationCity]]</f>
        <v>Chicago - Rockford</v>
      </c>
      <c r="H1639" s="17" t="s">
        <v>39</v>
      </c>
      <c r="I1639" s="17" t="s">
        <v>31</v>
      </c>
      <c r="J1639" s="17">
        <v>1</v>
      </c>
      <c r="K1639" s="17" t="s">
        <v>40</v>
      </c>
      <c r="L1639" s="17" t="s">
        <v>31</v>
      </c>
      <c r="M1639" s="17" t="s">
        <v>391</v>
      </c>
      <c r="N1639" s="17">
        <v>638</v>
      </c>
      <c r="O1639" s="17">
        <v>638</v>
      </c>
      <c r="P1639" s="26">
        <f>(data[[#This Row],[LoadedMiles]]/data[[#This Row],[TotalMiles]])*100</f>
        <v>100</v>
      </c>
      <c r="Q1639" s="25">
        <f>data[[#This Row],[ShippingCost]]/data[[#This Row],[TotalMiles]]</f>
        <v>10.057993730407523</v>
      </c>
      <c r="R1639" s="17">
        <v>6417</v>
      </c>
      <c r="S1639" s="25">
        <f>data[[#This Row],[Revenue]]/data[[#This Row],[TotalMiles]]</f>
        <v>6.6206896551724137</v>
      </c>
      <c r="T1639" s="26">
        <f>data[[#This Row],[Revenue]]-data[[#This Row],[ShippingCost]]</f>
        <v>-2193</v>
      </c>
      <c r="U1639" s="17">
        <v>4224</v>
      </c>
      <c r="V1639" s="17">
        <v>81</v>
      </c>
      <c r="W1639" s="17" t="s">
        <v>25</v>
      </c>
      <c r="X1639" s="17">
        <v>2</v>
      </c>
      <c r="Y1639" s="17">
        <f>data[[#This Row],[DeliveryDate]]-data[[#This Row],[ShipDate]]</f>
        <v>1</v>
      </c>
      <c r="Z1639" s="17" t="str">
        <f>IF(data[[#This Row],[Actual Delivery Days]]&gt;AD1640,"Yes","No")</f>
        <v>Yes</v>
      </c>
    </row>
    <row r="1640" spans="1:26">
      <c r="A1640" s="17">
        <v>10825</v>
      </c>
      <c r="B1640" s="17">
        <v>1</v>
      </c>
      <c r="C1640" s="17">
        <v>5</v>
      </c>
      <c r="D1640" s="17" t="s">
        <v>534</v>
      </c>
      <c r="E1640" s="17" t="s">
        <v>141</v>
      </c>
      <c r="F1640" s="17" t="str">
        <f>TEXT(data[[#This Row],[ShipDate]],"yyyy - mmmm")</f>
        <v>2016 - August</v>
      </c>
      <c r="G1640" s="17" t="str">
        <f>data[[#This Row],[OriginCity]] &amp; " - "  &amp; data[[#This Row],[DestinationCity]]</f>
        <v>Madison - Kalamazoo</v>
      </c>
      <c r="H1640" s="17" t="s">
        <v>62</v>
      </c>
      <c r="I1640" s="17" t="s">
        <v>29</v>
      </c>
      <c r="J1640" s="17">
        <v>1</v>
      </c>
      <c r="K1640" s="17" t="s">
        <v>71</v>
      </c>
      <c r="L1640" s="17" t="s">
        <v>21</v>
      </c>
      <c r="M1640" s="17" t="s">
        <v>184</v>
      </c>
      <c r="N1640" s="17">
        <v>385</v>
      </c>
      <c r="O1640" s="17">
        <v>302</v>
      </c>
      <c r="P1640" s="26">
        <f>(data[[#This Row],[LoadedMiles]]/data[[#This Row],[TotalMiles]])*100</f>
        <v>78.441558441558442</v>
      </c>
      <c r="Q1640" s="25">
        <f>data[[#This Row],[ShippingCost]]/data[[#This Row],[TotalMiles]]</f>
        <v>1.1428571428571428</v>
      </c>
      <c r="R1640" s="17">
        <v>440</v>
      </c>
      <c r="S1640" s="25">
        <f>data[[#This Row],[Revenue]]/data[[#This Row],[TotalMiles]]</f>
        <v>2.6675324675324674</v>
      </c>
      <c r="T1640" s="26">
        <f>data[[#This Row],[Revenue]]-data[[#This Row],[ShippingCost]]</f>
        <v>587</v>
      </c>
      <c r="U1640" s="17">
        <v>1027</v>
      </c>
      <c r="V1640" s="17">
        <v>67</v>
      </c>
      <c r="W1640" s="17" t="s">
        <v>25</v>
      </c>
      <c r="X1640" s="17">
        <v>1</v>
      </c>
      <c r="Y1640" s="17">
        <f>data[[#This Row],[DeliveryDate]]-data[[#This Row],[ShipDate]]</f>
        <v>1</v>
      </c>
      <c r="Z1640" s="17" t="str">
        <f>IF(data[[#This Row],[Actual Delivery Days]]&gt;AD1641,"Yes","No")</f>
        <v>Yes</v>
      </c>
    </row>
    <row r="1641" spans="1:26">
      <c r="A1641" s="17">
        <v>10826</v>
      </c>
      <c r="B1641" s="17">
        <v>1</v>
      </c>
      <c r="C1641" s="17">
        <v>8</v>
      </c>
      <c r="D1641" s="17" t="s">
        <v>536</v>
      </c>
      <c r="E1641" s="17" t="s">
        <v>168</v>
      </c>
      <c r="F1641" s="17" t="str">
        <f>TEXT(data[[#This Row],[ShipDate]],"yyyy - mmmm")</f>
        <v>2016 - February</v>
      </c>
      <c r="G1641" s="17" t="str">
        <f>data[[#This Row],[OriginCity]] &amp; " - "  &amp; data[[#This Row],[DestinationCity]]</f>
        <v>Green Bay - Joliet</v>
      </c>
      <c r="H1641" s="17" t="s">
        <v>75</v>
      </c>
      <c r="I1641" s="17" t="s">
        <v>29</v>
      </c>
      <c r="J1641" s="17">
        <v>1</v>
      </c>
      <c r="K1641" s="17" t="s">
        <v>61</v>
      </c>
      <c r="L1641" s="17" t="s">
        <v>31</v>
      </c>
      <c r="M1641" s="17" t="s">
        <v>255</v>
      </c>
      <c r="N1641" s="17">
        <v>916</v>
      </c>
      <c r="O1641" s="17">
        <v>591</v>
      </c>
      <c r="P1641" s="26">
        <f>(data[[#This Row],[LoadedMiles]]/data[[#This Row],[TotalMiles]])*100</f>
        <v>64.519650655021834</v>
      </c>
      <c r="Q1641" s="25">
        <f>data[[#This Row],[ShippingCost]]/data[[#This Row],[TotalMiles]]</f>
        <v>7.3853711790393017</v>
      </c>
      <c r="R1641" s="17">
        <v>6765</v>
      </c>
      <c r="S1641" s="25">
        <f>data[[#This Row],[Revenue]]/data[[#This Row],[TotalMiles]]</f>
        <v>7.9235807860262009</v>
      </c>
      <c r="T1641" s="26">
        <f>data[[#This Row],[Revenue]]-data[[#This Row],[ShippingCost]]</f>
        <v>493</v>
      </c>
      <c r="U1641" s="17">
        <v>7258</v>
      </c>
      <c r="V1641" s="17">
        <v>56</v>
      </c>
      <c r="W1641" s="17" t="s">
        <v>25</v>
      </c>
      <c r="X1641" s="17">
        <v>7</v>
      </c>
      <c r="Y1641" s="17">
        <f>data[[#This Row],[DeliveryDate]]-data[[#This Row],[ShipDate]]</f>
        <v>1</v>
      </c>
      <c r="Z1641" s="17" t="str">
        <f>IF(data[[#This Row],[Actual Delivery Days]]&gt;AD1642,"Yes","No")</f>
        <v>Yes</v>
      </c>
    </row>
    <row r="1642" spans="1:26">
      <c r="A1642" s="17">
        <v>10837</v>
      </c>
      <c r="B1642" s="17">
        <v>1</v>
      </c>
      <c r="C1642" s="17">
        <v>7</v>
      </c>
      <c r="D1642" s="17" t="s">
        <v>550</v>
      </c>
      <c r="E1642" s="17" t="s">
        <v>222</v>
      </c>
      <c r="F1642" s="17" t="str">
        <f>TEXT(data[[#This Row],[ShipDate]],"yyyy - mmmm")</f>
        <v>2016 - April</v>
      </c>
      <c r="G1642" s="17" t="str">
        <f>data[[#This Row],[OriginCity]] &amp; " - "  &amp; data[[#This Row],[DestinationCity]]</f>
        <v>Kalamazoo - Bangor</v>
      </c>
      <c r="H1642" s="17" t="s">
        <v>71</v>
      </c>
      <c r="I1642" s="17" t="s">
        <v>21</v>
      </c>
      <c r="J1642" s="17">
        <v>1</v>
      </c>
      <c r="K1642" s="17" t="s">
        <v>104</v>
      </c>
      <c r="L1642" s="17" t="s">
        <v>21</v>
      </c>
      <c r="M1642" s="17" t="s">
        <v>418</v>
      </c>
      <c r="N1642" s="17">
        <v>998</v>
      </c>
      <c r="O1642" s="17">
        <v>302</v>
      </c>
      <c r="P1642" s="26">
        <f>(data[[#This Row],[LoadedMiles]]/data[[#This Row],[TotalMiles]])*100</f>
        <v>30.260521042084171</v>
      </c>
      <c r="Q1642" s="25">
        <f>data[[#This Row],[ShippingCost]]/data[[#This Row],[TotalMiles]]</f>
        <v>4.2995991983967938</v>
      </c>
      <c r="R1642" s="17">
        <v>4291</v>
      </c>
      <c r="S1642" s="25">
        <f>data[[#This Row],[Revenue]]/data[[#This Row],[TotalMiles]]</f>
        <v>4.4619238476953909</v>
      </c>
      <c r="T1642" s="26">
        <f>data[[#This Row],[Revenue]]-data[[#This Row],[ShippingCost]]</f>
        <v>162</v>
      </c>
      <c r="U1642" s="17">
        <v>4453</v>
      </c>
      <c r="V1642" s="17">
        <v>81</v>
      </c>
      <c r="W1642" s="17" t="s">
        <v>86</v>
      </c>
      <c r="X1642" s="17">
        <v>5</v>
      </c>
      <c r="Y1642" s="17">
        <f>data[[#This Row],[DeliveryDate]]-data[[#This Row],[ShipDate]]</f>
        <v>1</v>
      </c>
      <c r="Z1642" s="17" t="str">
        <f>IF(data[[#This Row],[Actual Delivery Days]]&gt;AD1643,"Yes","No")</f>
        <v>Yes</v>
      </c>
    </row>
    <row r="1643" spans="1:26">
      <c r="A1643" s="17">
        <v>10838</v>
      </c>
      <c r="B1643" s="17">
        <v>1</v>
      </c>
      <c r="C1643" s="17">
        <v>4</v>
      </c>
      <c r="D1643" s="17" t="s">
        <v>551</v>
      </c>
      <c r="E1643" s="17" t="s">
        <v>574</v>
      </c>
      <c r="F1643" s="17" t="str">
        <f>TEXT(data[[#This Row],[ShipDate]],"yyyy - mmmm")</f>
        <v>2016 - January</v>
      </c>
      <c r="G1643" s="17" t="str">
        <f>data[[#This Row],[OriginCity]] &amp; " - "  &amp; data[[#This Row],[DestinationCity]]</f>
        <v>Davenport - Appleton</v>
      </c>
      <c r="H1643" s="17" t="s">
        <v>105</v>
      </c>
      <c r="I1643" s="17" t="s">
        <v>106</v>
      </c>
      <c r="J1643" s="17">
        <v>1</v>
      </c>
      <c r="K1643" s="17" t="s">
        <v>85</v>
      </c>
      <c r="L1643" s="17" t="s">
        <v>29</v>
      </c>
      <c r="M1643" s="17" t="s">
        <v>583</v>
      </c>
      <c r="N1643" s="17">
        <v>1130</v>
      </c>
      <c r="O1643" s="17">
        <v>636</v>
      </c>
      <c r="P1643" s="26">
        <f>(data[[#This Row],[LoadedMiles]]/data[[#This Row],[TotalMiles]])*100</f>
        <v>56.283185840707958</v>
      </c>
      <c r="Q1643" s="25">
        <f>data[[#This Row],[ShippingCost]]/data[[#This Row],[TotalMiles]]</f>
        <v>4.4601769911504423</v>
      </c>
      <c r="R1643" s="17">
        <v>5040</v>
      </c>
      <c r="S1643" s="25">
        <f>data[[#This Row],[Revenue]]/data[[#This Row],[TotalMiles]]</f>
        <v>2.7663716814159294</v>
      </c>
      <c r="T1643" s="26">
        <f>data[[#This Row],[Revenue]]-data[[#This Row],[ShippingCost]]</f>
        <v>-1914</v>
      </c>
      <c r="U1643" s="17">
        <v>3126</v>
      </c>
      <c r="V1643" s="17">
        <v>51</v>
      </c>
      <c r="W1643" s="17" t="s">
        <v>25</v>
      </c>
      <c r="X1643" s="17">
        <v>6</v>
      </c>
      <c r="Y1643" s="17">
        <f>data[[#This Row],[DeliveryDate]]-data[[#This Row],[ShipDate]]</f>
        <v>1</v>
      </c>
      <c r="Z1643" s="17" t="str">
        <f>IF(data[[#This Row],[Actual Delivery Days]]&gt;AD1644,"Yes","No")</f>
        <v>Yes</v>
      </c>
    </row>
    <row r="1644" spans="1:26">
      <c r="A1644" s="17">
        <v>10845</v>
      </c>
      <c r="B1644" s="17">
        <v>2</v>
      </c>
      <c r="C1644" s="17">
        <v>3</v>
      </c>
      <c r="D1644" s="17" t="s">
        <v>559</v>
      </c>
      <c r="E1644" s="17" t="s">
        <v>612</v>
      </c>
      <c r="F1644" s="17" t="str">
        <f>TEXT(data[[#This Row],[ShipDate]],"yyyy - mmmm")</f>
        <v>2016 - January</v>
      </c>
      <c r="G1644" s="17" t="str">
        <f>data[[#This Row],[OriginCity]] &amp; " - "  &amp; data[[#This Row],[DestinationCity]]</f>
        <v>Detriot - Monon</v>
      </c>
      <c r="H1644" s="17" t="s">
        <v>52</v>
      </c>
      <c r="I1644" s="17" t="s">
        <v>21</v>
      </c>
      <c r="J1644" s="17">
        <v>1</v>
      </c>
      <c r="K1644" s="17" t="s">
        <v>53</v>
      </c>
      <c r="L1644" s="17" t="s">
        <v>44</v>
      </c>
      <c r="M1644" s="17" t="s">
        <v>304</v>
      </c>
      <c r="N1644" s="17">
        <v>392</v>
      </c>
      <c r="O1644" s="17">
        <v>273</v>
      </c>
      <c r="P1644" s="26">
        <f>(data[[#This Row],[LoadedMiles]]/data[[#This Row],[TotalMiles]])*100</f>
        <v>69.642857142857139</v>
      </c>
      <c r="Q1644" s="25">
        <f>data[[#This Row],[ShippingCost]]/data[[#This Row],[TotalMiles]]</f>
        <v>7.6045918367346941</v>
      </c>
      <c r="R1644" s="17">
        <v>2981</v>
      </c>
      <c r="S1644" s="25">
        <f>data[[#This Row],[Revenue]]/data[[#This Row],[TotalMiles]]</f>
        <v>8.8954081632653068</v>
      </c>
      <c r="T1644" s="26">
        <f>data[[#This Row],[Revenue]]-data[[#This Row],[ShippingCost]]</f>
        <v>506</v>
      </c>
      <c r="U1644" s="17">
        <v>3487</v>
      </c>
      <c r="V1644" s="17">
        <v>95</v>
      </c>
      <c r="W1644" s="17" t="s">
        <v>25</v>
      </c>
      <c r="X1644" s="17">
        <v>8</v>
      </c>
      <c r="Y1644" s="17">
        <f>data[[#This Row],[DeliveryDate]]-data[[#This Row],[ShipDate]]</f>
        <v>1</v>
      </c>
      <c r="Z1644" s="17" t="str">
        <f>IF(data[[#This Row],[Actual Delivery Days]]&gt;AD1645,"Yes","No")</f>
        <v>Yes</v>
      </c>
    </row>
    <row r="1645" spans="1:26">
      <c r="A1645" s="17">
        <v>10847</v>
      </c>
      <c r="B1645" s="17">
        <v>2</v>
      </c>
      <c r="C1645" s="17">
        <v>1</v>
      </c>
      <c r="D1645" s="17" t="s">
        <v>561</v>
      </c>
      <c r="E1645" s="17" t="s">
        <v>315</v>
      </c>
      <c r="F1645" s="17" t="str">
        <f>TEXT(data[[#This Row],[ShipDate]],"yyyy - mmmm")</f>
        <v>2016 - June</v>
      </c>
      <c r="G1645" s="17" t="str">
        <f>data[[#This Row],[OriginCity]] &amp; " - "  &amp; data[[#This Row],[DestinationCity]]</f>
        <v>Joliet - Madison</v>
      </c>
      <c r="H1645" s="17" t="s">
        <v>61</v>
      </c>
      <c r="I1645" s="17" t="s">
        <v>31</v>
      </c>
      <c r="J1645" s="17">
        <v>1</v>
      </c>
      <c r="K1645" s="17" t="s">
        <v>62</v>
      </c>
      <c r="L1645" s="17" t="s">
        <v>29</v>
      </c>
      <c r="M1645" s="17" t="s">
        <v>316</v>
      </c>
      <c r="N1645" s="17">
        <v>577</v>
      </c>
      <c r="O1645" s="17">
        <v>577</v>
      </c>
      <c r="P1645" s="26">
        <f>(data[[#This Row],[LoadedMiles]]/data[[#This Row],[TotalMiles]])*100</f>
        <v>100</v>
      </c>
      <c r="Q1645" s="25">
        <f>data[[#This Row],[ShippingCost]]/data[[#This Row],[TotalMiles]]</f>
        <v>14.209705372616984</v>
      </c>
      <c r="R1645" s="17">
        <v>8199</v>
      </c>
      <c r="S1645" s="25">
        <f>data[[#This Row],[Revenue]]/data[[#This Row],[TotalMiles]]</f>
        <v>23.240901213171576</v>
      </c>
      <c r="T1645" s="26">
        <f>data[[#This Row],[Revenue]]-data[[#This Row],[ShippingCost]]</f>
        <v>5211</v>
      </c>
      <c r="U1645" s="17">
        <v>13410</v>
      </c>
      <c r="V1645" s="17">
        <v>85</v>
      </c>
      <c r="W1645" s="17" t="s">
        <v>25</v>
      </c>
      <c r="X1645" s="17">
        <v>9</v>
      </c>
      <c r="Y1645" s="17">
        <f>data[[#This Row],[DeliveryDate]]-data[[#This Row],[ShipDate]]</f>
        <v>1</v>
      </c>
      <c r="Z1645" s="17" t="str">
        <f>IF(data[[#This Row],[Actual Delivery Days]]&gt;AD1646,"Yes","No")</f>
        <v>Yes</v>
      </c>
    </row>
    <row r="1646" spans="1:26">
      <c r="A1646" s="17">
        <v>10859</v>
      </c>
      <c r="B1646" s="17">
        <v>2</v>
      </c>
      <c r="C1646" s="17">
        <v>6</v>
      </c>
      <c r="D1646" s="17" t="s">
        <v>575</v>
      </c>
      <c r="E1646" s="17" t="s">
        <v>238</v>
      </c>
      <c r="F1646" s="17" t="str">
        <f>TEXT(data[[#This Row],[ShipDate]],"yyyy - mmmm")</f>
        <v>2016 - March</v>
      </c>
      <c r="G1646" s="17" t="str">
        <f>data[[#This Row],[OriginCity]] &amp; " - "  &amp; data[[#This Row],[DestinationCity]]</f>
        <v>Elgin - Cincinnati</v>
      </c>
      <c r="H1646" s="17" t="s">
        <v>94</v>
      </c>
      <c r="I1646" s="17" t="s">
        <v>31</v>
      </c>
      <c r="J1646" s="17">
        <v>1</v>
      </c>
      <c r="K1646" s="17" t="s">
        <v>89</v>
      </c>
      <c r="L1646" s="17" t="s">
        <v>23</v>
      </c>
      <c r="M1646" s="17" t="s">
        <v>124</v>
      </c>
      <c r="N1646" s="17">
        <v>225</v>
      </c>
      <c r="O1646" s="17">
        <v>225</v>
      </c>
      <c r="P1646" s="26">
        <f>(data[[#This Row],[LoadedMiles]]/data[[#This Row],[TotalMiles]])*100</f>
        <v>100</v>
      </c>
      <c r="Q1646" s="25">
        <f>data[[#This Row],[ShippingCost]]/data[[#This Row],[TotalMiles]]</f>
        <v>28.737777777777779</v>
      </c>
      <c r="R1646" s="17">
        <v>6466</v>
      </c>
      <c r="S1646" s="25">
        <f>data[[#This Row],[Revenue]]/data[[#This Row],[TotalMiles]]</f>
        <v>31.857777777777777</v>
      </c>
      <c r="T1646" s="26">
        <f>data[[#This Row],[Revenue]]-data[[#This Row],[ShippingCost]]</f>
        <v>702</v>
      </c>
      <c r="U1646" s="17">
        <v>7168</v>
      </c>
      <c r="V1646" s="17">
        <v>57</v>
      </c>
      <c r="W1646" s="17" t="s">
        <v>25</v>
      </c>
      <c r="X1646" s="17">
        <v>1</v>
      </c>
      <c r="Y1646" s="17">
        <f>data[[#This Row],[DeliveryDate]]-data[[#This Row],[ShipDate]]</f>
        <v>1</v>
      </c>
      <c r="Z1646" s="17" t="str">
        <f>IF(data[[#This Row],[Actual Delivery Days]]&gt;AD1647,"Yes","No")</f>
        <v>Yes</v>
      </c>
    </row>
    <row r="1647" spans="1:26">
      <c r="A1647" s="17">
        <v>10864</v>
      </c>
      <c r="B1647" s="17">
        <v>1</v>
      </c>
      <c r="C1647" s="17">
        <v>1</v>
      </c>
      <c r="D1647" s="17" t="s">
        <v>581</v>
      </c>
      <c r="E1647" s="17" t="s">
        <v>624</v>
      </c>
      <c r="F1647" s="17" t="str">
        <f>TEXT(data[[#This Row],[ShipDate]],"yyyy - mmmm")</f>
        <v>2016 - April</v>
      </c>
      <c r="G1647" s="17" t="str">
        <f>data[[#This Row],[OriginCity]] &amp; " - "  &amp; data[[#This Row],[DestinationCity]]</f>
        <v>Springfield - Skokie</v>
      </c>
      <c r="H1647" s="17" t="s">
        <v>30</v>
      </c>
      <c r="I1647" s="17" t="s">
        <v>31</v>
      </c>
      <c r="J1647" s="17">
        <v>1</v>
      </c>
      <c r="K1647" s="17" t="s">
        <v>35</v>
      </c>
      <c r="L1647" s="17" t="s">
        <v>31</v>
      </c>
      <c r="M1647" s="17" t="s">
        <v>285</v>
      </c>
      <c r="N1647" s="17">
        <v>748</v>
      </c>
      <c r="O1647" s="17">
        <v>324</v>
      </c>
      <c r="P1647" s="26">
        <f>(data[[#This Row],[LoadedMiles]]/data[[#This Row],[TotalMiles]])*100</f>
        <v>43.315508021390379</v>
      </c>
      <c r="Q1647" s="25">
        <f>data[[#This Row],[ShippingCost]]/data[[#This Row],[TotalMiles]]</f>
        <v>1.1925133689839573</v>
      </c>
      <c r="R1647" s="17">
        <v>892</v>
      </c>
      <c r="S1647" s="25">
        <f>data[[#This Row],[Revenue]]/data[[#This Row],[TotalMiles]]</f>
        <v>7.5147058823529411</v>
      </c>
      <c r="T1647" s="26">
        <f>data[[#This Row],[Revenue]]-data[[#This Row],[ShippingCost]]</f>
        <v>4729</v>
      </c>
      <c r="U1647" s="17">
        <v>5621</v>
      </c>
      <c r="V1647" s="17">
        <v>92</v>
      </c>
      <c r="W1647" s="17" t="s">
        <v>25</v>
      </c>
      <c r="X1647" s="17">
        <v>1</v>
      </c>
      <c r="Y1647" s="17">
        <f>data[[#This Row],[DeliveryDate]]-data[[#This Row],[ShipDate]]</f>
        <v>1</v>
      </c>
      <c r="Z1647" s="17" t="str">
        <f>IF(data[[#This Row],[Actual Delivery Days]]&gt;AD1648,"Yes","No")</f>
        <v>Yes</v>
      </c>
    </row>
    <row r="1648" spans="1:26">
      <c r="A1648" s="17">
        <v>10865</v>
      </c>
      <c r="B1648" s="17">
        <v>2</v>
      </c>
      <c r="C1648" s="17">
        <v>3</v>
      </c>
      <c r="D1648" s="17" t="s">
        <v>582</v>
      </c>
      <c r="E1648" s="17" t="s">
        <v>365</v>
      </c>
      <c r="F1648" s="17" t="str">
        <f>TEXT(data[[#This Row],[ShipDate]],"yyyy - mmmm")</f>
        <v>2016 - June</v>
      </c>
      <c r="G1648" s="17" t="str">
        <f>data[[#This Row],[OriginCity]] &amp; " - "  &amp; data[[#This Row],[DestinationCity]]</f>
        <v>Chicago - Rockford</v>
      </c>
      <c r="H1648" s="17" t="s">
        <v>39</v>
      </c>
      <c r="I1648" s="17" t="s">
        <v>31</v>
      </c>
      <c r="J1648" s="17">
        <v>1</v>
      </c>
      <c r="K1648" s="17" t="s">
        <v>40</v>
      </c>
      <c r="L1648" s="17" t="s">
        <v>31</v>
      </c>
      <c r="M1648" s="17" t="s">
        <v>444</v>
      </c>
      <c r="N1648" s="17">
        <v>519</v>
      </c>
      <c r="O1648" s="17">
        <v>519</v>
      </c>
      <c r="P1648" s="26">
        <f>(data[[#This Row],[LoadedMiles]]/data[[#This Row],[TotalMiles]])*100</f>
        <v>100</v>
      </c>
      <c r="Q1648" s="25">
        <f>data[[#This Row],[ShippingCost]]/data[[#This Row],[TotalMiles]]</f>
        <v>15.269749518304431</v>
      </c>
      <c r="R1648" s="17">
        <v>7925</v>
      </c>
      <c r="S1648" s="25">
        <f>data[[#This Row],[Revenue]]/data[[#This Row],[TotalMiles]]</f>
        <v>16.747591522157997</v>
      </c>
      <c r="T1648" s="26">
        <f>data[[#This Row],[Revenue]]-data[[#This Row],[ShippingCost]]</f>
        <v>767</v>
      </c>
      <c r="U1648" s="17">
        <v>8692</v>
      </c>
      <c r="V1648" s="17">
        <v>69</v>
      </c>
      <c r="W1648" s="17" t="s">
        <v>25</v>
      </c>
      <c r="X1648" s="17">
        <v>3</v>
      </c>
      <c r="Y1648" s="17">
        <f>data[[#This Row],[DeliveryDate]]-data[[#This Row],[ShipDate]]</f>
        <v>1</v>
      </c>
      <c r="Z1648" s="17" t="str">
        <f>IF(data[[#This Row],[Actual Delivery Days]]&gt;AD1649,"Yes","No")</f>
        <v>Yes</v>
      </c>
    </row>
    <row r="1649" spans="1:26">
      <c r="A1649" s="17">
        <v>10875</v>
      </c>
      <c r="B1649" s="17">
        <v>1</v>
      </c>
      <c r="C1649" s="17">
        <v>6</v>
      </c>
      <c r="D1649" s="17" t="s">
        <v>595</v>
      </c>
      <c r="E1649" s="17" t="s">
        <v>132</v>
      </c>
      <c r="F1649" s="17" t="str">
        <f>TEXT(data[[#This Row],[ShipDate]],"yyyy - mmmm")</f>
        <v>2016 - February</v>
      </c>
      <c r="G1649" s="17" t="str">
        <f>data[[#This Row],[OriginCity]] &amp; " - "  &amp; data[[#This Row],[DestinationCity]]</f>
        <v>Appleton - Grand Rapids</v>
      </c>
      <c r="H1649" s="17" t="s">
        <v>85</v>
      </c>
      <c r="I1649" s="17" t="s">
        <v>29</v>
      </c>
      <c r="J1649" s="17">
        <v>1</v>
      </c>
      <c r="K1649" s="17" t="s">
        <v>20</v>
      </c>
      <c r="L1649" s="17" t="s">
        <v>21</v>
      </c>
      <c r="M1649" s="17" t="s">
        <v>206</v>
      </c>
      <c r="N1649" s="17">
        <v>488</v>
      </c>
      <c r="O1649" s="17">
        <v>233</v>
      </c>
      <c r="P1649" s="26">
        <f>(data[[#This Row],[LoadedMiles]]/data[[#This Row],[TotalMiles]])*100</f>
        <v>47.745901639344261</v>
      </c>
      <c r="Q1649" s="25">
        <f>data[[#This Row],[ShippingCost]]/data[[#This Row],[TotalMiles]]</f>
        <v>0.99180327868852458</v>
      </c>
      <c r="R1649" s="17">
        <v>484</v>
      </c>
      <c r="S1649" s="25">
        <f>data[[#This Row],[Revenue]]/data[[#This Row],[TotalMiles]]</f>
        <v>1.430327868852459</v>
      </c>
      <c r="T1649" s="26">
        <f>data[[#This Row],[Revenue]]-data[[#This Row],[ShippingCost]]</f>
        <v>214</v>
      </c>
      <c r="U1649" s="17">
        <v>698</v>
      </c>
      <c r="V1649" s="17">
        <v>96</v>
      </c>
      <c r="W1649" s="17" t="s">
        <v>86</v>
      </c>
      <c r="X1649" s="17">
        <v>3</v>
      </c>
      <c r="Y1649" s="17">
        <f>data[[#This Row],[DeliveryDate]]-data[[#This Row],[ShipDate]]</f>
        <v>1</v>
      </c>
      <c r="Z1649" s="17" t="str">
        <f>IF(data[[#This Row],[Actual Delivery Days]]&gt;AD1650,"Yes","No")</f>
        <v>Yes</v>
      </c>
    </row>
    <row r="1650" spans="1:26">
      <c r="A1650" s="17">
        <v>10877</v>
      </c>
      <c r="B1650" s="17">
        <v>1</v>
      </c>
      <c r="C1650" s="17">
        <v>2</v>
      </c>
      <c r="D1650" s="17" t="s">
        <v>598</v>
      </c>
      <c r="E1650" s="17" t="s">
        <v>296</v>
      </c>
      <c r="F1650" s="17" t="str">
        <f>TEXT(data[[#This Row],[ShipDate]],"yyyy - mmmm")</f>
        <v>2016 - March</v>
      </c>
      <c r="G1650" s="17" t="str">
        <f>data[[#This Row],[OriginCity]] &amp; " - "  &amp; data[[#This Row],[DestinationCity]]</f>
        <v>Dayton - Elgin</v>
      </c>
      <c r="H1650" s="17" t="s">
        <v>93</v>
      </c>
      <c r="I1650" s="17" t="s">
        <v>23</v>
      </c>
      <c r="J1650" s="17">
        <v>1</v>
      </c>
      <c r="K1650" s="17" t="s">
        <v>94</v>
      </c>
      <c r="L1650" s="17" t="s">
        <v>31</v>
      </c>
      <c r="M1650" s="17" t="s">
        <v>125</v>
      </c>
      <c r="N1650" s="17">
        <v>1186</v>
      </c>
      <c r="O1650" s="17">
        <v>606</v>
      </c>
      <c r="P1650" s="26">
        <f>(data[[#This Row],[LoadedMiles]]/data[[#This Row],[TotalMiles]])*100</f>
        <v>51.096121416526138</v>
      </c>
      <c r="Q1650" s="25">
        <f>data[[#This Row],[ShippingCost]]/data[[#This Row],[TotalMiles]]</f>
        <v>4.7082630691399663</v>
      </c>
      <c r="R1650" s="17">
        <v>5584</v>
      </c>
      <c r="S1650" s="25">
        <f>data[[#This Row],[Revenue]]/data[[#This Row],[TotalMiles]]</f>
        <v>5.3676222596964589</v>
      </c>
      <c r="T1650" s="26">
        <f>data[[#This Row],[Revenue]]-data[[#This Row],[ShippingCost]]</f>
        <v>782</v>
      </c>
      <c r="U1650" s="17">
        <v>6366</v>
      </c>
      <c r="V1650" s="17">
        <v>60</v>
      </c>
      <c r="W1650" s="17" t="s">
        <v>25</v>
      </c>
      <c r="X1650" s="17">
        <v>7</v>
      </c>
      <c r="Y1650" s="17">
        <f>data[[#This Row],[DeliveryDate]]-data[[#This Row],[ShipDate]]</f>
        <v>1</v>
      </c>
      <c r="Z1650" s="17" t="str">
        <f>IF(data[[#This Row],[Actual Delivery Days]]&gt;AD1651,"Yes","No")</f>
        <v>Yes</v>
      </c>
    </row>
    <row r="1651" spans="1:26">
      <c r="A1651" s="17">
        <v>10883</v>
      </c>
      <c r="B1651" s="17">
        <v>2</v>
      </c>
      <c r="C1651" s="17">
        <v>6</v>
      </c>
      <c r="D1651" s="17" t="s">
        <v>604</v>
      </c>
      <c r="E1651" s="17" t="s">
        <v>264</v>
      </c>
      <c r="F1651" s="17" t="str">
        <f>TEXT(data[[#This Row],[ShipDate]],"yyyy - mmmm")</f>
        <v>2016 - January</v>
      </c>
      <c r="G1651" s="17" t="str">
        <f>data[[#This Row],[OriginCity]] &amp; " - "  &amp; data[[#This Row],[DestinationCity]]</f>
        <v>Kalamazoo - Bangor</v>
      </c>
      <c r="H1651" s="17" t="s">
        <v>71</v>
      </c>
      <c r="I1651" s="17" t="s">
        <v>21</v>
      </c>
      <c r="J1651" s="17">
        <v>1</v>
      </c>
      <c r="K1651" s="17" t="s">
        <v>104</v>
      </c>
      <c r="L1651" s="17" t="s">
        <v>21</v>
      </c>
      <c r="M1651" s="17" t="s">
        <v>615</v>
      </c>
      <c r="N1651" s="17">
        <v>755</v>
      </c>
      <c r="O1651" s="17">
        <v>397</v>
      </c>
      <c r="P1651" s="26">
        <f>(data[[#This Row],[LoadedMiles]]/data[[#This Row],[TotalMiles]])*100</f>
        <v>52.58278145695364</v>
      </c>
      <c r="Q1651" s="25">
        <f>data[[#This Row],[ShippingCost]]/data[[#This Row],[TotalMiles]]</f>
        <v>7.8582781456953645</v>
      </c>
      <c r="R1651" s="17">
        <v>5933</v>
      </c>
      <c r="S1651" s="25">
        <f>data[[#This Row],[Revenue]]/data[[#This Row],[TotalMiles]]</f>
        <v>8.7920529801324498</v>
      </c>
      <c r="T1651" s="26">
        <f>data[[#This Row],[Revenue]]-data[[#This Row],[ShippingCost]]</f>
        <v>705</v>
      </c>
      <c r="U1651" s="17">
        <v>6638</v>
      </c>
      <c r="V1651" s="17">
        <v>54</v>
      </c>
      <c r="W1651" s="17" t="s">
        <v>25</v>
      </c>
      <c r="X1651" s="17">
        <v>9</v>
      </c>
      <c r="Y1651" s="17">
        <f>data[[#This Row],[DeliveryDate]]-data[[#This Row],[ShipDate]]</f>
        <v>1</v>
      </c>
      <c r="Z1651" s="17" t="str">
        <f>IF(data[[#This Row],[Actual Delivery Days]]&gt;AD1652,"Yes","No")</f>
        <v>Yes</v>
      </c>
    </row>
    <row r="1652" spans="1:26">
      <c r="A1652" s="17">
        <v>10886</v>
      </c>
      <c r="B1652" s="17">
        <v>2</v>
      </c>
      <c r="C1652" s="17">
        <v>4</v>
      </c>
      <c r="D1652" s="17" t="s">
        <v>26</v>
      </c>
      <c r="E1652" s="17" t="s">
        <v>42</v>
      </c>
      <c r="F1652" s="17" t="str">
        <f>TEXT(data[[#This Row],[ShipDate]],"yyyy - mmmm")</f>
        <v>2016 - May</v>
      </c>
      <c r="G1652" s="17" t="str">
        <f>data[[#This Row],[OriginCity]] &amp; " - "  &amp; data[[#This Row],[DestinationCity]]</f>
        <v>Milwaukee - Springfield</v>
      </c>
      <c r="H1652" s="17" t="s">
        <v>28</v>
      </c>
      <c r="I1652" s="17" t="s">
        <v>29</v>
      </c>
      <c r="J1652" s="17">
        <v>1</v>
      </c>
      <c r="K1652" s="17" t="s">
        <v>30</v>
      </c>
      <c r="L1652" s="17" t="s">
        <v>31</v>
      </c>
      <c r="M1652" s="17" t="s">
        <v>27</v>
      </c>
      <c r="N1652" s="17">
        <v>669</v>
      </c>
      <c r="O1652" s="17">
        <v>572</v>
      </c>
      <c r="P1652" s="26">
        <f>(data[[#This Row],[LoadedMiles]]/data[[#This Row],[TotalMiles]])*100</f>
        <v>85.500747384155446</v>
      </c>
      <c r="Q1652" s="25">
        <f>data[[#This Row],[ShippingCost]]/data[[#This Row],[TotalMiles]]</f>
        <v>12.058295964125561</v>
      </c>
      <c r="R1652" s="17">
        <v>8067</v>
      </c>
      <c r="S1652" s="25">
        <f>data[[#This Row],[Revenue]]/data[[#This Row],[TotalMiles]]</f>
        <v>9.47982062780269</v>
      </c>
      <c r="T1652" s="26">
        <f>data[[#This Row],[Revenue]]-data[[#This Row],[ShippingCost]]</f>
        <v>-1725</v>
      </c>
      <c r="U1652" s="17">
        <v>6342</v>
      </c>
      <c r="V1652" s="17">
        <v>50</v>
      </c>
      <c r="W1652" s="17" t="s">
        <v>25</v>
      </c>
      <c r="X1652" s="17">
        <v>6</v>
      </c>
      <c r="Y1652" s="17">
        <f>data[[#This Row],[DeliveryDate]]-data[[#This Row],[ShipDate]]</f>
        <v>1</v>
      </c>
      <c r="Z1652" s="17" t="str">
        <f>IF(data[[#This Row],[Actual Delivery Days]]&gt;AD1653,"Yes","No")</f>
        <v>Yes</v>
      </c>
    </row>
    <row r="1653" spans="1:26">
      <c r="A1653" s="17">
        <v>10888</v>
      </c>
      <c r="B1653" s="17">
        <v>2</v>
      </c>
      <c r="C1653" s="17">
        <v>3</v>
      </c>
      <c r="D1653" s="17" t="s">
        <v>41</v>
      </c>
      <c r="E1653" s="17" t="s">
        <v>103</v>
      </c>
      <c r="F1653" s="17" t="str">
        <f>TEXT(data[[#This Row],[ShipDate]],"yyyy - mmmm")</f>
        <v>2016 - August</v>
      </c>
      <c r="G1653" s="17" t="str">
        <f>data[[#This Row],[OriginCity]] &amp; " - "  &amp; data[[#This Row],[DestinationCity]]</f>
        <v>Indianapolis - Northbrook</v>
      </c>
      <c r="H1653" s="17" t="s">
        <v>43</v>
      </c>
      <c r="I1653" s="17" t="s">
        <v>44</v>
      </c>
      <c r="J1653" s="17">
        <v>1</v>
      </c>
      <c r="K1653" s="17" t="s">
        <v>45</v>
      </c>
      <c r="L1653" s="17" t="s">
        <v>31</v>
      </c>
      <c r="M1653" s="17" t="s">
        <v>103</v>
      </c>
      <c r="N1653" s="17">
        <v>898</v>
      </c>
      <c r="O1653" s="17">
        <v>309</v>
      </c>
      <c r="P1653" s="26">
        <f>(data[[#This Row],[LoadedMiles]]/data[[#This Row],[TotalMiles]])*100</f>
        <v>34.409799554565701</v>
      </c>
      <c r="Q1653" s="25">
        <f>data[[#This Row],[ShippingCost]]/data[[#This Row],[TotalMiles]]</f>
        <v>1.6559020044543429</v>
      </c>
      <c r="R1653" s="17">
        <v>1487</v>
      </c>
      <c r="S1653" s="25">
        <f>data[[#This Row],[Revenue]]/data[[#This Row],[TotalMiles]]</f>
        <v>2.3518930957683741</v>
      </c>
      <c r="T1653" s="26">
        <f>data[[#This Row],[Revenue]]-data[[#This Row],[ShippingCost]]</f>
        <v>625</v>
      </c>
      <c r="U1653" s="17">
        <v>2112</v>
      </c>
      <c r="V1653" s="17">
        <v>100</v>
      </c>
      <c r="W1653" s="17" t="s">
        <v>25</v>
      </c>
      <c r="X1653" s="17">
        <v>6</v>
      </c>
      <c r="Y1653" s="17">
        <f>data[[#This Row],[DeliveryDate]]-data[[#This Row],[ShipDate]]</f>
        <v>0</v>
      </c>
      <c r="Z1653" s="17" t="str">
        <f>IF(data[[#This Row],[Actual Delivery Days]]&gt;AD1654,"Yes","No")</f>
        <v>No</v>
      </c>
    </row>
    <row r="1654" spans="1:26">
      <c r="A1654" s="17">
        <v>10894</v>
      </c>
      <c r="B1654" s="17">
        <v>2</v>
      </c>
      <c r="C1654" s="17">
        <v>6</v>
      </c>
      <c r="D1654" s="17" t="s">
        <v>69</v>
      </c>
      <c r="E1654" s="17" t="s">
        <v>290</v>
      </c>
      <c r="F1654" s="17" t="str">
        <f>TEXT(data[[#This Row],[ShipDate]],"yyyy - mmmm")</f>
        <v>2016 - February</v>
      </c>
      <c r="G1654" s="17" t="str">
        <f>data[[#This Row],[OriginCity]] &amp; " - "  &amp; data[[#This Row],[DestinationCity]]</f>
        <v>Madison - Kalamazoo</v>
      </c>
      <c r="H1654" s="17" t="s">
        <v>62</v>
      </c>
      <c r="I1654" s="17" t="s">
        <v>29</v>
      </c>
      <c r="J1654" s="17">
        <v>1</v>
      </c>
      <c r="K1654" s="17" t="s">
        <v>71</v>
      </c>
      <c r="L1654" s="17" t="s">
        <v>21</v>
      </c>
      <c r="M1654" s="17" t="s">
        <v>268</v>
      </c>
      <c r="N1654" s="17">
        <v>755</v>
      </c>
      <c r="O1654" s="17">
        <v>205</v>
      </c>
      <c r="P1654" s="26">
        <f>(data[[#This Row],[LoadedMiles]]/data[[#This Row],[TotalMiles]])*100</f>
        <v>27.152317880794701</v>
      </c>
      <c r="Q1654" s="25">
        <f>data[[#This Row],[ShippingCost]]/data[[#This Row],[TotalMiles]]</f>
        <v>4.8529801324503312</v>
      </c>
      <c r="R1654" s="17">
        <v>3664</v>
      </c>
      <c r="S1654" s="25">
        <f>data[[#This Row],[Revenue]]/data[[#This Row],[TotalMiles]]</f>
        <v>5.9854304635761588</v>
      </c>
      <c r="T1654" s="26">
        <f>data[[#This Row],[Revenue]]-data[[#This Row],[ShippingCost]]</f>
        <v>855</v>
      </c>
      <c r="U1654" s="17">
        <v>4519</v>
      </c>
      <c r="V1654" s="17">
        <v>81</v>
      </c>
      <c r="W1654" s="17" t="s">
        <v>86</v>
      </c>
      <c r="X1654" s="17">
        <v>4</v>
      </c>
      <c r="Y1654" s="17">
        <f>data[[#This Row],[DeliveryDate]]-data[[#This Row],[ShipDate]]</f>
        <v>1</v>
      </c>
      <c r="Z1654" s="17" t="str">
        <f>IF(data[[#This Row],[Actual Delivery Days]]&gt;AD1655,"Yes","No")</f>
        <v>Yes</v>
      </c>
    </row>
    <row r="1655" spans="1:26">
      <c r="A1655" s="17">
        <v>10901</v>
      </c>
      <c r="B1655" s="17">
        <v>1</v>
      </c>
      <c r="C1655" s="17">
        <v>6</v>
      </c>
      <c r="D1655" s="17" t="s">
        <v>96</v>
      </c>
      <c r="E1655" s="17" t="s">
        <v>437</v>
      </c>
      <c r="F1655" s="17" t="str">
        <f>TEXT(data[[#This Row],[ShipDate]],"yyyy - mmmm")</f>
        <v>2016 - May</v>
      </c>
      <c r="G1655" s="17" t="str">
        <f>data[[#This Row],[OriginCity]] &amp; " - "  &amp; data[[#This Row],[DestinationCity]]</f>
        <v>Toledo - Detriot</v>
      </c>
      <c r="H1655" s="17" t="s">
        <v>22</v>
      </c>
      <c r="I1655" s="17" t="s">
        <v>23</v>
      </c>
      <c r="J1655" s="17">
        <v>1</v>
      </c>
      <c r="K1655" s="17" t="s">
        <v>52</v>
      </c>
      <c r="L1655" s="17" t="s">
        <v>21</v>
      </c>
      <c r="M1655" s="17" t="s">
        <v>344</v>
      </c>
      <c r="N1655" s="17">
        <v>593</v>
      </c>
      <c r="O1655" s="17">
        <v>593</v>
      </c>
      <c r="P1655" s="26">
        <f>(data[[#This Row],[LoadedMiles]]/data[[#This Row],[TotalMiles]])*100</f>
        <v>100</v>
      </c>
      <c r="Q1655" s="25">
        <f>data[[#This Row],[ShippingCost]]/data[[#This Row],[TotalMiles]]</f>
        <v>2.8988195615514334</v>
      </c>
      <c r="R1655" s="17">
        <v>1719</v>
      </c>
      <c r="S1655" s="25">
        <f>data[[#This Row],[Revenue]]/data[[#This Row],[TotalMiles]]</f>
        <v>3.657672849915683</v>
      </c>
      <c r="T1655" s="26">
        <f>data[[#This Row],[Revenue]]-data[[#This Row],[ShippingCost]]</f>
        <v>450</v>
      </c>
      <c r="U1655" s="17">
        <v>2169</v>
      </c>
      <c r="V1655" s="17">
        <v>58</v>
      </c>
      <c r="W1655" s="17" t="s">
        <v>25</v>
      </c>
      <c r="X1655" s="17">
        <v>10</v>
      </c>
      <c r="Y1655" s="17">
        <f>data[[#This Row],[DeliveryDate]]-data[[#This Row],[ShipDate]]</f>
        <v>1</v>
      </c>
      <c r="Z1655" s="17" t="str">
        <f>IF(data[[#This Row],[Actual Delivery Days]]&gt;AD1656,"Yes","No")</f>
        <v>Yes</v>
      </c>
    </row>
    <row r="1656" spans="1:26">
      <c r="A1656" s="17">
        <v>10907</v>
      </c>
      <c r="B1656" s="17">
        <v>1</v>
      </c>
      <c r="C1656" s="17">
        <v>2</v>
      </c>
      <c r="D1656" s="17" t="s">
        <v>115</v>
      </c>
      <c r="E1656" s="17" t="s">
        <v>147</v>
      </c>
      <c r="F1656" s="17" t="str">
        <f>TEXT(data[[#This Row],[ShipDate]],"yyyy - mmmm")</f>
        <v>2016 - June</v>
      </c>
      <c r="G1656" s="17" t="str">
        <f>data[[#This Row],[OriginCity]] &amp; " - "  &amp; data[[#This Row],[DestinationCity]]</f>
        <v>Davenport - Appleton</v>
      </c>
      <c r="H1656" s="17" t="s">
        <v>105</v>
      </c>
      <c r="I1656" s="17" t="s">
        <v>106</v>
      </c>
      <c r="J1656" s="17">
        <v>1</v>
      </c>
      <c r="K1656" s="17" t="s">
        <v>85</v>
      </c>
      <c r="L1656" s="17" t="s">
        <v>29</v>
      </c>
      <c r="M1656" s="17" t="s">
        <v>315</v>
      </c>
      <c r="N1656" s="17">
        <v>787</v>
      </c>
      <c r="O1656" s="17">
        <v>688</v>
      </c>
      <c r="P1656" s="26">
        <f>(data[[#This Row],[LoadedMiles]]/data[[#This Row],[TotalMiles]])*100</f>
        <v>87.42058449809403</v>
      </c>
      <c r="Q1656" s="25">
        <f>data[[#This Row],[ShippingCost]]/data[[#This Row],[TotalMiles]]</f>
        <v>6.2083862770012708</v>
      </c>
      <c r="R1656" s="17">
        <v>4886</v>
      </c>
      <c r="S1656" s="25">
        <f>data[[#This Row],[Revenue]]/data[[#This Row],[TotalMiles]]</f>
        <v>6.9720457433290974</v>
      </c>
      <c r="T1656" s="26">
        <f>data[[#This Row],[Revenue]]-data[[#This Row],[ShippingCost]]</f>
        <v>601</v>
      </c>
      <c r="U1656" s="17">
        <v>5487</v>
      </c>
      <c r="V1656" s="17">
        <v>86</v>
      </c>
      <c r="W1656" s="17" t="s">
        <v>25</v>
      </c>
      <c r="X1656" s="17">
        <v>5</v>
      </c>
      <c r="Y1656" s="17">
        <f>data[[#This Row],[DeliveryDate]]-data[[#This Row],[ShipDate]]</f>
        <v>1</v>
      </c>
      <c r="Z1656" s="17" t="str">
        <f>IF(data[[#This Row],[Actual Delivery Days]]&gt;AD1657,"Yes","No")</f>
        <v>Yes</v>
      </c>
    </row>
    <row r="1657" spans="1:26">
      <c r="A1657" s="17">
        <v>10916</v>
      </c>
      <c r="B1657" s="17">
        <v>3</v>
      </c>
      <c r="C1657" s="17">
        <v>1</v>
      </c>
      <c r="D1657" s="17" t="s">
        <v>140</v>
      </c>
      <c r="E1657" s="17" t="s">
        <v>473</v>
      </c>
      <c r="F1657" s="17" t="str">
        <f>TEXT(data[[#This Row],[ShipDate]],"yyyy - mmmm")</f>
        <v>2016 - June</v>
      </c>
      <c r="G1657" s="17" t="str">
        <f>data[[#This Row],[OriginCity]] &amp; " - "  &amp; data[[#This Row],[DestinationCity]]</f>
        <v>Joliet - Madison</v>
      </c>
      <c r="H1657" s="17" t="s">
        <v>61</v>
      </c>
      <c r="I1657" s="17" t="s">
        <v>31</v>
      </c>
      <c r="J1657" s="17">
        <v>1</v>
      </c>
      <c r="K1657" s="17" t="s">
        <v>62</v>
      </c>
      <c r="L1657" s="17" t="s">
        <v>29</v>
      </c>
      <c r="M1657" s="17" t="s">
        <v>474</v>
      </c>
      <c r="N1657" s="17">
        <v>410</v>
      </c>
      <c r="O1657" s="17">
        <v>410</v>
      </c>
      <c r="P1657" s="26">
        <f>(data[[#This Row],[LoadedMiles]]/data[[#This Row],[TotalMiles]])*100</f>
        <v>100</v>
      </c>
      <c r="Q1657" s="25">
        <f>data[[#This Row],[ShippingCost]]/data[[#This Row],[TotalMiles]]</f>
        <v>4.7341463414634148</v>
      </c>
      <c r="R1657" s="17">
        <v>1941</v>
      </c>
      <c r="S1657" s="25">
        <f>data[[#This Row],[Revenue]]/data[[#This Row],[TotalMiles]]</f>
        <v>16.841463414634145</v>
      </c>
      <c r="T1657" s="26">
        <f>data[[#This Row],[Revenue]]-data[[#This Row],[ShippingCost]]</f>
        <v>4964</v>
      </c>
      <c r="U1657" s="17">
        <v>6905</v>
      </c>
      <c r="V1657" s="17">
        <v>91</v>
      </c>
      <c r="W1657" s="17" t="s">
        <v>25</v>
      </c>
      <c r="X1657" s="17">
        <v>3</v>
      </c>
      <c r="Y1657" s="17">
        <f>data[[#This Row],[DeliveryDate]]-data[[#This Row],[ShipDate]]</f>
        <v>1</v>
      </c>
      <c r="Z1657" s="17" t="str">
        <f>IF(data[[#This Row],[Actual Delivery Days]]&gt;AD1658,"Yes","No")</f>
        <v>Yes</v>
      </c>
    </row>
    <row r="1658" spans="1:26">
      <c r="A1658" s="17">
        <v>10921</v>
      </c>
      <c r="B1658" s="17">
        <v>3</v>
      </c>
      <c r="C1658" s="17">
        <v>4</v>
      </c>
      <c r="D1658" s="17" t="s">
        <v>154</v>
      </c>
      <c r="E1658" s="17" t="s">
        <v>327</v>
      </c>
      <c r="F1658" s="17" t="str">
        <f>TEXT(data[[#This Row],[ShipDate]],"yyyy - mmmm")</f>
        <v>2016 - January</v>
      </c>
      <c r="G1658" s="17" t="str">
        <f>data[[#This Row],[OriginCity]] &amp; " - "  &amp; data[[#This Row],[DestinationCity]]</f>
        <v>Rockford - Green Bay</v>
      </c>
      <c r="H1658" s="17" t="s">
        <v>40</v>
      </c>
      <c r="I1658" s="17" t="s">
        <v>31</v>
      </c>
      <c r="J1658" s="17">
        <v>1</v>
      </c>
      <c r="K1658" s="17" t="s">
        <v>75</v>
      </c>
      <c r="L1658" s="17" t="s">
        <v>29</v>
      </c>
      <c r="M1658" s="17" t="s">
        <v>394</v>
      </c>
      <c r="N1658" s="17">
        <v>354</v>
      </c>
      <c r="O1658" s="17">
        <v>240</v>
      </c>
      <c r="P1658" s="26">
        <f>(data[[#This Row],[LoadedMiles]]/data[[#This Row],[TotalMiles]])*100</f>
        <v>67.796610169491515</v>
      </c>
      <c r="Q1658" s="25">
        <f>data[[#This Row],[ShippingCost]]/data[[#This Row],[TotalMiles]]</f>
        <v>7.5169491525423728</v>
      </c>
      <c r="R1658" s="17">
        <v>2661</v>
      </c>
      <c r="S1658" s="25">
        <f>data[[#This Row],[Revenue]]/data[[#This Row],[TotalMiles]]</f>
        <v>1.8361581920903955</v>
      </c>
      <c r="T1658" s="26">
        <f>data[[#This Row],[Revenue]]-data[[#This Row],[ShippingCost]]</f>
        <v>-2011</v>
      </c>
      <c r="U1658" s="17">
        <v>650</v>
      </c>
      <c r="V1658" s="17">
        <v>66</v>
      </c>
      <c r="W1658" s="17" t="s">
        <v>25</v>
      </c>
      <c r="X1658" s="17">
        <v>6</v>
      </c>
      <c r="Y1658" s="17">
        <f>data[[#This Row],[DeliveryDate]]-data[[#This Row],[ShipDate]]</f>
        <v>1</v>
      </c>
      <c r="Z1658" s="17" t="str">
        <f>IF(data[[#This Row],[Actual Delivery Days]]&gt;AD1659,"Yes","No")</f>
        <v>Yes</v>
      </c>
    </row>
    <row r="1659" spans="1:26">
      <c r="A1659" s="17">
        <v>10926</v>
      </c>
      <c r="B1659" s="17">
        <v>2</v>
      </c>
      <c r="C1659" s="17">
        <v>2</v>
      </c>
      <c r="D1659" s="17" t="s">
        <v>167</v>
      </c>
      <c r="E1659" s="17" t="s">
        <v>394</v>
      </c>
      <c r="F1659" s="17" t="str">
        <f>TEXT(data[[#This Row],[ShipDate]],"yyyy - mmmm")</f>
        <v>2016 - January</v>
      </c>
      <c r="G1659" s="17" t="str">
        <f>data[[#This Row],[OriginCity]] &amp; " - "  &amp; data[[#This Row],[DestinationCity]]</f>
        <v>Lansing - Dayton</v>
      </c>
      <c r="H1659" s="17" t="s">
        <v>66</v>
      </c>
      <c r="I1659" s="17" t="s">
        <v>21</v>
      </c>
      <c r="J1659" s="17">
        <v>1</v>
      </c>
      <c r="K1659" s="17" t="s">
        <v>93</v>
      </c>
      <c r="L1659" s="17" t="s">
        <v>23</v>
      </c>
      <c r="M1659" s="17" t="s">
        <v>236</v>
      </c>
      <c r="N1659" s="17">
        <v>1145</v>
      </c>
      <c r="O1659" s="17">
        <v>429</v>
      </c>
      <c r="P1659" s="26">
        <f>(data[[#This Row],[LoadedMiles]]/data[[#This Row],[TotalMiles]])*100</f>
        <v>37.467248908296938</v>
      </c>
      <c r="Q1659" s="25">
        <f>data[[#This Row],[ShippingCost]]/data[[#This Row],[TotalMiles]]</f>
        <v>3.6218340611353712</v>
      </c>
      <c r="R1659" s="17">
        <v>4147</v>
      </c>
      <c r="S1659" s="25">
        <f>data[[#This Row],[Revenue]]/data[[#This Row],[TotalMiles]]</f>
        <v>4.0296943231441045</v>
      </c>
      <c r="T1659" s="26">
        <f>data[[#This Row],[Revenue]]-data[[#This Row],[ShippingCost]]</f>
        <v>467</v>
      </c>
      <c r="U1659" s="17">
        <v>4614</v>
      </c>
      <c r="V1659" s="17">
        <v>97</v>
      </c>
      <c r="W1659" s="17" t="s">
        <v>25</v>
      </c>
      <c r="X1659" s="17">
        <v>5</v>
      </c>
      <c r="Y1659" s="17">
        <f>data[[#This Row],[DeliveryDate]]-data[[#This Row],[ShipDate]]</f>
        <v>1</v>
      </c>
      <c r="Z1659" s="17" t="str">
        <f>IF(data[[#This Row],[Actual Delivery Days]]&gt;AD1660,"Yes","No")</f>
        <v>Yes</v>
      </c>
    </row>
    <row r="1660" spans="1:26">
      <c r="A1660" s="17">
        <v>10941</v>
      </c>
      <c r="B1660" s="17">
        <v>2</v>
      </c>
      <c r="C1660" s="17">
        <v>1</v>
      </c>
      <c r="D1660" s="17" t="s">
        <v>208</v>
      </c>
      <c r="E1660" s="17" t="s">
        <v>537</v>
      </c>
      <c r="F1660" s="17" t="str">
        <f>TEXT(data[[#This Row],[ShipDate]],"yyyy - mmmm")</f>
        <v>2016 - June</v>
      </c>
      <c r="G1660" s="17" t="str">
        <f>data[[#This Row],[OriginCity]] &amp; " - "  &amp; data[[#This Row],[DestinationCity]]</f>
        <v>Naperville - Indianapolis</v>
      </c>
      <c r="H1660" s="17" t="s">
        <v>48</v>
      </c>
      <c r="I1660" s="17" t="s">
        <v>31</v>
      </c>
      <c r="J1660" s="17">
        <v>1</v>
      </c>
      <c r="K1660" s="17" t="s">
        <v>43</v>
      </c>
      <c r="L1660" s="17" t="s">
        <v>44</v>
      </c>
      <c r="M1660" s="17" t="s">
        <v>318</v>
      </c>
      <c r="N1660" s="17">
        <v>902</v>
      </c>
      <c r="O1660" s="17">
        <v>742</v>
      </c>
      <c r="P1660" s="26">
        <f>(data[[#This Row],[LoadedMiles]]/data[[#This Row],[TotalMiles]])*100</f>
        <v>82.261640798226168</v>
      </c>
      <c r="Q1660" s="25">
        <f>data[[#This Row],[ShippingCost]]/data[[#This Row],[TotalMiles]]</f>
        <v>2.7838137472283813</v>
      </c>
      <c r="R1660" s="17">
        <v>2511</v>
      </c>
      <c r="S1660" s="25">
        <f>data[[#This Row],[Revenue]]/data[[#This Row],[TotalMiles]]</f>
        <v>8.200665188470067</v>
      </c>
      <c r="T1660" s="26">
        <f>data[[#This Row],[Revenue]]-data[[#This Row],[ShippingCost]]</f>
        <v>4886</v>
      </c>
      <c r="U1660" s="17">
        <v>7397</v>
      </c>
      <c r="V1660" s="17">
        <v>83</v>
      </c>
      <c r="W1660" s="17" t="s">
        <v>25</v>
      </c>
      <c r="X1660" s="17">
        <v>9</v>
      </c>
      <c r="Y1660" s="17">
        <f>data[[#This Row],[DeliveryDate]]-data[[#This Row],[ShipDate]]</f>
        <v>1</v>
      </c>
      <c r="Z1660" s="17" t="str">
        <f>IF(data[[#This Row],[Actual Delivery Days]]&gt;AD1661,"Yes","No")</f>
        <v>Yes</v>
      </c>
    </row>
    <row r="1661" spans="1:26">
      <c r="A1661" s="17">
        <v>10942</v>
      </c>
      <c r="B1661" s="17">
        <v>2</v>
      </c>
      <c r="C1661" s="17">
        <v>2</v>
      </c>
      <c r="D1661" s="17" t="s">
        <v>210</v>
      </c>
      <c r="E1661" s="17" t="s">
        <v>129</v>
      </c>
      <c r="F1661" s="17" t="str">
        <f>TEXT(data[[#This Row],[ShipDate]],"yyyy - mmmm")</f>
        <v>2016 - March</v>
      </c>
      <c r="G1661" s="17" t="str">
        <f>data[[#This Row],[OriginCity]] &amp; " - "  &amp; data[[#This Row],[DestinationCity]]</f>
        <v>Rockford - Green Bay</v>
      </c>
      <c r="H1661" s="17" t="s">
        <v>40</v>
      </c>
      <c r="I1661" s="17" t="s">
        <v>31</v>
      </c>
      <c r="J1661" s="17">
        <v>1</v>
      </c>
      <c r="K1661" s="17" t="s">
        <v>75</v>
      </c>
      <c r="L1661" s="17" t="s">
        <v>29</v>
      </c>
      <c r="M1661" s="17" t="s">
        <v>430</v>
      </c>
      <c r="N1661" s="17">
        <v>744</v>
      </c>
      <c r="O1661" s="17">
        <v>649</v>
      </c>
      <c r="P1661" s="26">
        <f>(data[[#This Row],[LoadedMiles]]/data[[#This Row],[TotalMiles]])*100</f>
        <v>87.231182795698928</v>
      </c>
      <c r="Q1661" s="25">
        <f>data[[#This Row],[ShippingCost]]/data[[#This Row],[TotalMiles]]</f>
        <v>0.70564516129032262</v>
      </c>
      <c r="R1661" s="17">
        <v>525</v>
      </c>
      <c r="S1661" s="25">
        <f>data[[#This Row],[Revenue]]/data[[#This Row],[TotalMiles]]</f>
        <v>0.99731182795698925</v>
      </c>
      <c r="T1661" s="26">
        <f>data[[#This Row],[Revenue]]-data[[#This Row],[ShippingCost]]</f>
        <v>217</v>
      </c>
      <c r="U1661" s="17">
        <v>742</v>
      </c>
      <c r="V1661" s="17">
        <v>83</v>
      </c>
      <c r="W1661" s="17" t="s">
        <v>25</v>
      </c>
      <c r="X1661" s="17">
        <v>10</v>
      </c>
      <c r="Y1661" s="17">
        <f>data[[#This Row],[DeliveryDate]]-data[[#This Row],[ShipDate]]</f>
        <v>1</v>
      </c>
      <c r="Z1661" s="17" t="str">
        <f>IF(data[[#This Row],[Actual Delivery Days]]&gt;AD1662,"Yes","No")</f>
        <v>Yes</v>
      </c>
    </row>
    <row r="1662" spans="1:26">
      <c r="A1662" s="17">
        <v>10943</v>
      </c>
      <c r="B1662" s="17">
        <v>3</v>
      </c>
      <c r="C1662" s="17">
        <v>1</v>
      </c>
      <c r="D1662" s="17" t="s">
        <v>213</v>
      </c>
      <c r="E1662" s="17" t="s">
        <v>302</v>
      </c>
      <c r="F1662" s="17" t="str">
        <f>TEXT(data[[#This Row],[ShipDate]],"yyyy - mmmm")</f>
        <v>2016 - August</v>
      </c>
      <c r="G1662" s="17" t="str">
        <f>data[[#This Row],[OriginCity]] &amp; " - "  &amp; data[[#This Row],[DestinationCity]]</f>
        <v>Appleton - Grand Rapids</v>
      </c>
      <c r="H1662" s="17" t="s">
        <v>85</v>
      </c>
      <c r="I1662" s="17" t="s">
        <v>29</v>
      </c>
      <c r="J1662" s="17">
        <v>1</v>
      </c>
      <c r="K1662" s="17" t="s">
        <v>20</v>
      </c>
      <c r="L1662" s="17" t="s">
        <v>21</v>
      </c>
      <c r="M1662" s="17" t="s">
        <v>597</v>
      </c>
      <c r="N1662" s="17">
        <v>1110</v>
      </c>
      <c r="O1662" s="17">
        <v>497</v>
      </c>
      <c r="P1662" s="26">
        <f>(data[[#This Row],[LoadedMiles]]/data[[#This Row],[TotalMiles]])*100</f>
        <v>44.77477477477477</v>
      </c>
      <c r="Q1662" s="25">
        <f>data[[#This Row],[ShippingCost]]/data[[#This Row],[TotalMiles]]</f>
        <v>1.1342342342342342</v>
      </c>
      <c r="R1662" s="17">
        <v>1259</v>
      </c>
      <c r="S1662" s="25">
        <f>data[[#This Row],[Revenue]]/data[[#This Row],[TotalMiles]]</f>
        <v>5.5459459459459461</v>
      </c>
      <c r="T1662" s="26">
        <f>data[[#This Row],[Revenue]]-data[[#This Row],[ShippingCost]]</f>
        <v>4897</v>
      </c>
      <c r="U1662" s="17">
        <v>6156</v>
      </c>
      <c r="V1662" s="17">
        <v>76</v>
      </c>
      <c r="W1662" s="17" t="s">
        <v>25</v>
      </c>
      <c r="X1662" s="17">
        <v>5</v>
      </c>
      <c r="Y1662" s="17">
        <f>data[[#This Row],[DeliveryDate]]-data[[#This Row],[ShipDate]]</f>
        <v>1</v>
      </c>
      <c r="Z1662" s="17" t="str">
        <f>IF(data[[#This Row],[Actual Delivery Days]]&gt;AD1663,"Yes","No")</f>
        <v>Yes</v>
      </c>
    </row>
    <row r="1663" spans="1:26">
      <c r="A1663" s="17">
        <v>10950</v>
      </c>
      <c r="B1663" s="17">
        <v>3</v>
      </c>
      <c r="C1663" s="17">
        <v>6</v>
      </c>
      <c r="D1663" s="17" t="s">
        <v>232</v>
      </c>
      <c r="E1663" s="17" t="s">
        <v>435</v>
      </c>
      <c r="F1663" s="17" t="str">
        <f>TEXT(data[[#This Row],[ShipDate]],"yyyy - mmmm")</f>
        <v>2016 - February</v>
      </c>
      <c r="G1663" s="17" t="str">
        <f>data[[#This Row],[OriginCity]] &amp; " - "  &amp; data[[#This Row],[DestinationCity]]</f>
        <v>Davenport - Appleton</v>
      </c>
      <c r="H1663" s="17" t="s">
        <v>105</v>
      </c>
      <c r="I1663" s="17" t="s">
        <v>106</v>
      </c>
      <c r="J1663" s="17">
        <v>1</v>
      </c>
      <c r="K1663" s="17" t="s">
        <v>85</v>
      </c>
      <c r="L1663" s="17" t="s">
        <v>29</v>
      </c>
      <c r="M1663" s="17" t="s">
        <v>611</v>
      </c>
      <c r="N1663" s="17">
        <v>1114</v>
      </c>
      <c r="O1663" s="17">
        <v>677</v>
      </c>
      <c r="P1663" s="26">
        <f>(data[[#This Row],[LoadedMiles]]/data[[#This Row],[TotalMiles]])*100</f>
        <v>60.77199281867145</v>
      </c>
      <c r="Q1663" s="25">
        <f>data[[#This Row],[ShippingCost]]/data[[#This Row],[TotalMiles]]</f>
        <v>2.5098743267504489</v>
      </c>
      <c r="R1663" s="17">
        <v>2796</v>
      </c>
      <c r="S1663" s="25">
        <f>data[[#This Row],[Revenue]]/data[[#This Row],[TotalMiles]]</f>
        <v>3.2010771992818672</v>
      </c>
      <c r="T1663" s="26">
        <f>data[[#This Row],[Revenue]]-data[[#This Row],[ShippingCost]]</f>
        <v>770</v>
      </c>
      <c r="U1663" s="17">
        <v>3566</v>
      </c>
      <c r="V1663" s="17">
        <v>79</v>
      </c>
      <c r="W1663" s="17" t="s">
        <v>25</v>
      </c>
      <c r="X1663" s="17">
        <v>4</v>
      </c>
      <c r="Y1663" s="17">
        <f>data[[#This Row],[DeliveryDate]]-data[[#This Row],[ShipDate]]</f>
        <v>1</v>
      </c>
      <c r="Z1663" s="17" t="str">
        <f>IF(data[[#This Row],[Actual Delivery Days]]&gt;AD1664,"Yes","No")</f>
        <v>Yes</v>
      </c>
    </row>
    <row r="1664" spans="1:26">
      <c r="A1664" s="17">
        <v>10952</v>
      </c>
      <c r="B1664" s="17">
        <v>2</v>
      </c>
      <c r="C1664" s="17">
        <v>5</v>
      </c>
      <c r="D1664" s="17" t="s">
        <v>235</v>
      </c>
      <c r="E1664" s="17" t="s">
        <v>474</v>
      </c>
      <c r="F1664" s="17" t="str">
        <f>TEXT(data[[#This Row],[ShipDate]],"yyyy - mmmm")</f>
        <v>2016 - June</v>
      </c>
      <c r="G1664" s="17" t="str">
        <f>data[[#This Row],[OriginCity]] &amp; " - "  &amp; data[[#This Row],[DestinationCity]]</f>
        <v>Milwaukee - Springfield</v>
      </c>
      <c r="H1664" s="17" t="s">
        <v>28</v>
      </c>
      <c r="I1664" s="17" t="s">
        <v>29</v>
      </c>
      <c r="J1664" s="17">
        <v>1</v>
      </c>
      <c r="K1664" s="17" t="s">
        <v>30</v>
      </c>
      <c r="L1664" s="17" t="s">
        <v>31</v>
      </c>
      <c r="M1664" s="17" t="s">
        <v>278</v>
      </c>
      <c r="N1664" s="17">
        <v>527</v>
      </c>
      <c r="O1664" s="17">
        <v>527</v>
      </c>
      <c r="P1664" s="26">
        <f>(data[[#This Row],[LoadedMiles]]/data[[#This Row],[TotalMiles]])*100</f>
        <v>100</v>
      </c>
      <c r="Q1664" s="25">
        <f>data[[#This Row],[ShippingCost]]/data[[#This Row],[TotalMiles]]</f>
        <v>15.984819734345351</v>
      </c>
      <c r="R1664" s="17">
        <v>8424</v>
      </c>
      <c r="S1664" s="25">
        <f>data[[#This Row],[Revenue]]/data[[#This Row],[TotalMiles]]</f>
        <v>16.400379506641364</v>
      </c>
      <c r="T1664" s="26">
        <f>data[[#This Row],[Revenue]]-data[[#This Row],[ShippingCost]]</f>
        <v>219</v>
      </c>
      <c r="U1664" s="17">
        <v>8643</v>
      </c>
      <c r="V1664" s="17">
        <v>57</v>
      </c>
      <c r="W1664" s="17" t="s">
        <v>25</v>
      </c>
      <c r="X1664" s="17">
        <v>2</v>
      </c>
      <c r="Y1664" s="17">
        <f>data[[#This Row],[DeliveryDate]]-data[[#This Row],[ShipDate]]</f>
        <v>1</v>
      </c>
      <c r="Z1664" s="17" t="str">
        <f>IF(data[[#This Row],[Actual Delivery Days]]&gt;AD1665,"Yes","No")</f>
        <v>Yes</v>
      </c>
    </row>
    <row r="1665" spans="1:26">
      <c r="A1665" s="17">
        <v>10955</v>
      </c>
      <c r="B1665" s="17">
        <v>2</v>
      </c>
      <c r="C1665" s="17">
        <v>4</v>
      </c>
      <c r="D1665" s="17" t="s">
        <v>244</v>
      </c>
      <c r="E1665" s="17" t="s">
        <v>315</v>
      </c>
      <c r="F1665" s="17" t="str">
        <f>TEXT(data[[#This Row],[ShipDate]],"yyyy - mmmm")</f>
        <v>2016 - June</v>
      </c>
      <c r="G1665" s="17" t="str">
        <f>data[[#This Row],[OriginCity]] &amp; " - "  &amp; data[[#This Row],[DestinationCity]]</f>
        <v>Northbrook - Naperville</v>
      </c>
      <c r="H1665" s="17" t="s">
        <v>45</v>
      </c>
      <c r="I1665" s="17" t="s">
        <v>31</v>
      </c>
      <c r="J1665" s="17">
        <v>1</v>
      </c>
      <c r="K1665" s="17" t="s">
        <v>48</v>
      </c>
      <c r="L1665" s="17" t="s">
        <v>31</v>
      </c>
      <c r="M1665" s="17" t="s">
        <v>316</v>
      </c>
      <c r="N1665" s="17">
        <v>703</v>
      </c>
      <c r="O1665" s="17">
        <v>421</v>
      </c>
      <c r="P1665" s="26">
        <f>(data[[#This Row],[LoadedMiles]]/data[[#This Row],[TotalMiles]])*100</f>
        <v>59.88620199146515</v>
      </c>
      <c r="Q1665" s="25">
        <f>data[[#This Row],[ShippingCost]]/data[[#This Row],[TotalMiles]]</f>
        <v>11.199146514935988</v>
      </c>
      <c r="R1665" s="17">
        <v>7873</v>
      </c>
      <c r="S1665" s="25">
        <f>data[[#This Row],[Revenue]]/data[[#This Row],[TotalMiles]]</f>
        <v>8.1692745376955909</v>
      </c>
      <c r="T1665" s="26">
        <f>data[[#This Row],[Revenue]]-data[[#This Row],[ShippingCost]]</f>
        <v>-2130</v>
      </c>
      <c r="U1665" s="17">
        <v>5743</v>
      </c>
      <c r="V1665" s="17">
        <v>98</v>
      </c>
      <c r="W1665" s="17" t="s">
        <v>25</v>
      </c>
      <c r="X1665" s="17">
        <v>1</v>
      </c>
      <c r="Y1665" s="17">
        <f>data[[#This Row],[DeliveryDate]]-data[[#This Row],[ShipDate]]</f>
        <v>1</v>
      </c>
      <c r="Z1665" s="17" t="str">
        <f>IF(data[[#This Row],[Actual Delivery Days]]&gt;AD1666,"Yes","No")</f>
        <v>Yes</v>
      </c>
    </row>
    <row r="1666" spans="1:26">
      <c r="A1666" s="17">
        <v>10957</v>
      </c>
      <c r="B1666" s="17">
        <v>2</v>
      </c>
      <c r="C1666" s="17">
        <v>5</v>
      </c>
      <c r="D1666" s="17" t="s">
        <v>250</v>
      </c>
      <c r="E1666" s="17" t="s">
        <v>626</v>
      </c>
      <c r="F1666" s="17" t="str">
        <f>TEXT(data[[#This Row],[ShipDate]],"yyyy - mmmm")</f>
        <v>2016 - May</v>
      </c>
      <c r="G1666" s="17" t="str">
        <f>data[[#This Row],[OriginCity]] &amp; " - "  &amp; data[[#This Row],[DestinationCity]]</f>
        <v>Joliet - Madison</v>
      </c>
      <c r="H1666" s="17" t="s">
        <v>61</v>
      </c>
      <c r="I1666" s="17" t="s">
        <v>31</v>
      </c>
      <c r="J1666" s="17">
        <v>1</v>
      </c>
      <c r="K1666" s="17" t="s">
        <v>62</v>
      </c>
      <c r="L1666" s="17" t="s">
        <v>29</v>
      </c>
      <c r="M1666" s="17" t="s">
        <v>197</v>
      </c>
      <c r="N1666" s="17">
        <v>1134</v>
      </c>
      <c r="O1666" s="17">
        <v>708</v>
      </c>
      <c r="P1666" s="26">
        <f>(data[[#This Row],[LoadedMiles]]/data[[#This Row],[TotalMiles]])*100</f>
        <v>62.43386243386243</v>
      </c>
      <c r="Q1666" s="25">
        <f>data[[#This Row],[ShippingCost]]/data[[#This Row],[TotalMiles]]</f>
        <v>6.6913580246913584</v>
      </c>
      <c r="R1666" s="17">
        <v>7588</v>
      </c>
      <c r="S1666" s="25">
        <f>data[[#This Row],[Revenue]]/data[[#This Row],[TotalMiles]]</f>
        <v>7.4409171075837746</v>
      </c>
      <c r="T1666" s="26">
        <f>data[[#This Row],[Revenue]]-data[[#This Row],[ShippingCost]]</f>
        <v>850</v>
      </c>
      <c r="U1666" s="17">
        <v>8438</v>
      </c>
      <c r="V1666" s="17">
        <v>64</v>
      </c>
      <c r="W1666" s="17" t="s">
        <v>25</v>
      </c>
      <c r="X1666" s="17">
        <v>10</v>
      </c>
      <c r="Y1666" s="17">
        <f>data[[#This Row],[DeliveryDate]]-data[[#This Row],[ShipDate]]</f>
        <v>1</v>
      </c>
      <c r="Z1666" s="17" t="str">
        <f>IF(data[[#This Row],[Actual Delivery Days]]&gt;AD1667,"Yes","No")</f>
        <v>Yes</v>
      </c>
    </row>
    <row r="1667" spans="1:26">
      <c r="A1667" s="17">
        <v>10959</v>
      </c>
      <c r="B1667" s="17">
        <v>2</v>
      </c>
      <c r="C1667" s="17">
        <v>1</v>
      </c>
      <c r="D1667" s="17" t="s">
        <v>256</v>
      </c>
      <c r="E1667" s="17" t="s">
        <v>454</v>
      </c>
      <c r="F1667" s="17" t="str">
        <f>TEXT(data[[#This Row],[ShipDate]],"yyyy - mmmm")</f>
        <v>2016 - March</v>
      </c>
      <c r="G1667" s="17" t="str">
        <f>data[[#This Row],[OriginCity]] &amp; " - "  &amp; data[[#This Row],[DestinationCity]]</f>
        <v>Green Bay - Joliet</v>
      </c>
      <c r="H1667" s="17" t="s">
        <v>75</v>
      </c>
      <c r="I1667" s="17" t="s">
        <v>29</v>
      </c>
      <c r="J1667" s="17">
        <v>1</v>
      </c>
      <c r="K1667" s="17" t="s">
        <v>61</v>
      </c>
      <c r="L1667" s="17" t="s">
        <v>31</v>
      </c>
      <c r="M1667" s="17" t="s">
        <v>272</v>
      </c>
      <c r="N1667" s="17">
        <v>1080</v>
      </c>
      <c r="O1667" s="17">
        <v>272</v>
      </c>
      <c r="P1667" s="26">
        <f>(data[[#This Row],[LoadedMiles]]/data[[#This Row],[TotalMiles]])*100</f>
        <v>25.185185185185183</v>
      </c>
      <c r="Q1667" s="25">
        <f>data[[#This Row],[ShippingCost]]/data[[#This Row],[TotalMiles]]</f>
        <v>7.2231481481481481</v>
      </c>
      <c r="R1667" s="17">
        <v>7801</v>
      </c>
      <c r="S1667" s="25">
        <f>data[[#This Row],[Revenue]]/data[[#This Row],[TotalMiles]]</f>
        <v>10.764814814814814</v>
      </c>
      <c r="T1667" s="26">
        <f>data[[#This Row],[Revenue]]-data[[#This Row],[ShippingCost]]</f>
        <v>3825</v>
      </c>
      <c r="U1667" s="17">
        <v>11626</v>
      </c>
      <c r="V1667" s="17">
        <v>68</v>
      </c>
      <c r="W1667" s="17" t="s">
        <v>25</v>
      </c>
      <c r="X1667" s="17">
        <v>7</v>
      </c>
      <c r="Y1667" s="17">
        <f>data[[#This Row],[DeliveryDate]]-data[[#This Row],[ShipDate]]</f>
        <v>1</v>
      </c>
      <c r="Z1667" s="17" t="str">
        <f>IF(data[[#This Row],[Actual Delivery Days]]&gt;AD1668,"Yes","No")</f>
        <v>Yes</v>
      </c>
    </row>
    <row r="1668" spans="1:26">
      <c r="A1668" s="17">
        <v>10965</v>
      </c>
      <c r="B1668" s="17">
        <v>2</v>
      </c>
      <c r="C1668" s="17">
        <v>2</v>
      </c>
      <c r="D1668" s="17" t="s">
        <v>271</v>
      </c>
      <c r="E1668" s="17" t="s">
        <v>319</v>
      </c>
      <c r="F1668" s="17" t="str">
        <f>TEXT(data[[#This Row],[ShipDate]],"yyyy - mmmm")</f>
        <v>2016 - June</v>
      </c>
      <c r="G1668" s="17" t="str">
        <f>data[[#This Row],[OriginCity]] &amp; " - "  &amp; data[[#This Row],[DestinationCity]]</f>
        <v>Bangor - Davenport</v>
      </c>
      <c r="H1668" s="17" t="s">
        <v>104</v>
      </c>
      <c r="I1668" s="17" t="s">
        <v>21</v>
      </c>
      <c r="J1668" s="17">
        <v>1</v>
      </c>
      <c r="K1668" s="17" t="s">
        <v>105</v>
      </c>
      <c r="L1668" s="17" t="s">
        <v>106</v>
      </c>
      <c r="M1668" s="17" t="s">
        <v>439</v>
      </c>
      <c r="N1668" s="17">
        <v>468</v>
      </c>
      <c r="O1668" s="17">
        <v>370</v>
      </c>
      <c r="P1668" s="26">
        <f>(data[[#This Row],[LoadedMiles]]/data[[#This Row],[TotalMiles]])*100</f>
        <v>79.059829059829056</v>
      </c>
      <c r="Q1668" s="25">
        <f>data[[#This Row],[ShippingCost]]/data[[#This Row],[TotalMiles]]</f>
        <v>6.5876068376068373</v>
      </c>
      <c r="R1668" s="17">
        <v>3083</v>
      </c>
      <c r="S1668" s="25">
        <f>data[[#This Row],[Revenue]]/data[[#This Row],[TotalMiles]]</f>
        <v>8.5811965811965809</v>
      </c>
      <c r="T1668" s="26">
        <f>data[[#This Row],[Revenue]]-data[[#This Row],[ShippingCost]]</f>
        <v>933</v>
      </c>
      <c r="U1668" s="17">
        <v>4016</v>
      </c>
      <c r="V1668" s="17">
        <v>99</v>
      </c>
      <c r="W1668" s="17" t="s">
        <v>25</v>
      </c>
      <c r="X1668" s="17">
        <v>9</v>
      </c>
      <c r="Y1668" s="17">
        <f>data[[#This Row],[DeliveryDate]]-data[[#This Row],[ShipDate]]</f>
        <v>1</v>
      </c>
      <c r="Z1668" s="17" t="str">
        <f>IF(data[[#This Row],[Actual Delivery Days]]&gt;AD1669,"Yes","No")</f>
        <v>Yes</v>
      </c>
    </row>
    <row r="1669" spans="1:26">
      <c r="A1669" s="17">
        <v>10966</v>
      </c>
      <c r="B1669" s="17">
        <v>2</v>
      </c>
      <c r="C1669" s="17">
        <v>5</v>
      </c>
      <c r="D1669" s="17" t="s">
        <v>273</v>
      </c>
      <c r="E1669" s="17" t="s">
        <v>127</v>
      </c>
      <c r="F1669" s="17" t="str">
        <f>TEXT(data[[#This Row],[ShipDate]],"yyyy - mmmm")</f>
        <v>2016 - January</v>
      </c>
      <c r="G1669" s="17" t="str">
        <f>data[[#This Row],[OriginCity]] &amp; " - "  &amp; data[[#This Row],[DestinationCity]]</f>
        <v>Elgin - Cincinnati</v>
      </c>
      <c r="H1669" s="17" t="s">
        <v>94</v>
      </c>
      <c r="I1669" s="17" t="s">
        <v>31</v>
      </c>
      <c r="J1669" s="17">
        <v>1</v>
      </c>
      <c r="K1669" s="17" t="s">
        <v>89</v>
      </c>
      <c r="L1669" s="17" t="s">
        <v>23</v>
      </c>
      <c r="M1669" s="17" t="s">
        <v>531</v>
      </c>
      <c r="N1669" s="17">
        <v>546</v>
      </c>
      <c r="O1669" s="17">
        <v>546</v>
      </c>
      <c r="P1669" s="26">
        <f>(data[[#This Row],[LoadedMiles]]/data[[#This Row],[TotalMiles]])*100</f>
        <v>100</v>
      </c>
      <c r="Q1669" s="25">
        <f>data[[#This Row],[ShippingCost]]/data[[#This Row],[TotalMiles]]</f>
        <v>11.175824175824175</v>
      </c>
      <c r="R1669" s="17">
        <v>6102</v>
      </c>
      <c r="S1669" s="25">
        <f>data[[#This Row],[Revenue]]/data[[#This Row],[TotalMiles]]</f>
        <v>12.871794871794872</v>
      </c>
      <c r="T1669" s="26">
        <f>data[[#This Row],[Revenue]]-data[[#This Row],[ShippingCost]]</f>
        <v>926</v>
      </c>
      <c r="U1669" s="17">
        <v>7028</v>
      </c>
      <c r="V1669" s="17">
        <v>67</v>
      </c>
      <c r="W1669" s="17" t="s">
        <v>25</v>
      </c>
      <c r="X1669" s="17">
        <v>7</v>
      </c>
      <c r="Y1669" s="17">
        <f>data[[#This Row],[DeliveryDate]]-data[[#This Row],[ShipDate]]</f>
        <v>1</v>
      </c>
      <c r="Z1669" s="17" t="str">
        <f>IF(data[[#This Row],[Actual Delivery Days]]&gt;AD1670,"Yes","No")</f>
        <v>Yes</v>
      </c>
    </row>
    <row r="1670" spans="1:26">
      <c r="A1670" s="17">
        <v>10972</v>
      </c>
      <c r="B1670" s="17">
        <v>3</v>
      </c>
      <c r="C1670" s="17">
        <v>6</v>
      </c>
      <c r="D1670" s="17" t="s">
        <v>287</v>
      </c>
      <c r="E1670" s="17" t="s">
        <v>622</v>
      </c>
      <c r="F1670" s="17" t="str">
        <f>TEXT(data[[#This Row],[ShipDate]],"yyyy - mmmm")</f>
        <v>2016 - July</v>
      </c>
      <c r="G1670" s="17" t="str">
        <f>data[[#This Row],[OriginCity]] &amp; " - "  &amp; data[[#This Row],[DestinationCity]]</f>
        <v>Chicago - Rockford</v>
      </c>
      <c r="H1670" s="17" t="s">
        <v>39</v>
      </c>
      <c r="I1670" s="17" t="s">
        <v>31</v>
      </c>
      <c r="J1670" s="17">
        <v>1</v>
      </c>
      <c r="K1670" s="17" t="s">
        <v>40</v>
      </c>
      <c r="L1670" s="17" t="s">
        <v>31</v>
      </c>
      <c r="M1670" s="17" t="s">
        <v>608</v>
      </c>
      <c r="N1670" s="17">
        <v>1012</v>
      </c>
      <c r="O1670" s="17">
        <v>355</v>
      </c>
      <c r="P1670" s="26">
        <f>(data[[#This Row],[LoadedMiles]]/data[[#This Row],[TotalMiles]])*100</f>
        <v>35.079051383399204</v>
      </c>
      <c r="Q1670" s="25">
        <f>data[[#This Row],[ShippingCost]]/data[[#This Row],[TotalMiles]]</f>
        <v>2.6996047430830039</v>
      </c>
      <c r="R1670" s="17">
        <v>2732</v>
      </c>
      <c r="S1670" s="25">
        <f>data[[#This Row],[Revenue]]/data[[#This Row],[TotalMiles]]</f>
        <v>3.1887351778656128</v>
      </c>
      <c r="T1670" s="26">
        <f>data[[#This Row],[Revenue]]-data[[#This Row],[ShippingCost]]</f>
        <v>495</v>
      </c>
      <c r="U1670" s="17">
        <v>3227</v>
      </c>
      <c r="V1670" s="17">
        <v>99</v>
      </c>
      <c r="W1670" s="17" t="s">
        <v>25</v>
      </c>
      <c r="X1670" s="17">
        <v>3</v>
      </c>
      <c r="Y1670" s="17">
        <f>data[[#This Row],[DeliveryDate]]-data[[#This Row],[ShipDate]]</f>
        <v>1</v>
      </c>
      <c r="Z1670" s="17" t="str">
        <f>IF(data[[#This Row],[Actual Delivery Days]]&gt;AD1671,"Yes","No")</f>
        <v>Yes</v>
      </c>
    </row>
    <row r="1671" spans="1:26">
      <c r="A1671" s="17">
        <v>10983</v>
      </c>
      <c r="B1671" s="17">
        <v>3</v>
      </c>
      <c r="C1671" s="17">
        <v>2</v>
      </c>
      <c r="D1671" s="17" t="s">
        <v>308</v>
      </c>
      <c r="E1671" s="17" t="s">
        <v>81</v>
      </c>
      <c r="F1671" s="17" t="str">
        <f>TEXT(data[[#This Row],[ShipDate]],"yyyy - mmmm")</f>
        <v>2016 - March</v>
      </c>
      <c r="G1671" s="17" t="str">
        <f>data[[#This Row],[OriginCity]] &amp; " - "  &amp; data[[#This Row],[DestinationCity]]</f>
        <v>Appleton - Grand Rapids</v>
      </c>
      <c r="H1671" s="17" t="s">
        <v>85</v>
      </c>
      <c r="I1671" s="17" t="s">
        <v>29</v>
      </c>
      <c r="J1671" s="17">
        <v>1</v>
      </c>
      <c r="K1671" s="17" t="s">
        <v>20</v>
      </c>
      <c r="L1671" s="17" t="s">
        <v>21</v>
      </c>
      <c r="M1671" s="17" t="s">
        <v>337</v>
      </c>
      <c r="N1671" s="17">
        <v>785</v>
      </c>
      <c r="O1671" s="17">
        <v>499</v>
      </c>
      <c r="P1671" s="26">
        <f>(data[[#This Row],[LoadedMiles]]/data[[#This Row],[TotalMiles]])*100</f>
        <v>63.566878980891715</v>
      </c>
      <c r="Q1671" s="25">
        <f>data[[#This Row],[ShippingCost]]/data[[#This Row],[TotalMiles]]</f>
        <v>0.5592356687898089</v>
      </c>
      <c r="R1671" s="17">
        <v>439</v>
      </c>
      <c r="S1671" s="25">
        <f>data[[#This Row],[Revenue]]/data[[#This Row],[TotalMiles]]</f>
        <v>1.5796178343949046</v>
      </c>
      <c r="T1671" s="26">
        <f>data[[#This Row],[Revenue]]-data[[#This Row],[ShippingCost]]</f>
        <v>801</v>
      </c>
      <c r="U1671" s="17">
        <v>1240</v>
      </c>
      <c r="V1671" s="17">
        <v>80</v>
      </c>
      <c r="W1671" s="17" t="s">
        <v>86</v>
      </c>
      <c r="X1671" s="17">
        <v>10</v>
      </c>
      <c r="Y1671" s="17">
        <f>data[[#This Row],[DeliveryDate]]-data[[#This Row],[ShipDate]]</f>
        <v>1</v>
      </c>
      <c r="Z1671" s="17" t="str">
        <f>IF(data[[#This Row],[Actual Delivery Days]]&gt;AD1672,"Yes","No")</f>
        <v>Yes</v>
      </c>
    </row>
    <row r="1672" spans="1:26">
      <c r="A1672" s="17">
        <v>10991</v>
      </c>
      <c r="B1672" s="17">
        <v>2</v>
      </c>
      <c r="C1672" s="17">
        <v>4</v>
      </c>
      <c r="D1672" s="17" t="s">
        <v>322</v>
      </c>
      <c r="E1672" s="17" t="s">
        <v>108</v>
      </c>
      <c r="F1672" s="17" t="str">
        <f>TEXT(data[[#This Row],[ShipDate]],"yyyy - mmmm")</f>
        <v>2016 - May</v>
      </c>
      <c r="G1672" s="17" t="str">
        <f>data[[#This Row],[OriginCity]] &amp; " - "  &amp; data[[#This Row],[DestinationCity]]</f>
        <v>Kalamazoo - Bangor</v>
      </c>
      <c r="H1672" s="17" t="s">
        <v>71</v>
      </c>
      <c r="I1672" s="17" t="s">
        <v>21</v>
      </c>
      <c r="J1672" s="17">
        <v>1</v>
      </c>
      <c r="K1672" s="17" t="s">
        <v>104</v>
      </c>
      <c r="L1672" s="17" t="s">
        <v>21</v>
      </c>
      <c r="M1672" s="17" t="s">
        <v>109</v>
      </c>
      <c r="N1672" s="17">
        <v>997</v>
      </c>
      <c r="O1672" s="17">
        <v>608</v>
      </c>
      <c r="P1672" s="26">
        <f>(data[[#This Row],[LoadedMiles]]/data[[#This Row],[TotalMiles]])*100</f>
        <v>60.982948846539621</v>
      </c>
      <c r="Q1672" s="25">
        <f>data[[#This Row],[ShippingCost]]/data[[#This Row],[TotalMiles]]</f>
        <v>3.5446339017051152</v>
      </c>
      <c r="R1672" s="17">
        <v>3534</v>
      </c>
      <c r="S1672" s="25">
        <f>data[[#This Row],[Revenue]]/data[[#This Row],[TotalMiles]]</f>
        <v>1.8415245737211634</v>
      </c>
      <c r="T1672" s="26">
        <f>data[[#This Row],[Revenue]]-data[[#This Row],[ShippingCost]]</f>
        <v>-1698</v>
      </c>
      <c r="U1672" s="17">
        <v>1836</v>
      </c>
      <c r="V1672" s="17">
        <v>99</v>
      </c>
      <c r="W1672" s="17" t="s">
        <v>25</v>
      </c>
      <c r="X1672" s="17">
        <v>5</v>
      </c>
      <c r="Y1672" s="17">
        <f>data[[#This Row],[DeliveryDate]]-data[[#This Row],[ShipDate]]</f>
        <v>1</v>
      </c>
      <c r="Z1672" s="17" t="str">
        <f>IF(data[[#This Row],[Actual Delivery Days]]&gt;AD1673,"Yes","No")</f>
        <v>Yes</v>
      </c>
    </row>
    <row r="1673" spans="1:26">
      <c r="A1673" s="17">
        <v>10993</v>
      </c>
      <c r="B1673" s="17">
        <v>3</v>
      </c>
      <c r="C1673" s="17">
        <v>6</v>
      </c>
      <c r="D1673" s="17" t="s">
        <v>328</v>
      </c>
      <c r="E1673" s="17" t="s">
        <v>183</v>
      </c>
      <c r="F1673" s="17" t="str">
        <f>TEXT(data[[#This Row],[ShipDate]],"yyyy - mmmm")</f>
        <v>2016 - July</v>
      </c>
      <c r="G1673" s="17" t="str">
        <f>data[[#This Row],[OriginCity]] &amp; " - "  &amp; data[[#This Row],[DestinationCity]]</f>
        <v>Springfield - Skokie</v>
      </c>
      <c r="H1673" s="17" t="s">
        <v>30</v>
      </c>
      <c r="I1673" s="17" t="s">
        <v>31</v>
      </c>
      <c r="J1673" s="17">
        <v>1</v>
      </c>
      <c r="K1673" s="17" t="s">
        <v>35</v>
      </c>
      <c r="L1673" s="17" t="s">
        <v>31</v>
      </c>
      <c r="M1673" s="17" t="s">
        <v>149</v>
      </c>
      <c r="N1673" s="17">
        <v>555</v>
      </c>
      <c r="O1673" s="17">
        <v>555</v>
      </c>
      <c r="P1673" s="26">
        <f>(data[[#This Row],[LoadedMiles]]/data[[#This Row],[TotalMiles]])*100</f>
        <v>100</v>
      </c>
      <c r="Q1673" s="25">
        <f>data[[#This Row],[ShippingCost]]/data[[#This Row],[TotalMiles]]</f>
        <v>9.077477477477478</v>
      </c>
      <c r="R1673" s="17">
        <v>5038</v>
      </c>
      <c r="S1673" s="25">
        <f>data[[#This Row],[Revenue]]/data[[#This Row],[TotalMiles]]</f>
        <v>10.695495495495495</v>
      </c>
      <c r="T1673" s="26">
        <f>data[[#This Row],[Revenue]]-data[[#This Row],[ShippingCost]]</f>
        <v>898</v>
      </c>
      <c r="U1673" s="17">
        <v>5936</v>
      </c>
      <c r="V1673" s="17">
        <v>75</v>
      </c>
      <c r="W1673" s="17" t="s">
        <v>25</v>
      </c>
      <c r="X1673" s="17">
        <v>3</v>
      </c>
      <c r="Y1673" s="17">
        <f>data[[#This Row],[DeliveryDate]]-data[[#This Row],[ShipDate]]</f>
        <v>1</v>
      </c>
      <c r="Z1673" s="17" t="str">
        <f>IF(data[[#This Row],[Actual Delivery Days]]&gt;AD1674,"Yes","No")</f>
        <v>Yes</v>
      </c>
    </row>
    <row r="1674" spans="1:26">
      <c r="A1674" s="17">
        <v>11000</v>
      </c>
      <c r="B1674" s="17">
        <v>3</v>
      </c>
      <c r="C1674" s="17">
        <v>6</v>
      </c>
      <c r="D1674" s="17" t="s">
        <v>340</v>
      </c>
      <c r="E1674" s="17" t="s">
        <v>616</v>
      </c>
      <c r="F1674" s="17" t="str">
        <f>TEXT(data[[#This Row],[ShipDate]],"yyyy - mmmm")</f>
        <v>2016 - May</v>
      </c>
      <c r="G1674" s="17" t="str">
        <f>data[[#This Row],[OriginCity]] &amp; " - "  &amp; data[[#This Row],[DestinationCity]]</f>
        <v>Madison - Kalamazoo</v>
      </c>
      <c r="H1674" s="17" t="s">
        <v>62</v>
      </c>
      <c r="I1674" s="17" t="s">
        <v>29</v>
      </c>
      <c r="J1674" s="17">
        <v>1</v>
      </c>
      <c r="K1674" s="17" t="s">
        <v>71</v>
      </c>
      <c r="L1674" s="17" t="s">
        <v>21</v>
      </c>
      <c r="M1674" s="17" t="s">
        <v>509</v>
      </c>
      <c r="N1674" s="17">
        <v>287</v>
      </c>
      <c r="O1674" s="17">
        <v>205</v>
      </c>
      <c r="P1674" s="26">
        <f>(data[[#This Row],[LoadedMiles]]/data[[#This Row],[TotalMiles]])*100</f>
        <v>71.428571428571431</v>
      </c>
      <c r="Q1674" s="25">
        <f>data[[#This Row],[ShippingCost]]/data[[#This Row],[TotalMiles]]</f>
        <v>16.087108013937282</v>
      </c>
      <c r="R1674" s="17">
        <v>4617</v>
      </c>
      <c r="S1674" s="25">
        <f>data[[#This Row],[Revenue]]/data[[#This Row],[TotalMiles]]</f>
        <v>18.097560975609756</v>
      </c>
      <c r="T1674" s="26">
        <f>data[[#This Row],[Revenue]]-data[[#This Row],[ShippingCost]]</f>
        <v>577</v>
      </c>
      <c r="U1674" s="17">
        <v>5194</v>
      </c>
      <c r="V1674" s="17">
        <v>64</v>
      </c>
      <c r="W1674" s="17" t="s">
        <v>86</v>
      </c>
      <c r="X1674" s="17">
        <v>1</v>
      </c>
      <c r="Y1674" s="17">
        <f>data[[#This Row],[DeliveryDate]]-data[[#This Row],[ShipDate]]</f>
        <v>1</v>
      </c>
      <c r="Z1674" s="17" t="str">
        <f>IF(data[[#This Row],[Actual Delivery Days]]&gt;AD1675,"Yes","No")</f>
        <v>Yes</v>
      </c>
    </row>
    <row r="1675" spans="1:26">
      <c r="A1675" s="17">
        <v>11019</v>
      </c>
      <c r="B1675" s="17">
        <v>2</v>
      </c>
      <c r="C1675" s="17">
        <v>4</v>
      </c>
      <c r="D1675" s="17" t="s">
        <v>372</v>
      </c>
      <c r="E1675" s="17" t="s">
        <v>270</v>
      </c>
      <c r="F1675" s="17" t="str">
        <f>TEXT(data[[#This Row],[ShipDate]],"yyyy - mmmm")</f>
        <v>2016 - April</v>
      </c>
      <c r="G1675" s="17" t="str">
        <f>data[[#This Row],[OriginCity]] &amp; " - "  &amp; data[[#This Row],[DestinationCity]]</f>
        <v>Detriot - Monon</v>
      </c>
      <c r="H1675" s="17" t="s">
        <v>52</v>
      </c>
      <c r="I1675" s="17" t="s">
        <v>21</v>
      </c>
      <c r="J1675" s="17">
        <v>1</v>
      </c>
      <c r="K1675" s="17" t="s">
        <v>53</v>
      </c>
      <c r="L1675" s="17" t="s">
        <v>44</v>
      </c>
      <c r="M1675" s="17" t="s">
        <v>122</v>
      </c>
      <c r="N1675" s="17">
        <v>818</v>
      </c>
      <c r="O1675" s="17">
        <v>743</v>
      </c>
      <c r="P1675" s="26">
        <f>(data[[#This Row],[LoadedMiles]]/data[[#This Row],[TotalMiles]])*100</f>
        <v>90.831295843520792</v>
      </c>
      <c r="Q1675" s="25">
        <f>data[[#This Row],[ShippingCost]]/data[[#This Row],[TotalMiles]]</f>
        <v>9.1638141809290961</v>
      </c>
      <c r="R1675" s="17">
        <v>7496</v>
      </c>
      <c r="S1675" s="25">
        <f>data[[#This Row],[Revenue]]/data[[#This Row],[TotalMiles]]</f>
        <v>7.711491442542787</v>
      </c>
      <c r="T1675" s="26">
        <f>data[[#This Row],[Revenue]]-data[[#This Row],[ShippingCost]]</f>
        <v>-1188</v>
      </c>
      <c r="U1675" s="17">
        <v>6308</v>
      </c>
      <c r="V1675" s="17">
        <v>67</v>
      </c>
      <c r="W1675" s="17" t="s">
        <v>86</v>
      </c>
      <c r="X1675" s="17">
        <v>1</v>
      </c>
      <c r="Y1675" s="17">
        <f>data[[#This Row],[DeliveryDate]]-data[[#This Row],[ShipDate]]</f>
        <v>1</v>
      </c>
      <c r="Z1675" s="17" t="str">
        <f>IF(data[[#This Row],[Actual Delivery Days]]&gt;AD1676,"Yes","No")</f>
        <v>Yes</v>
      </c>
    </row>
    <row r="1676" spans="1:26">
      <c r="A1676" s="17">
        <v>11030</v>
      </c>
      <c r="B1676" s="17">
        <v>3</v>
      </c>
      <c r="C1676" s="17">
        <v>4</v>
      </c>
      <c r="D1676" s="17" t="s">
        <v>389</v>
      </c>
      <c r="E1676" s="17" t="s">
        <v>82</v>
      </c>
      <c r="F1676" s="17" t="str">
        <f>TEXT(data[[#This Row],[ShipDate]],"yyyy - mmmm")</f>
        <v>2016 - March</v>
      </c>
      <c r="G1676" s="17" t="str">
        <f>data[[#This Row],[OriginCity]] &amp; " - "  &amp; data[[#This Row],[DestinationCity]]</f>
        <v>Toledo - Detriot</v>
      </c>
      <c r="H1676" s="17" t="s">
        <v>22</v>
      </c>
      <c r="I1676" s="17" t="s">
        <v>23</v>
      </c>
      <c r="J1676" s="17">
        <v>1</v>
      </c>
      <c r="K1676" s="17" t="s">
        <v>52</v>
      </c>
      <c r="L1676" s="17" t="s">
        <v>21</v>
      </c>
      <c r="M1676" s="17" t="s">
        <v>130</v>
      </c>
      <c r="N1676" s="17">
        <v>922</v>
      </c>
      <c r="O1676" s="17">
        <v>292</v>
      </c>
      <c r="P1676" s="26">
        <f>(data[[#This Row],[LoadedMiles]]/data[[#This Row],[TotalMiles]])*100</f>
        <v>31.670281995661604</v>
      </c>
      <c r="Q1676" s="25">
        <f>data[[#This Row],[ShippingCost]]/data[[#This Row],[TotalMiles]]</f>
        <v>2.6106290672451191</v>
      </c>
      <c r="R1676" s="17">
        <v>2407</v>
      </c>
      <c r="S1676" s="25">
        <f>data[[#This Row],[Revenue]]/data[[#This Row],[TotalMiles]]</f>
        <v>4.3383947939262472E-2</v>
      </c>
      <c r="T1676" s="26">
        <f>data[[#This Row],[Revenue]]-data[[#This Row],[ShippingCost]]</f>
        <v>-2367</v>
      </c>
      <c r="U1676" s="17">
        <v>40</v>
      </c>
      <c r="V1676" s="17">
        <v>83</v>
      </c>
      <c r="W1676" s="17" t="s">
        <v>25</v>
      </c>
      <c r="X1676" s="17">
        <v>10</v>
      </c>
      <c r="Y1676" s="17">
        <f>data[[#This Row],[DeliveryDate]]-data[[#This Row],[ShipDate]]</f>
        <v>1</v>
      </c>
      <c r="Z1676" s="17" t="str">
        <f>IF(data[[#This Row],[Actual Delivery Days]]&gt;AD1677,"Yes","No")</f>
        <v>Yes</v>
      </c>
    </row>
    <row r="1677" spans="1:26">
      <c r="A1677" s="17">
        <v>11032</v>
      </c>
      <c r="B1677" s="17">
        <v>3</v>
      </c>
      <c r="C1677" s="17">
        <v>5</v>
      </c>
      <c r="D1677" s="17" t="s">
        <v>392</v>
      </c>
      <c r="E1677" s="17" t="s">
        <v>435</v>
      </c>
      <c r="F1677" s="17" t="str">
        <f>TEXT(data[[#This Row],[ShipDate]],"yyyy - mmmm")</f>
        <v>2016 - February</v>
      </c>
      <c r="G1677" s="17" t="str">
        <f>data[[#This Row],[OriginCity]] &amp; " - "  &amp; data[[#This Row],[DestinationCity]]</f>
        <v>Bangor - Davenport</v>
      </c>
      <c r="H1677" s="17" t="s">
        <v>104</v>
      </c>
      <c r="I1677" s="17" t="s">
        <v>21</v>
      </c>
      <c r="J1677" s="17">
        <v>1</v>
      </c>
      <c r="K1677" s="17" t="s">
        <v>105</v>
      </c>
      <c r="L1677" s="17" t="s">
        <v>106</v>
      </c>
      <c r="M1677" s="17" t="s">
        <v>611</v>
      </c>
      <c r="N1677" s="17">
        <v>778</v>
      </c>
      <c r="O1677" s="17">
        <v>640</v>
      </c>
      <c r="P1677" s="26">
        <f>(data[[#This Row],[LoadedMiles]]/data[[#This Row],[TotalMiles]])*100</f>
        <v>82.26221079691517</v>
      </c>
      <c r="Q1677" s="25">
        <f>data[[#This Row],[ShippingCost]]/data[[#This Row],[TotalMiles]]</f>
        <v>4.2262210796915163</v>
      </c>
      <c r="R1677" s="17">
        <v>3288</v>
      </c>
      <c r="S1677" s="25">
        <f>data[[#This Row],[Revenue]]/data[[#This Row],[TotalMiles]]</f>
        <v>5.1092544987146526</v>
      </c>
      <c r="T1677" s="26">
        <f>data[[#This Row],[Revenue]]-data[[#This Row],[ShippingCost]]</f>
        <v>687</v>
      </c>
      <c r="U1677" s="17">
        <v>3975</v>
      </c>
      <c r="V1677" s="17">
        <v>84</v>
      </c>
      <c r="W1677" s="17" t="s">
        <v>25</v>
      </c>
      <c r="X1677" s="17">
        <v>2</v>
      </c>
      <c r="Y1677" s="17">
        <f>data[[#This Row],[DeliveryDate]]-data[[#This Row],[ShipDate]]</f>
        <v>1</v>
      </c>
      <c r="Z1677" s="17" t="str">
        <f>IF(data[[#This Row],[Actual Delivery Days]]&gt;AD1678,"Yes","No")</f>
        <v>Yes</v>
      </c>
    </row>
    <row r="1678" spans="1:26">
      <c r="A1678" s="17">
        <v>11036</v>
      </c>
      <c r="B1678" s="17">
        <v>3</v>
      </c>
      <c r="C1678" s="17">
        <v>5</v>
      </c>
      <c r="D1678" s="17" t="s">
        <v>402</v>
      </c>
      <c r="E1678" s="17" t="s">
        <v>415</v>
      </c>
      <c r="F1678" s="17" t="str">
        <f>TEXT(data[[#This Row],[ShipDate]],"yyyy - mmmm")</f>
        <v>2016 - August</v>
      </c>
      <c r="G1678" s="17" t="str">
        <f>data[[#This Row],[OriginCity]] &amp; " - "  &amp; data[[#This Row],[DestinationCity]]</f>
        <v>Springfield - Skokie</v>
      </c>
      <c r="H1678" s="17" t="s">
        <v>30</v>
      </c>
      <c r="I1678" s="17" t="s">
        <v>31</v>
      </c>
      <c r="J1678" s="17">
        <v>1</v>
      </c>
      <c r="K1678" s="17" t="s">
        <v>35</v>
      </c>
      <c r="L1678" s="17" t="s">
        <v>31</v>
      </c>
      <c r="M1678" s="17" t="s">
        <v>416</v>
      </c>
      <c r="N1678" s="17">
        <v>1135</v>
      </c>
      <c r="O1678" s="17">
        <v>614</v>
      </c>
      <c r="P1678" s="26">
        <f>(data[[#This Row],[LoadedMiles]]/data[[#This Row],[TotalMiles]])*100</f>
        <v>54.096916299559474</v>
      </c>
      <c r="Q1678" s="25">
        <f>data[[#This Row],[ShippingCost]]/data[[#This Row],[TotalMiles]]</f>
        <v>1.3383259911894274</v>
      </c>
      <c r="R1678" s="17">
        <v>1519</v>
      </c>
      <c r="S1678" s="25">
        <f>data[[#This Row],[Revenue]]/data[[#This Row],[TotalMiles]]</f>
        <v>1.9101321585903084</v>
      </c>
      <c r="T1678" s="26">
        <f>data[[#This Row],[Revenue]]-data[[#This Row],[ShippingCost]]</f>
        <v>649</v>
      </c>
      <c r="U1678" s="17">
        <v>2168</v>
      </c>
      <c r="V1678" s="17">
        <v>95</v>
      </c>
      <c r="W1678" s="17" t="s">
        <v>86</v>
      </c>
      <c r="X1678" s="17">
        <v>8</v>
      </c>
      <c r="Y1678" s="17">
        <f>data[[#This Row],[DeliveryDate]]-data[[#This Row],[ShipDate]]</f>
        <v>1</v>
      </c>
      <c r="Z1678" s="17" t="str">
        <f>IF(data[[#This Row],[Actual Delivery Days]]&gt;AD1679,"Yes","No")</f>
        <v>Yes</v>
      </c>
    </row>
    <row r="1679" spans="1:26">
      <c r="A1679" s="17">
        <v>11055</v>
      </c>
      <c r="B1679" s="17">
        <v>2</v>
      </c>
      <c r="C1679" s="17">
        <v>6</v>
      </c>
      <c r="D1679" s="17" t="s">
        <v>436</v>
      </c>
      <c r="E1679" s="17" t="s">
        <v>619</v>
      </c>
      <c r="F1679" s="17" t="str">
        <f>TEXT(data[[#This Row],[ShipDate]],"yyyy - mmmm")</f>
        <v>2016 - June</v>
      </c>
      <c r="G1679" s="17" t="str">
        <f>data[[#This Row],[OriginCity]] &amp; " - "  &amp; data[[#This Row],[DestinationCity]]</f>
        <v>Davenport - Appleton</v>
      </c>
      <c r="H1679" s="17" t="s">
        <v>105</v>
      </c>
      <c r="I1679" s="17" t="s">
        <v>106</v>
      </c>
      <c r="J1679" s="17">
        <v>1</v>
      </c>
      <c r="K1679" s="17" t="s">
        <v>85</v>
      </c>
      <c r="L1679" s="17" t="s">
        <v>29</v>
      </c>
      <c r="M1679" s="17" t="s">
        <v>177</v>
      </c>
      <c r="N1679" s="17">
        <v>949</v>
      </c>
      <c r="O1679" s="17">
        <v>439</v>
      </c>
      <c r="P1679" s="26">
        <f>(data[[#This Row],[LoadedMiles]]/data[[#This Row],[TotalMiles]])*100</f>
        <v>46.259220231822972</v>
      </c>
      <c r="Q1679" s="25">
        <f>data[[#This Row],[ShippingCost]]/data[[#This Row],[TotalMiles]]</f>
        <v>1.6322444678609063</v>
      </c>
      <c r="R1679" s="17">
        <v>1549</v>
      </c>
      <c r="S1679" s="25">
        <f>data[[#This Row],[Revenue]]/data[[#This Row],[TotalMiles]]</f>
        <v>2.6217070600632244</v>
      </c>
      <c r="T1679" s="26">
        <f>data[[#This Row],[Revenue]]-data[[#This Row],[ShippingCost]]</f>
        <v>939</v>
      </c>
      <c r="U1679" s="17">
        <v>2488</v>
      </c>
      <c r="V1679" s="17">
        <v>65</v>
      </c>
      <c r="W1679" s="17" t="s">
        <v>25</v>
      </c>
      <c r="X1679" s="17">
        <v>7</v>
      </c>
      <c r="Y1679" s="17">
        <f>data[[#This Row],[DeliveryDate]]-data[[#This Row],[ShipDate]]</f>
        <v>1</v>
      </c>
      <c r="Z1679" s="17" t="str">
        <f>IF(data[[#This Row],[Actual Delivery Days]]&gt;AD1680,"Yes","No")</f>
        <v>Yes</v>
      </c>
    </row>
    <row r="1680" spans="1:26">
      <c r="A1680" s="17">
        <v>11061</v>
      </c>
      <c r="B1680" s="17">
        <v>2</v>
      </c>
      <c r="C1680" s="17">
        <v>3</v>
      </c>
      <c r="D1680" s="17" t="s">
        <v>445</v>
      </c>
      <c r="E1680" s="17" t="s">
        <v>191</v>
      </c>
      <c r="F1680" s="17" t="str">
        <f>TEXT(data[[#This Row],[ShipDate]],"yyyy - mmmm")</f>
        <v>2016 - July</v>
      </c>
      <c r="G1680" s="17" t="str">
        <f>data[[#This Row],[OriginCity]] &amp; " - "  &amp; data[[#This Row],[DestinationCity]]</f>
        <v>Northbrook - Naperville</v>
      </c>
      <c r="H1680" s="17" t="s">
        <v>45</v>
      </c>
      <c r="I1680" s="17" t="s">
        <v>31</v>
      </c>
      <c r="J1680" s="17">
        <v>1</v>
      </c>
      <c r="K1680" s="17" t="s">
        <v>48</v>
      </c>
      <c r="L1680" s="17" t="s">
        <v>31</v>
      </c>
      <c r="M1680" s="17" t="s">
        <v>179</v>
      </c>
      <c r="N1680" s="17">
        <v>567</v>
      </c>
      <c r="O1680" s="17">
        <v>567</v>
      </c>
      <c r="P1680" s="26">
        <f>(data[[#This Row],[LoadedMiles]]/data[[#This Row],[TotalMiles]])*100</f>
        <v>100</v>
      </c>
      <c r="Q1680" s="25">
        <f>data[[#This Row],[ShippingCost]]/data[[#This Row],[TotalMiles]]</f>
        <v>11.754850088183421</v>
      </c>
      <c r="R1680" s="17">
        <v>6665</v>
      </c>
      <c r="S1680" s="25">
        <f>data[[#This Row],[Revenue]]/data[[#This Row],[TotalMiles]]</f>
        <v>12.261022927689595</v>
      </c>
      <c r="T1680" s="26">
        <f>data[[#This Row],[Revenue]]-data[[#This Row],[ShippingCost]]</f>
        <v>287</v>
      </c>
      <c r="U1680" s="17">
        <v>6952</v>
      </c>
      <c r="V1680" s="17">
        <v>85</v>
      </c>
      <c r="W1680" s="17" t="s">
        <v>25</v>
      </c>
      <c r="X1680" s="17">
        <v>7</v>
      </c>
      <c r="Y1680" s="17">
        <f>data[[#This Row],[DeliveryDate]]-data[[#This Row],[ShipDate]]</f>
        <v>1</v>
      </c>
      <c r="Z1680" s="17" t="str">
        <f>IF(data[[#This Row],[Actual Delivery Days]]&gt;AD1681,"Yes","No")</f>
        <v>Yes</v>
      </c>
    </row>
    <row r="1681" spans="1:26">
      <c r="A1681" s="17">
        <v>11063</v>
      </c>
      <c r="B1681" s="17">
        <v>2</v>
      </c>
      <c r="C1681" s="17">
        <v>4</v>
      </c>
      <c r="D1681" s="17" t="s">
        <v>448</v>
      </c>
      <c r="E1681" s="17" t="s">
        <v>353</v>
      </c>
      <c r="F1681" s="17" t="str">
        <f>TEXT(data[[#This Row],[ShipDate]],"yyyy - mmmm")</f>
        <v>2016 - March</v>
      </c>
      <c r="G1681" s="17" t="str">
        <f>data[[#This Row],[OriginCity]] &amp; " - "  &amp; data[[#This Row],[DestinationCity]]</f>
        <v>Gary - Milwaukee</v>
      </c>
      <c r="H1681" s="17" t="s">
        <v>57</v>
      </c>
      <c r="I1681" s="17" t="s">
        <v>44</v>
      </c>
      <c r="J1681" s="17">
        <v>1</v>
      </c>
      <c r="K1681" s="17" t="s">
        <v>28</v>
      </c>
      <c r="L1681" s="17" t="s">
        <v>29</v>
      </c>
      <c r="M1681" s="17" t="s">
        <v>76</v>
      </c>
      <c r="N1681" s="17">
        <v>938</v>
      </c>
      <c r="O1681" s="17">
        <v>260</v>
      </c>
      <c r="P1681" s="26">
        <f>(data[[#This Row],[LoadedMiles]]/data[[#This Row],[TotalMiles]])*100</f>
        <v>27.718550106609808</v>
      </c>
      <c r="Q1681" s="25">
        <f>data[[#This Row],[ShippingCost]]/data[[#This Row],[TotalMiles]]</f>
        <v>3.4136460554371002</v>
      </c>
      <c r="R1681" s="17">
        <v>3202</v>
      </c>
      <c r="S1681" s="25">
        <f>data[[#This Row],[Revenue]]/data[[#This Row],[TotalMiles]]</f>
        <v>0.43070362473347545</v>
      </c>
      <c r="T1681" s="26">
        <f>data[[#This Row],[Revenue]]-data[[#This Row],[ShippingCost]]</f>
        <v>-2798</v>
      </c>
      <c r="U1681" s="17">
        <v>404</v>
      </c>
      <c r="V1681" s="17">
        <v>93</v>
      </c>
      <c r="W1681" s="17" t="s">
        <v>25</v>
      </c>
      <c r="X1681" s="17">
        <v>6</v>
      </c>
      <c r="Y1681" s="17">
        <f>data[[#This Row],[DeliveryDate]]-data[[#This Row],[ShipDate]]</f>
        <v>1</v>
      </c>
      <c r="Z1681" s="17" t="str">
        <f>IF(data[[#This Row],[Actual Delivery Days]]&gt;AD1682,"Yes","No")</f>
        <v>Yes</v>
      </c>
    </row>
    <row r="1682" spans="1:26">
      <c r="A1682" s="17">
        <v>11081</v>
      </c>
      <c r="B1682" s="17">
        <v>2</v>
      </c>
      <c r="C1682" s="17">
        <v>3</v>
      </c>
      <c r="D1682" s="17" t="s">
        <v>478</v>
      </c>
      <c r="E1682" s="17" t="s">
        <v>24</v>
      </c>
      <c r="F1682" s="17" t="str">
        <f>TEXT(data[[#This Row],[ShipDate]],"yyyy - mmmm")</f>
        <v>2016 - July</v>
      </c>
      <c r="G1682" s="17" t="str">
        <f>data[[#This Row],[OriginCity]] &amp; " - "  &amp; data[[#This Row],[DestinationCity]]</f>
        <v>Indianapolis - Northbrook</v>
      </c>
      <c r="H1682" s="17" t="s">
        <v>43</v>
      </c>
      <c r="I1682" s="17" t="s">
        <v>44</v>
      </c>
      <c r="J1682" s="17">
        <v>1</v>
      </c>
      <c r="K1682" s="17" t="s">
        <v>45</v>
      </c>
      <c r="L1682" s="17" t="s">
        <v>31</v>
      </c>
      <c r="M1682" s="17" t="s">
        <v>622</v>
      </c>
      <c r="N1682" s="17">
        <v>1062</v>
      </c>
      <c r="O1682" s="17">
        <v>770</v>
      </c>
      <c r="P1682" s="26">
        <f>(data[[#This Row],[LoadedMiles]]/data[[#This Row],[TotalMiles]])*100</f>
        <v>72.504708097928443</v>
      </c>
      <c r="Q1682" s="25">
        <f>data[[#This Row],[ShippingCost]]/data[[#This Row],[TotalMiles]]</f>
        <v>3.3154425612052729</v>
      </c>
      <c r="R1682" s="17">
        <v>3521</v>
      </c>
      <c r="S1682" s="25">
        <f>data[[#This Row],[Revenue]]/data[[#This Row],[TotalMiles]]</f>
        <v>3.5856873822975519</v>
      </c>
      <c r="T1682" s="26">
        <f>data[[#This Row],[Revenue]]-data[[#This Row],[ShippingCost]]</f>
        <v>287</v>
      </c>
      <c r="U1682" s="17">
        <v>3808</v>
      </c>
      <c r="V1682" s="17">
        <v>76</v>
      </c>
      <c r="W1682" s="17" t="s">
        <v>25</v>
      </c>
      <c r="X1682" s="17">
        <v>9</v>
      </c>
      <c r="Y1682" s="17">
        <f>data[[#This Row],[DeliveryDate]]-data[[#This Row],[ShipDate]]</f>
        <v>1</v>
      </c>
      <c r="Z1682" s="17" t="str">
        <f>IF(data[[#This Row],[Actual Delivery Days]]&gt;AD1683,"Yes","No")</f>
        <v>Yes</v>
      </c>
    </row>
    <row r="1683" spans="1:26">
      <c r="A1683" s="17">
        <v>11090</v>
      </c>
      <c r="B1683" s="17">
        <v>3</v>
      </c>
      <c r="C1683" s="17">
        <v>6</v>
      </c>
      <c r="D1683" s="17" t="s">
        <v>489</v>
      </c>
      <c r="E1683" s="17" t="s">
        <v>386</v>
      </c>
      <c r="F1683" s="17" t="str">
        <f>TEXT(data[[#This Row],[ShipDate]],"yyyy - mmmm")</f>
        <v>2016 - July</v>
      </c>
      <c r="G1683" s="17" t="str">
        <f>data[[#This Row],[OriginCity]] &amp; " - "  &amp; data[[#This Row],[DestinationCity]]</f>
        <v>Appleton - Grand Rapids</v>
      </c>
      <c r="H1683" s="17" t="s">
        <v>85</v>
      </c>
      <c r="I1683" s="17" t="s">
        <v>29</v>
      </c>
      <c r="J1683" s="17">
        <v>1</v>
      </c>
      <c r="K1683" s="17" t="s">
        <v>20</v>
      </c>
      <c r="L1683" s="17" t="s">
        <v>21</v>
      </c>
      <c r="M1683" s="17" t="s">
        <v>513</v>
      </c>
      <c r="N1683" s="17">
        <v>708</v>
      </c>
      <c r="O1683" s="17">
        <v>209</v>
      </c>
      <c r="P1683" s="26">
        <f>(data[[#This Row],[LoadedMiles]]/data[[#This Row],[TotalMiles]])*100</f>
        <v>29.51977401129944</v>
      </c>
      <c r="Q1683" s="25">
        <f>data[[#This Row],[ShippingCost]]/data[[#This Row],[TotalMiles]]</f>
        <v>6.9646892655367232</v>
      </c>
      <c r="R1683" s="17">
        <v>4931</v>
      </c>
      <c r="S1683" s="25">
        <f>data[[#This Row],[Revenue]]/data[[#This Row],[TotalMiles]]</f>
        <v>7.9180790960451981</v>
      </c>
      <c r="T1683" s="26">
        <f>data[[#This Row],[Revenue]]-data[[#This Row],[ShippingCost]]</f>
        <v>675</v>
      </c>
      <c r="U1683" s="17">
        <v>5606</v>
      </c>
      <c r="V1683" s="17">
        <v>97</v>
      </c>
      <c r="W1683" s="17" t="s">
        <v>86</v>
      </c>
      <c r="X1683" s="17">
        <v>6</v>
      </c>
      <c r="Y1683" s="17">
        <f>data[[#This Row],[DeliveryDate]]-data[[#This Row],[ShipDate]]</f>
        <v>1</v>
      </c>
      <c r="Z1683" s="17" t="str">
        <f>IF(data[[#This Row],[Actual Delivery Days]]&gt;AD1684,"Yes","No")</f>
        <v>Yes</v>
      </c>
    </row>
    <row r="1684" spans="1:26">
      <c r="A1684" s="17">
        <v>11097</v>
      </c>
      <c r="B1684" s="17">
        <v>3</v>
      </c>
      <c r="C1684" s="17">
        <v>3</v>
      </c>
      <c r="D1684" s="17" t="s">
        <v>497</v>
      </c>
      <c r="E1684" s="17" t="s">
        <v>236</v>
      </c>
      <c r="F1684" s="17" t="str">
        <f>TEXT(data[[#This Row],[ShipDate]],"yyyy - mmmm")</f>
        <v>2016 - January</v>
      </c>
      <c r="G1684" s="17" t="str">
        <f>data[[#This Row],[OriginCity]] &amp; " - "  &amp; data[[#This Row],[DestinationCity]]</f>
        <v>Skokie - Chicago</v>
      </c>
      <c r="H1684" s="17" t="s">
        <v>35</v>
      </c>
      <c r="I1684" s="17" t="s">
        <v>31</v>
      </c>
      <c r="J1684" s="17">
        <v>1</v>
      </c>
      <c r="K1684" s="17" t="s">
        <v>39</v>
      </c>
      <c r="L1684" s="17" t="s">
        <v>31</v>
      </c>
      <c r="M1684" s="17" t="s">
        <v>166</v>
      </c>
      <c r="N1684" s="17">
        <v>923</v>
      </c>
      <c r="O1684" s="17">
        <v>745</v>
      </c>
      <c r="P1684" s="26">
        <f>(data[[#This Row],[LoadedMiles]]/data[[#This Row],[TotalMiles]])*100</f>
        <v>80.715059588299027</v>
      </c>
      <c r="Q1684" s="25">
        <f>data[[#This Row],[ShippingCost]]/data[[#This Row],[TotalMiles]]</f>
        <v>4.5980498374864576</v>
      </c>
      <c r="R1684" s="17">
        <v>4244</v>
      </c>
      <c r="S1684" s="25">
        <f>data[[#This Row],[Revenue]]/data[[#This Row],[TotalMiles]]</f>
        <v>5.6283856988082341</v>
      </c>
      <c r="T1684" s="26">
        <f>data[[#This Row],[Revenue]]-data[[#This Row],[ShippingCost]]</f>
        <v>951</v>
      </c>
      <c r="U1684" s="17">
        <v>5195</v>
      </c>
      <c r="V1684" s="17">
        <v>54</v>
      </c>
      <c r="W1684" s="17" t="s">
        <v>25</v>
      </c>
      <c r="X1684" s="17">
        <v>5</v>
      </c>
      <c r="Y1684" s="17">
        <f>data[[#This Row],[DeliveryDate]]-data[[#This Row],[ShipDate]]</f>
        <v>1</v>
      </c>
      <c r="Z1684" s="17" t="str">
        <f>IF(data[[#This Row],[Actual Delivery Days]]&gt;AD1685,"Yes","No")</f>
        <v>Yes</v>
      </c>
    </row>
    <row r="1685" spans="1:26">
      <c r="A1685" s="17">
        <v>11101</v>
      </c>
      <c r="B1685" s="17">
        <v>3</v>
      </c>
      <c r="C1685" s="17">
        <v>2</v>
      </c>
      <c r="D1685" s="17" t="s">
        <v>503</v>
      </c>
      <c r="E1685" s="17" t="s">
        <v>444</v>
      </c>
      <c r="F1685" s="17" t="str">
        <f>TEXT(data[[#This Row],[ShipDate]],"yyyy - mmmm")</f>
        <v>2016 - June</v>
      </c>
      <c r="G1685" s="17" t="str">
        <f>data[[#This Row],[OriginCity]] &amp; " - "  &amp; data[[#This Row],[DestinationCity]]</f>
        <v>Milwaukee - Springfield</v>
      </c>
      <c r="H1685" s="17" t="s">
        <v>28</v>
      </c>
      <c r="I1685" s="17" t="s">
        <v>29</v>
      </c>
      <c r="J1685" s="17">
        <v>1</v>
      </c>
      <c r="K1685" s="17" t="s">
        <v>30</v>
      </c>
      <c r="L1685" s="17" t="s">
        <v>31</v>
      </c>
      <c r="M1685" s="17" t="s">
        <v>410</v>
      </c>
      <c r="N1685" s="17">
        <v>982</v>
      </c>
      <c r="O1685" s="17">
        <v>710</v>
      </c>
      <c r="P1685" s="26">
        <f>(data[[#This Row],[LoadedMiles]]/data[[#This Row],[TotalMiles]])*100</f>
        <v>72.301425661914465</v>
      </c>
      <c r="Q1685" s="25">
        <f>data[[#This Row],[ShippingCost]]/data[[#This Row],[TotalMiles]]</f>
        <v>5.0386965376782076</v>
      </c>
      <c r="R1685" s="17">
        <v>4948</v>
      </c>
      <c r="S1685" s="25">
        <f>data[[#This Row],[Revenue]]/data[[#This Row],[TotalMiles]]</f>
        <v>5.2077393075356415</v>
      </c>
      <c r="T1685" s="26">
        <f>data[[#This Row],[Revenue]]-data[[#This Row],[ShippingCost]]</f>
        <v>166</v>
      </c>
      <c r="U1685" s="17">
        <v>5114</v>
      </c>
      <c r="V1685" s="17">
        <v>91</v>
      </c>
      <c r="W1685" s="17" t="s">
        <v>25</v>
      </c>
      <c r="X1685" s="17">
        <v>5</v>
      </c>
      <c r="Y1685" s="17">
        <f>data[[#This Row],[DeliveryDate]]-data[[#This Row],[ShipDate]]</f>
        <v>1</v>
      </c>
      <c r="Z1685" s="17" t="str">
        <f>IF(data[[#This Row],[Actual Delivery Days]]&gt;AD1686,"Yes","No")</f>
        <v>Yes</v>
      </c>
    </row>
    <row r="1686" spans="1:26">
      <c r="A1686" s="17">
        <v>11102</v>
      </c>
      <c r="B1686" s="17">
        <v>3</v>
      </c>
      <c r="C1686" s="17">
        <v>5</v>
      </c>
      <c r="D1686" s="17" t="s">
        <v>504</v>
      </c>
      <c r="E1686" s="17" t="s">
        <v>158</v>
      </c>
      <c r="F1686" s="17" t="str">
        <f>TEXT(data[[#This Row],[ShipDate]],"yyyy - mmmm")</f>
        <v>2016 - April</v>
      </c>
      <c r="G1686" s="17" t="str">
        <f>data[[#This Row],[OriginCity]] &amp; " - "  &amp; data[[#This Row],[DestinationCity]]</f>
        <v>Springfield - Skokie</v>
      </c>
      <c r="H1686" s="17" t="s">
        <v>30</v>
      </c>
      <c r="I1686" s="17" t="s">
        <v>31</v>
      </c>
      <c r="J1686" s="17">
        <v>1</v>
      </c>
      <c r="K1686" s="17" t="s">
        <v>35</v>
      </c>
      <c r="L1686" s="17" t="s">
        <v>31</v>
      </c>
      <c r="M1686" s="17" t="s">
        <v>161</v>
      </c>
      <c r="N1686" s="17">
        <v>303</v>
      </c>
      <c r="O1686" s="17">
        <v>303</v>
      </c>
      <c r="P1686" s="26">
        <f>(data[[#This Row],[LoadedMiles]]/data[[#This Row],[TotalMiles]])*100</f>
        <v>100</v>
      </c>
      <c r="Q1686" s="25">
        <f>data[[#This Row],[ShippingCost]]/data[[#This Row],[TotalMiles]]</f>
        <v>12.825082508250825</v>
      </c>
      <c r="R1686" s="17">
        <v>3886</v>
      </c>
      <c r="S1686" s="25">
        <f>data[[#This Row],[Revenue]]/data[[#This Row],[TotalMiles]]</f>
        <v>14.016501650165017</v>
      </c>
      <c r="T1686" s="26">
        <f>data[[#This Row],[Revenue]]-data[[#This Row],[ShippingCost]]</f>
        <v>361</v>
      </c>
      <c r="U1686" s="17">
        <v>4247</v>
      </c>
      <c r="V1686" s="17">
        <v>61</v>
      </c>
      <c r="W1686" s="17" t="s">
        <v>25</v>
      </c>
      <c r="X1686" s="17">
        <v>5</v>
      </c>
      <c r="Y1686" s="17">
        <f>data[[#This Row],[DeliveryDate]]-data[[#This Row],[ShipDate]]</f>
        <v>1</v>
      </c>
      <c r="Z1686" s="17" t="str">
        <f>IF(data[[#This Row],[Actual Delivery Days]]&gt;AD1687,"Yes","No")</f>
        <v>Yes</v>
      </c>
    </row>
    <row r="1687" spans="1:26">
      <c r="A1687" s="17">
        <v>11110</v>
      </c>
      <c r="B1687" s="17">
        <v>2</v>
      </c>
      <c r="C1687" s="17">
        <v>2</v>
      </c>
      <c r="D1687" s="17" t="s">
        <v>516</v>
      </c>
      <c r="E1687" s="17" t="s">
        <v>418</v>
      </c>
      <c r="F1687" s="17" t="str">
        <f>TEXT(data[[#This Row],[ShipDate]],"yyyy - mmmm")</f>
        <v>2016 - April</v>
      </c>
      <c r="G1687" s="17" t="str">
        <f>data[[#This Row],[OriginCity]] &amp; " - "  &amp; data[[#This Row],[DestinationCity]]</f>
        <v>Naperville - Indianapolis</v>
      </c>
      <c r="H1687" s="17" t="s">
        <v>48</v>
      </c>
      <c r="I1687" s="17" t="s">
        <v>31</v>
      </c>
      <c r="J1687" s="17">
        <v>1</v>
      </c>
      <c r="K1687" s="17" t="s">
        <v>43</v>
      </c>
      <c r="L1687" s="17" t="s">
        <v>44</v>
      </c>
      <c r="M1687" s="17" t="s">
        <v>609</v>
      </c>
      <c r="N1687" s="17">
        <v>862</v>
      </c>
      <c r="O1687" s="17">
        <v>395</v>
      </c>
      <c r="P1687" s="26">
        <f>(data[[#This Row],[LoadedMiles]]/data[[#This Row],[TotalMiles]])*100</f>
        <v>45.82366589327146</v>
      </c>
      <c r="Q1687" s="25">
        <f>data[[#This Row],[ShippingCost]]/data[[#This Row],[TotalMiles]]</f>
        <v>7.5719257540603246</v>
      </c>
      <c r="R1687" s="17">
        <v>6527</v>
      </c>
      <c r="S1687" s="25">
        <f>data[[#This Row],[Revenue]]/data[[#This Row],[TotalMiles]]</f>
        <v>8.6020881670533651</v>
      </c>
      <c r="T1687" s="26">
        <f>data[[#This Row],[Revenue]]-data[[#This Row],[ShippingCost]]</f>
        <v>888</v>
      </c>
      <c r="U1687" s="17">
        <v>7415</v>
      </c>
      <c r="V1687" s="17">
        <v>65</v>
      </c>
      <c r="W1687" s="17" t="s">
        <v>25</v>
      </c>
      <c r="X1687" s="17">
        <v>2</v>
      </c>
      <c r="Y1687" s="17">
        <f>data[[#This Row],[DeliveryDate]]-data[[#This Row],[ShipDate]]</f>
        <v>1</v>
      </c>
      <c r="Z1687" s="17" t="str">
        <f>IF(data[[#This Row],[Actual Delivery Days]]&gt;AD1688,"Yes","No")</f>
        <v>Yes</v>
      </c>
    </row>
    <row r="1688" spans="1:26">
      <c r="A1688" s="17">
        <v>11111</v>
      </c>
      <c r="B1688" s="17">
        <v>3</v>
      </c>
      <c r="C1688" s="17">
        <v>2</v>
      </c>
      <c r="D1688" s="17" t="s">
        <v>517</v>
      </c>
      <c r="E1688" s="17" t="s">
        <v>146</v>
      </c>
      <c r="F1688" s="17" t="str">
        <f>TEXT(data[[#This Row],[ShipDate]],"yyyy - mmmm")</f>
        <v>2016 - June</v>
      </c>
      <c r="G1688" s="17" t="str">
        <f>data[[#This Row],[OriginCity]] &amp; " - "  &amp; data[[#This Row],[DestinationCity]]</f>
        <v>Rockford - Green Bay</v>
      </c>
      <c r="H1688" s="17" t="s">
        <v>40</v>
      </c>
      <c r="I1688" s="17" t="s">
        <v>31</v>
      </c>
      <c r="J1688" s="17">
        <v>1</v>
      </c>
      <c r="K1688" s="17" t="s">
        <v>75</v>
      </c>
      <c r="L1688" s="17" t="s">
        <v>29</v>
      </c>
      <c r="M1688" s="17" t="s">
        <v>147</v>
      </c>
      <c r="N1688" s="17">
        <v>598</v>
      </c>
      <c r="O1688" s="17">
        <v>304</v>
      </c>
      <c r="P1688" s="26">
        <f>(data[[#This Row],[LoadedMiles]]/data[[#This Row],[TotalMiles]])*100</f>
        <v>50.836120401337794</v>
      </c>
      <c r="Q1688" s="25">
        <f>data[[#This Row],[ShippingCost]]/data[[#This Row],[TotalMiles]]</f>
        <v>8.4046822742474916</v>
      </c>
      <c r="R1688" s="17">
        <v>5026</v>
      </c>
      <c r="S1688" s="25">
        <f>data[[#This Row],[Revenue]]/data[[#This Row],[TotalMiles]]</f>
        <v>9.3595317725752505</v>
      </c>
      <c r="T1688" s="26">
        <f>data[[#This Row],[Revenue]]-data[[#This Row],[ShippingCost]]</f>
        <v>571</v>
      </c>
      <c r="U1688" s="17">
        <v>5597</v>
      </c>
      <c r="V1688" s="17">
        <v>96</v>
      </c>
      <c r="W1688" s="17" t="s">
        <v>25</v>
      </c>
      <c r="X1688" s="17">
        <v>7</v>
      </c>
      <c r="Y1688" s="17">
        <f>data[[#This Row],[DeliveryDate]]-data[[#This Row],[ShipDate]]</f>
        <v>1</v>
      </c>
      <c r="Z1688" s="17" t="str">
        <f>IF(data[[#This Row],[Actual Delivery Days]]&gt;AD1689,"Yes","No")</f>
        <v>Yes</v>
      </c>
    </row>
    <row r="1689" spans="1:26">
      <c r="A1689" s="17">
        <v>11117</v>
      </c>
      <c r="B1689" s="17">
        <v>3</v>
      </c>
      <c r="C1689" s="17">
        <v>3</v>
      </c>
      <c r="D1689" s="17" t="s">
        <v>525</v>
      </c>
      <c r="E1689" s="17" t="s">
        <v>122</v>
      </c>
      <c r="F1689" s="17" t="str">
        <f>TEXT(data[[#This Row],[ShipDate]],"yyyy - mmmm")</f>
        <v>2016 - April</v>
      </c>
      <c r="G1689" s="17" t="str">
        <f>data[[#This Row],[OriginCity]] &amp; " - "  &amp; data[[#This Row],[DestinationCity]]</f>
        <v>Bangor - Davenport</v>
      </c>
      <c r="H1689" s="17" t="s">
        <v>104</v>
      </c>
      <c r="I1689" s="17" t="s">
        <v>21</v>
      </c>
      <c r="J1689" s="17">
        <v>1</v>
      </c>
      <c r="K1689" s="17" t="s">
        <v>105</v>
      </c>
      <c r="L1689" s="17" t="s">
        <v>106</v>
      </c>
      <c r="M1689" s="17" t="s">
        <v>54</v>
      </c>
      <c r="N1689" s="17">
        <v>846</v>
      </c>
      <c r="O1689" s="17">
        <v>235</v>
      </c>
      <c r="P1689" s="26">
        <f>(data[[#This Row],[LoadedMiles]]/data[[#This Row],[TotalMiles]])*100</f>
        <v>27.777777777777779</v>
      </c>
      <c r="Q1689" s="25">
        <f>data[[#This Row],[ShippingCost]]/data[[#This Row],[TotalMiles]]</f>
        <v>1.5933806146572105</v>
      </c>
      <c r="R1689" s="17">
        <v>1348</v>
      </c>
      <c r="S1689" s="25">
        <f>data[[#This Row],[Revenue]]/data[[#This Row],[TotalMiles]]</f>
        <v>2.2399527186761228</v>
      </c>
      <c r="T1689" s="26">
        <f>data[[#This Row],[Revenue]]-data[[#This Row],[ShippingCost]]</f>
        <v>547</v>
      </c>
      <c r="U1689" s="17">
        <v>1895</v>
      </c>
      <c r="V1689" s="17">
        <v>60</v>
      </c>
      <c r="W1689" s="17" t="s">
        <v>25</v>
      </c>
      <c r="X1689" s="17">
        <v>5</v>
      </c>
      <c r="Y1689" s="17">
        <f>data[[#This Row],[DeliveryDate]]-data[[#This Row],[ShipDate]]</f>
        <v>1</v>
      </c>
      <c r="Z1689" s="17" t="str">
        <f>IF(data[[#This Row],[Actual Delivery Days]]&gt;AD1690,"Yes","No")</f>
        <v>Yes</v>
      </c>
    </row>
    <row r="1690" spans="1:26">
      <c r="A1690" s="17">
        <v>11128</v>
      </c>
      <c r="B1690" s="17">
        <v>2</v>
      </c>
      <c r="C1690" s="17">
        <v>3</v>
      </c>
      <c r="D1690" s="17" t="s">
        <v>543</v>
      </c>
      <c r="E1690" s="17" t="s">
        <v>206</v>
      </c>
      <c r="F1690" s="17" t="str">
        <f>TEXT(data[[#This Row],[ShipDate]],"yyyy - mmmm")</f>
        <v>2016 - February</v>
      </c>
      <c r="G1690" s="17" t="str">
        <f>data[[#This Row],[OriginCity]] &amp; " - "  &amp; data[[#This Row],[DestinationCity]]</f>
        <v>Gary - Milwaukee</v>
      </c>
      <c r="H1690" s="17" t="s">
        <v>57</v>
      </c>
      <c r="I1690" s="17" t="s">
        <v>44</v>
      </c>
      <c r="J1690" s="17">
        <v>1</v>
      </c>
      <c r="K1690" s="17" t="s">
        <v>28</v>
      </c>
      <c r="L1690" s="17" t="s">
        <v>29</v>
      </c>
      <c r="M1690" s="17" t="s">
        <v>462</v>
      </c>
      <c r="N1690" s="17">
        <v>297</v>
      </c>
      <c r="O1690" s="17">
        <v>297</v>
      </c>
      <c r="P1690" s="26">
        <f>(data[[#This Row],[LoadedMiles]]/data[[#This Row],[TotalMiles]])*100</f>
        <v>100</v>
      </c>
      <c r="Q1690" s="25">
        <f>data[[#This Row],[ShippingCost]]/data[[#This Row],[TotalMiles]]</f>
        <v>13.292929292929292</v>
      </c>
      <c r="R1690" s="17">
        <v>3948</v>
      </c>
      <c r="S1690" s="25">
        <f>data[[#This Row],[Revenue]]/data[[#This Row],[TotalMiles]]</f>
        <v>14.855218855218855</v>
      </c>
      <c r="T1690" s="26">
        <f>data[[#This Row],[Revenue]]-data[[#This Row],[ShippingCost]]</f>
        <v>464</v>
      </c>
      <c r="U1690" s="17">
        <v>4412</v>
      </c>
      <c r="V1690" s="17">
        <v>87</v>
      </c>
      <c r="W1690" s="17" t="s">
        <v>25</v>
      </c>
      <c r="X1690" s="17">
        <v>1</v>
      </c>
      <c r="Y1690" s="17">
        <f>data[[#This Row],[DeliveryDate]]-data[[#This Row],[ShipDate]]</f>
        <v>1</v>
      </c>
      <c r="Z1690" s="17" t="str">
        <f>IF(data[[#This Row],[Actual Delivery Days]]&gt;AD1691,"Yes","No")</f>
        <v>Yes</v>
      </c>
    </row>
    <row r="1691" spans="1:26">
      <c r="A1691" s="17">
        <v>11148</v>
      </c>
      <c r="B1691" s="17">
        <v>2</v>
      </c>
      <c r="C1691" s="17">
        <v>5</v>
      </c>
      <c r="D1691" s="17" t="s">
        <v>566</v>
      </c>
      <c r="E1691" s="17" t="s">
        <v>74</v>
      </c>
      <c r="F1691" s="17" t="str">
        <f>TEXT(data[[#This Row],[ShipDate]],"yyyy - mmmm")</f>
        <v>2016 - March</v>
      </c>
      <c r="G1691" s="17" t="str">
        <f>data[[#This Row],[OriginCity]] &amp; " - "  &amp; data[[#This Row],[DestinationCity]]</f>
        <v>Northbrook - Naperville</v>
      </c>
      <c r="H1691" s="17" t="s">
        <v>45</v>
      </c>
      <c r="I1691" s="17" t="s">
        <v>31</v>
      </c>
      <c r="J1691" s="17">
        <v>1</v>
      </c>
      <c r="K1691" s="17" t="s">
        <v>48</v>
      </c>
      <c r="L1691" s="17" t="s">
        <v>31</v>
      </c>
      <c r="M1691" s="17" t="s">
        <v>209</v>
      </c>
      <c r="N1691" s="17">
        <v>1160</v>
      </c>
      <c r="O1691" s="17">
        <v>522</v>
      </c>
      <c r="P1691" s="26">
        <f>(data[[#This Row],[LoadedMiles]]/data[[#This Row],[TotalMiles]])*100</f>
        <v>45</v>
      </c>
      <c r="Q1691" s="25">
        <f>data[[#This Row],[ShippingCost]]/data[[#This Row],[TotalMiles]]</f>
        <v>5.0318965517241381</v>
      </c>
      <c r="R1691" s="17">
        <v>5837</v>
      </c>
      <c r="S1691" s="25">
        <f>data[[#This Row],[Revenue]]/data[[#This Row],[TotalMiles]]</f>
        <v>5.8758620689655174</v>
      </c>
      <c r="T1691" s="26">
        <f>data[[#This Row],[Revenue]]-data[[#This Row],[ShippingCost]]</f>
        <v>979</v>
      </c>
      <c r="U1691" s="17">
        <v>6816</v>
      </c>
      <c r="V1691" s="17">
        <v>59</v>
      </c>
      <c r="W1691" s="17" t="s">
        <v>25</v>
      </c>
      <c r="X1691" s="17">
        <v>2</v>
      </c>
      <c r="Y1691" s="17">
        <f>data[[#This Row],[DeliveryDate]]-data[[#This Row],[ShipDate]]</f>
        <v>1</v>
      </c>
      <c r="Z1691" s="17" t="str">
        <f>IF(data[[#This Row],[Actual Delivery Days]]&gt;AD1692,"Yes","No")</f>
        <v>Yes</v>
      </c>
    </row>
    <row r="1692" spans="1:26">
      <c r="A1692" s="17">
        <v>11154</v>
      </c>
      <c r="B1692" s="17">
        <v>2</v>
      </c>
      <c r="C1692" s="17">
        <v>5</v>
      </c>
      <c r="D1692" s="17" t="s">
        <v>573</v>
      </c>
      <c r="E1692" s="17" t="s">
        <v>474</v>
      </c>
      <c r="F1692" s="17" t="str">
        <f>TEXT(data[[#This Row],[ShipDate]],"yyyy - mmmm")</f>
        <v>2016 - June</v>
      </c>
      <c r="G1692" s="17" t="str">
        <f>data[[#This Row],[OriginCity]] &amp; " - "  &amp; data[[#This Row],[DestinationCity]]</f>
        <v>Green Bay - Joliet</v>
      </c>
      <c r="H1692" s="17" t="s">
        <v>75</v>
      </c>
      <c r="I1692" s="17" t="s">
        <v>29</v>
      </c>
      <c r="J1692" s="17">
        <v>1</v>
      </c>
      <c r="K1692" s="17" t="s">
        <v>61</v>
      </c>
      <c r="L1692" s="17" t="s">
        <v>31</v>
      </c>
      <c r="M1692" s="17" t="s">
        <v>278</v>
      </c>
      <c r="N1692" s="17">
        <v>1079</v>
      </c>
      <c r="O1692" s="17">
        <v>564</v>
      </c>
      <c r="P1692" s="26">
        <f>(data[[#This Row],[LoadedMiles]]/data[[#This Row],[TotalMiles]])*100</f>
        <v>52.270620945319749</v>
      </c>
      <c r="Q1692" s="25">
        <f>data[[#This Row],[ShippingCost]]/data[[#This Row],[TotalMiles]]</f>
        <v>5.919369786839666</v>
      </c>
      <c r="R1692" s="17">
        <v>6387</v>
      </c>
      <c r="S1692" s="25">
        <f>data[[#This Row],[Revenue]]/data[[#This Row],[TotalMiles]]</f>
        <v>6.3030583873957369</v>
      </c>
      <c r="T1692" s="26">
        <f>data[[#This Row],[Revenue]]-data[[#This Row],[ShippingCost]]</f>
        <v>414</v>
      </c>
      <c r="U1692" s="17">
        <v>6801</v>
      </c>
      <c r="V1692" s="17">
        <v>60</v>
      </c>
      <c r="W1692" s="17" t="s">
        <v>25</v>
      </c>
      <c r="X1692" s="17">
        <v>9</v>
      </c>
      <c r="Y1692" s="17">
        <f>data[[#This Row],[DeliveryDate]]-data[[#This Row],[ShipDate]]</f>
        <v>1</v>
      </c>
      <c r="Z1692" s="17" t="str">
        <f>IF(data[[#This Row],[Actual Delivery Days]]&gt;AD1693,"Yes","No")</f>
        <v>Yes</v>
      </c>
    </row>
    <row r="1693" spans="1:26">
      <c r="A1693" s="17">
        <v>11158</v>
      </c>
      <c r="B1693" s="17">
        <v>3</v>
      </c>
      <c r="C1693" s="17">
        <v>6</v>
      </c>
      <c r="D1693" s="17" t="s">
        <v>578</v>
      </c>
      <c r="E1693" s="17" t="s">
        <v>202</v>
      </c>
      <c r="F1693" s="17" t="str">
        <f>TEXT(data[[#This Row],[ShipDate]],"yyyy - mmmm")</f>
        <v>2016 - February</v>
      </c>
      <c r="G1693" s="17" t="str">
        <f>data[[#This Row],[OriginCity]] &amp; " - "  &amp; data[[#This Row],[DestinationCity]]</f>
        <v>Cincinnati - Gary</v>
      </c>
      <c r="H1693" s="17" t="s">
        <v>89</v>
      </c>
      <c r="I1693" s="17" t="s">
        <v>23</v>
      </c>
      <c r="J1693" s="17">
        <v>1</v>
      </c>
      <c r="K1693" s="17" t="s">
        <v>57</v>
      </c>
      <c r="L1693" s="17" t="s">
        <v>44</v>
      </c>
      <c r="M1693" s="17" t="s">
        <v>460</v>
      </c>
      <c r="N1693" s="17">
        <v>959</v>
      </c>
      <c r="O1693" s="17">
        <v>520</v>
      </c>
      <c r="P1693" s="26">
        <f>(data[[#This Row],[LoadedMiles]]/data[[#This Row],[TotalMiles]])*100</f>
        <v>54.223149113660064</v>
      </c>
      <c r="Q1693" s="25">
        <f>data[[#This Row],[ShippingCost]]/data[[#This Row],[TotalMiles]]</f>
        <v>7.8717413972888428</v>
      </c>
      <c r="R1693" s="17">
        <v>7549</v>
      </c>
      <c r="S1693" s="25">
        <f>data[[#This Row],[Revenue]]/data[[#This Row],[TotalMiles]]</f>
        <v>8.784150156412931</v>
      </c>
      <c r="T1693" s="26">
        <f>data[[#This Row],[Revenue]]-data[[#This Row],[ShippingCost]]</f>
        <v>875</v>
      </c>
      <c r="U1693" s="17">
        <v>8424</v>
      </c>
      <c r="V1693" s="17">
        <v>93</v>
      </c>
      <c r="W1693" s="17" t="s">
        <v>25</v>
      </c>
      <c r="X1693" s="17">
        <v>4</v>
      </c>
      <c r="Y1693" s="17">
        <f>data[[#This Row],[DeliveryDate]]-data[[#This Row],[ShipDate]]</f>
        <v>1</v>
      </c>
      <c r="Z1693" s="17" t="str">
        <f>IF(data[[#This Row],[Actual Delivery Days]]&gt;AD1694,"Yes","No")</f>
        <v>Yes</v>
      </c>
    </row>
    <row r="1694" spans="1:26">
      <c r="A1694" s="17">
        <v>11173</v>
      </c>
      <c r="B1694" s="17">
        <v>2</v>
      </c>
      <c r="C1694" s="17">
        <v>4</v>
      </c>
      <c r="D1694" s="17" t="s">
        <v>595</v>
      </c>
      <c r="E1694" s="17" t="s">
        <v>553</v>
      </c>
      <c r="F1694" s="17" t="str">
        <f>TEXT(data[[#This Row],[ShipDate]],"yyyy - mmmm")</f>
        <v>2016 - July</v>
      </c>
      <c r="G1694" s="17" t="str">
        <f>data[[#This Row],[OriginCity]] &amp; " - "  &amp; data[[#This Row],[DestinationCity]]</f>
        <v>Detriot - Monon</v>
      </c>
      <c r="H1694" s="17" t="s">
        <v>52</v>
      </c>
      <c r="I1694" s="17" t="s">
        <v>21</v>
      </c>
      <c r="J1694" s="17">
        <v>1</v>
      </c>
      <c r="K1694" s="17" t="s">
        <v>53</v>
      </c>
      <c r="L1694" s="17" t="s">
        <v>44</v>
      </c>
      <c r="M1694" s="17" t="s">
        <v>156</v>
      </c>
      <c r="N1694" s="17">
        <v>965</v>
      </c>
      <c r="O1694" s="17">
        <v>738</v>
      </c>
      <c r="P1694" s="26">
        <f>(data[[#This Row],[LoadedMiles]]/data[[#This Row],[TotalMiles]])*100</f>
        <v>76.476683937823836</v>
      </c>
      <c r="Q1694" s="25">
        <f>data[[#This Row],[ShippingCost]]/data[[#This Row],[TotalMiles]]</f>
        <v>5.3077720207253885</v>
      </c>
      <c r="R1694" s="17">
        <v>5122</v>
      </c>
      <c r="S1694" s="25">
        <f>data[[#This Row],[Revenue]]/data[[#This Row],[TotalMiles]]</f>
        <v>3.1917098445595853</v>
      </c>
      <c r="T1694" s="26">
        <f>data[[#This Row],[Revenue]]-data[[#This Row],[ShippingCost]]</f>
        <v>-2042</v>
      </c>
      <c r="U1694" s="17">
        <v>3080</v>
      </c>
      <c r="V1694" s="17">
        <v>84</v>
      </c>
      <c r="W1694" s="17" t="s">
        <v>25</v>
      </c>
      <c r="X1694" s="17">
        <v>3</v>
      </c>
      <c r="Y1694" s="17">
        <f>data[[#This Row],[DeliveryDate]]-data[[#This Row],[ShipDate]]</f>
        <v>1</v>
      </c>
      <c r="Z1694" s="17" t="str">
        <f>IF(data[[#This Row],[Actual Delivery Days]]&gt;AD1695,"Yes","No")</f>
        <v>Yes</v>
      </c>
    </row>
    <row r="1695" spans="1:26">
      <c r="A1695" s="17">
        <v>11174</v>
      </c>
      <c r="B1695" s="17">
        <v>2</v>
      </c>
      <c r="C1695" s="17">
        <v>2</v>
      </c>
      <c r="D1695" s="17" t="s">
        <v>596</v>
      </c>
      <c r="E1695" s="17" t="s">
        <v>509</v>
      </c>
      <c r="F1695" s="17" t="str">
        <f>TEXT(data[[#This Row],[ShipDate]],"yyyy - mmmm")</f>
        <v>2016 - May</v>
      </c>
      <c r="G1695" s="17" t="str">
        <f>data[[#This Row],[OriginCity]] &amp; " - "  &amp; data[[#This Row],[DestinationCity]]</f>
        <v>Gary - Milwaukee</v>
      </c>
      <c r="H1695" s="17" t="s">
        <v>57</v>
      </c>
      <c r="I1695" s="17" t="s">
        <v>44</v>
      </c>
      <c r="J1695" s="17">
        <v>1</v>
      </c>
      <c r="K1695" s="17" t="s">
        <v>28</v>
      </c>
      <c r="L1695" s="17" t="s">
        <v>29</v>
      </c>
      <c r="M1695" s="17" t="s">
        <v>373</v>
      </c>
      <c r="N1695" s="17">
        <v>1048</v>
      </c>
      <c r="O1695" s="17">
        <v>642</v>
      </c>
      <c r="P1695" s="26">
        <f>(data[[#This Row],[LoadedMiles]]/data[[#This Row],[TotalMiles]])*100</f>
        <v>61.25954198473282</v>
      </c>
      <c r="Q1695" s="25">
        <f>data[[#This Row],[ShippingCost]]/data[[#This Row],[TotalMiles]]</f>
        <v>1.6698473282442747</v>
      </c>
      <c r="R1695" s="17">
        <v>1750</v>
      </c>
      <c r="S1695" s="25">
        <f>data[[#This Row],[Revenue]]/data[[#This Row],[TotalMiles]]</f>
        <v>2.6154580152671754</v>
      </c>
      <c r="T1695" s="26">
        <f>data[[#This Row],[Revenue]]-data[[#This Row],[ShippingCost]]</f>
        <v>991</v>
      </c>
      <c r="U1695" s="17">
        <v>2741</v>
      </c>
      <c r="V1695" s="17">
        <v>55</v>
      </c>
      <c r="W1695" s="17" t="s">
        <v>25</v>
      </c>
      <c r="X1695" s="17">
        <v>6</v>
      </c>
      <c r="Y1695" s="17">
        <f>data[[#This Row],[DeliveryDate]]-data[[#This Row],[ShipDate]]</f>
        <v>1</v>
      </c>
      <c r="Z1695" s="17" t="str">
        <f>IF(data[[#This Row],[Actual Delivery Days]]&gt;AD1696,"Yes","No")</f>
        <v>Yes</v>
      </c>
    </row>
    <row r="1696" spans="1:26">
      <c r="A1696" s="17">
        <v>11175</v>
      </c>
      <c r="B1696" s="17">
        <v>3</v>
      </c>
      <c r="C1696" s="17">
        <v>5</v>
      </c>
      <c r="D1696" s="17" t="s">
        <v>598</v>
      </c>
      <c r="E1696" s="17" t="s">
        <v>344</v>
      </c>
      <c r="F1696" s="17" t="str">
        <f>TEXT(data[[#This Row],[ShipDate]],"yyyy - mmmm")</f>
        <v>2016 - May</v>
      </c>
      <c r="G1696" s="17" t="str">
        <f>data[[#This Row],[OriginCity]] &amp; " - "  &amp; data[[#This Row],[DestinationCity]]</f>
        <v>Joliet - Madison</v>
      </c>
      <c r="H1696" s="17" t="s">
        <v>61</v>
      </c>
      <c r="I1696" s="17" t="s">
        <v>31</v>
      </c>
      <c r="J1696" s="17">
        <v>1</v>
      </c>
      <c r="K1696" s="17" t="s">
        <v>62</v>
      </c>
      <c r="L1696" s="17" t="s">
        <v>29</v>
      </c>
      <c r="M1696" s="17" t="s">
        <v>282</v>
      </c>
      <c r="N1696" s="17">
        <v>945</v>
      </c>
      <c r="O1696" s="17">
        <v>315</v>
      </c>
      <c r="P1696" s="26">
        <f>(data[[#This Row],[LoadedMiles]]/data[[#This Row],[TotalMiles]])*100</f>
        <v>33.333333333333329</v>
      </c>
      <c r="Q1696" s="25">
        <f>data[[#This Row],[ShippingCost]]/data[[#This Row],[TotalMiles]]</f>
        <v>4.2328042328042326E-2</v>
      </c>
      <c r="R1696" s="17">
        <v>40</v>
      </c>
      <c r="S1696" s="25">
        <f>data[[#This Row],[Revenue]]/data[[#This Row],[TotalMiles]]</f>
        <v>0.1492063492063492</v>
      </c>
      <c r="T1696" s="26">
        <f>data[[#This Row],[Revenue]]-data[[#This Row],[ShippingCost]]</f>
        <v>101</v>
      </c>
      <c r="U1696" s="17">
        <v>141</v>
      </c>
      <c r="V1696" s="17">
        <v>60</v>
      </c>
      <c r="W1696" s="17" t="s">
        <v>25</v>
      </c>
      <c r="X1696" s="17">
        <v>9</v>
      </c>
      <c r="Y1696" s="17">
        <f>data[[#This Row],[DeliveryDate]]-data[[#This Row],[ShipDate]]</f>
        <v>1</v>
      </c>
      <c r="Z1696" s="17" t="str">
        <f>IF(data[[#This Row],[Actual Delivery Days]]&gt;AD1697,"Yes","No")</f>
        <v>Yes</v>
      </c>
    </row>
    <row r="1697" spans="1:26">
      <c r="A1697" s="17">
        <v>11196</v>
      </c>
      <c r="B1697" s="17">
        <v>3</v>
      </c>
      <c r="C1697" s="17">
        <v>4</v>
      </c>
      <c r="D1697" s="17" t="s">
        <v>83</v>
      </c>
      <c r="E1697" s="17" t="s">
        <v>315</v>
      </c>
      <c r="F1697" s="17" t="str">
        <f>TEXT(data[[#This Row],[ShipDate]],"yyyy - mmmm")</f>
        <v>2016 - June</v>
      </c>
      <c r="G1697" s="17" t="str">
        <f>data[[#This Row],[OriginCity]] &amp; " - "  &amp; data[[#This Row],[DestinationCity]]</f>
        <v>Detriot - Monon</v>
      </c>
      <c r="H1697" s="17" t="s">
        <v>52</v>
      </c>
      <c r="I1697" s="17" t="s">
        <v>21</v>
      </c>
      <c r="J1697" s="17">
        <v>1</v>
      </c>
      <c r="K1697" s="17" t="s">
        <v>53</v>
      </c>
      <c r="L1697" s="17" t="s">
        <v>44</v>
      </c>
      <c r="M1697" s="17" t="s">
        <v>316</v>
      </c>
      <c r="N1697" s="17">
        <v>337</v>
      </c>
      <c r="O1697" s="17">
        <v>337</v>
      </c>
      <c r="P1697" s="26">
        <f>(data[[#This Row],[LoadedMiles]]/data[[#This Row],[TotalMiles]])*100</f>
        <v>100</v>
      </c>
      <c r="Q1697" s="25">
        <f>data[[#This Row],[ShippingCost]]/data[[#This Row],[TotalMiles]]</f>
        <v>8.0178041543026701</v>
      </c>
      <c r="R1697" s="17">
        <v>2702</v>
      </c>
      <c r="S1697" s="25">
        <f>data[[#This Row],[Revenue]]/data[[#This Row],[TotalMiles]]</f>
        <v>2.8308605341246289</v>
      </c>
      <c r="T1697" s="26">
        <f>data[[#This Row],[Revenue]]-data[[#This Row],[ShippingCost]]</f>
        <v>-1748</v>
      </c>
      <c r="U1697" s="17">
        <v>954</v>
      </c>
      <c r="V1697" s="17">
        <v>65</v>
      </c>
      <c r="W1697" s="17" t="s">
        <v>25</v>
      </c>
      <c r="X1697" s="17">
        <v>3</v>
      </c>
      <c r="Y1697" s="17">
        <f>data[[#This Row],[DeliveryDate]]-data[[#This Row],[ShipDate]]</f>
        <v>1</v>
      </c>
      <c r="Z1697" s="17" t="str">
        <f>IF(data[[#This Row],[Actual Delivery Days]]&gt;AD1698,"Yes","No")</f>
        <v>Yes</v>
      </c>
    </row>
    <row r="1698" spans="1:26">
      <c r="A1698" s="17">
        <v>11197</v>
      </c>
      <c r="B1698" s="17">
        <v>2</v>
      </c>
      <c r="C1698" s="17">
        <v>6</v>
      </c>
      <c r="D1698" s="17" t="s">
        <v>87</v>
      </c>
      <c r="E1698" s="17" t="s">
        <v>191</v>
      </c>
      <c r="F1698" s="17" t="str">
        <f>TEXT(data[[#This Row],[ShipDate]],"yyyy - mmmm")</f>
        <v>2016 - July</v>
      </c>
      <c r="G1698" s="17" t="str">
        <f>data[[#This Row],[OriginCity]] &amp; " - "  &amp; data[[#This Row],[DestinationCity]]</f>
        <v>Gary - Milwaukee</v>
      </c>
      <c r="H1698" s="17" t="s">
        <v>57</v>
      </c>
      <c r="I1698" s="17" t="s">
        <v>44</v>
      </c>
      <c r="J1698" s="17">
        <v>1</v>
      </c>
      <c r="K1698" s="17" t="s">
        <v>28</v>
      </c>
      <c r="L1698" s="17" t="s">
        <v>29</v>
      </c>
      <c r="M1698" s="17" t="s">
        <v>179</v>
      </c>
      <c r="N1698" s="17">
        <v>1151</v>
      </c>
      <c r="O1698" s="17">
        <v>566</v>
      </c>
      <c r="P1698" s="26">
        <f>(data[[#This Row],[LoadedMiles]]/data[[#This Row],[TotalMiles]])*100</f>
        <v>49.17463075586447</v>
      </c>
      <c r="Q1698" s="25">
        <f>data[[#This Row],[ShippingCost]]/data[[#This Row],[TotalMiles]]</f>
        <v>5.72632493483927</v>
      </c>
      <c r="R1698" s="17">
        <v>6591</v>
      </c>
      <c r="S1698" s="25">
        <f>data[[#This Row],[Revenue]]/data[[#This Row],[TotalMiles]]</f>
        <v>6.3683753258036493</v>
      </c>
      <c r="T1698" s="26">
        <f>data[[#This Row],[Revenue]]-data[[#This Row],[ShippingCost]]</f>
        <v>739</v>
      </c>
      <c r="U1698" s="17">
        <v>7330</v>
      </c>
      <c r="V1698" s="17">
        <v>85</v>
      </c>
      <c r="W1698" s="17" t="s">
        <v>25</v>
      </c>
      <c r="X1698" s="17">
        <v>2</v>
      </c>
      <c r="Y1698" s="17">
        <f>data[[#This Row],[DeliveryDate]]-data[[#This Row],[ShipDate]]</f>
        <v>1</v>
      </c>
      <c r="Z1698" s="17" t="str">
        <f>IF(data[[#This Row],[Actual Delivery Days]]&gt;AD1699,"Yes","No")</f>
        <v>Yes</v>
      </c>
    </row>
    <row r="1699" spans="1:26">
      <c r="A1699" s="17">
        <v>11203</v>
      </c>
      <c r="B1699" s="17">
        <v>2</v>
      </c>
      <c r="C1699" s="17">
        <v>3</v>
      </c>
      <c r="D1699" s="17" t="s">
        <v>113</v>
      </c>
      <c r="E1699" s="17" t="s">
        <v>74</v>
      </c>
      <c r="F1699" s="17" t="str">
        <f>TEXT(data[[#This Row],[ShipDate]],"yyyy - mmmm")</f>
        <v>2016 - March</v>
      </c>
      <c r="G1699" s="17" t="str">
        <f>data[[#This Row],[OriginCity]] &amp; " - "  &amp; data[[#This Row],[DestinationCity]]</f>
        <v>Appleton - Grand Rapids</v>
      </c>
      <c r="H1699" s="17" t="s">
        <v>85</v>
      </c>
      <c r="I1699" s="17" t="s">
        <v>29</v>
      </c>
      <c r="J1699" s="17">
        <v>1</v>
      </c>
      <c r="K1699" s="17" t="s">
        <v>20</v>
      </c>
      <c r="L1699" s="17" t="s">
        <v>21</v>
      </c>
      <c r="M1699" s="17" t="s">
        <v>209</v>
      </c>
      <c r="N1699" s="17">
        <v>932</v>
      </c>
      <c r="O1699" s="17">
        <v>526</v>
      </c>
      <c r="P1699" s="26">
        <f>(data[[#This Row],[LoadedMiles]]/data[[#This Row],[TotalMiles]])*100</f>
        <v>56.437768240343345</v>
      </c>
      <c r="Q1699" s="25">
        <f>data[[#This Row],[ShippingCost]]/data[[#This Row],[TotalMiles]]</f>
        <v>8.5590128755364798</v>
      </c>
      <c r="R1699" s="17">
        <v>7977</v>
      </c>
      <c r="S1699" s="25">
        <f>data[[#This Row],[Revenue]]/data[[#This Row],[TotalMiles]]</f>
        <v>9.3959227467811157</v>
      </c>
      <c r="T1699" s="26">
        <f>data[[#This Row],[Revenue]]-data[[#This Row],[ShippingCost]]</f>
        <v>780</v>
      </c>
      <c r="U1699" s="17">
        <v>8757</v>
      </c>
      <c r="V1699" s="17">
        <v>81</v>
      </c>
      <c r="W1699" s="17" t="s">
        <v>86</v>
      </c>
      <c r="X1699" s="17">
        <v>10</v>
      </c>
      <c r="Y1699" s="17">
        <f>data[[#This Row],[DeliveryDate]]-data[[#This Row],[ShipDate]]</f>
        <v>1</v>
      </c>
      <c r="Z1699" s="17" t="str">
        <f>IF(data[[#This Row],[Actual Delivery Days]]&gt;AD1700,"Yes","No")</f>
        <v>Yes</v>
      </c>
    </row>
    <row r="1700" spans="1:26">
      <c r="A1700" s="17">
        <v>11232</v>
      </c>
      <c r="B1700" s="17">
        <v>3</v>
      </c>
      <c r="C1700" s="17">
        <v>3</v>
      </c>
      <c r="D1700" s="17" t="s">
        <v>192</v>
      </c>
      <c r="E1700" s="17" t="s">
        <v>353</v>
      </c>
      <c r="F1700" s="17" t="str">
        <f>TEXT(data[[#This Row],[ShipDate]],"yyyy - mmmm")</f>
        <v>2016 - March</v>
      </c>
      <c r="G1700" s="17" t="str">
        <f>data[[#This Row],[OriginCity]] &amp; " - "  &amp; data[[#This Row],[DestinationCity]]</f>
        <v>Skokie - Chicago</v>
      </c>
      <c r="H1700" s="17" t="s">
        <v>35</v>
      </c>
      <c r="I1700" s="17" t="s">
        <v>31</v>
      </c>
      <c r="J1700" s="17">
        <v>1</v>
      </c>
      <c r="K1700" s="17" t="s">
        <v>39</v>
      </c>
      <c r="L1700" s="17" t="s">
        <v>31</v>
      </c>
      <c r="M1700" s="17" t="s">
        <v>76</v>
      </c>
      <c r="N1700" s="17">
        <v>711</v>
      </c>
      <c r="O1700" s="17">
        <v>242</v>
      </c>
      <c r="P1700" s="26">
        <f>(data[[#This Row],[LoadedMiles]]/data[[#This Row],[TotalMiles]])*100</f>
        <v>34.036568213783404</v>
      </c>
      <c r="Q1700" s="25">
        <f>data[[#This Row],[ShippingCost]]/data[[#This Row],[TotalMiles]]</f>
        <v>4.0689170182841066</v>
      </c>
      <c r="R1700" s="17">
        <v>2893</v>
      </c>
      <c r="S1700" s="25">
        <f>data[[#This Row],[Revenue]]/data[[#This Row],[TotalMiles]]</f>
        <v>4.666666666666667</v>
      </c>
      <c r="T1700" s="26">
        <f>data[[#This Row],[Revenue]]-data[[#This Row],[ShippingCost]]</f>
        <v>425</v>
      </c>
      <c r="U1700" s="17">
        <v>3318</v>
      </c>
      <c r="V1700" s="17">
        <v>85</v>
      </c>
      <c r="W1700" s="17" t="s">
        <v>25</v>
      </c>
      <c r="X1700" s="17">
        <v>5</v>
      </c>
      <c r="Y1700" s="17">
        <f>data[[#This Row],[DeliveryDate]]-data[[#This Row],[ShipDate]]</f>
        <v>1</v>
      </c>
      <c r="Z1700" s="17" t="str">
        <f>IF(data[[#This Row],[Actual Delivery Days]]&gt;AD1701,"Yes","No")</f>
        <v>Yes</v>
      </c>
    </row>
    <row r="1701" spans="1:26">
      <c r="A1701" s="17">
        <v>11240</v>
      </c>
      <c r="B1701" s="17">
        <v>3</v>
      </c>
      <c r="C1701" s="17">
        <v>6</v>
      </c>
      <c r="D1701" s="17" t="s">
        <v>213</v>
      </c>
      <c r="E1701" s="17" t="s">
        <v>404</v>
      </c>
      <c r="F1701" s="17" t="str">
        <f>TEXT(data[[#This Row],[ShipDate]],"yyyy - mmmm")</f>
        <v>2016 - July</v>
      </c>
      <c r="G1701" s="17" t="str">
        <f>data[[#This Row],[OriginCity]] &amp; " - "  &amp; data[[#This Row],[DestinationCity]]</f>
        <v>Detriot - Monon</v>
      </c>
      <c r="H1701" s="17" t="s">
        <v>52</v>
      </c>
      <c r="I1701" s="17" t="s">
        <v>21</v>
      </c>
      <c r="J1701" s="17">
        <v>1</v>
      </c>
      <c r="K1701" s="17" t="s">
        <v>53</v>
      </c>
      <c r="L1701" s="17" t="s">
        <v>44</v>
      </c>
      <c r="M1701" s="17" t="s">
        <v>63</v>
      </c>
      <c r="N1701" s="17">
        <v>876</v>
      </c>
      <c r="O1701" s="17">
        <v>539</v>
      </c>
      <c r="P1701" s="26">
        <f>(data[[#This Row],[LoadedMiles]]/data[[#This Row],[TotalMiles]])*100</f>
        <v>61.529680365296798</v>
      </c>
      <c r="Q1701" s="25">
        <f>data[[#This Row],[ShippingCost]]/data[[#This Row],[TotalMiles]]</f>
        <v>1.158675799086758</v>
      </c>
      <c r="R1701" s="17">
        <v>1015</v>
      </c>
      <c r="S1701" s="25">
        <f>data[[#This Row],[Revenue]]/data[[#This Row],[TotalMiles]]</f>
        <v>1.2910958904109588</v>
      </c>
      <c r="T1701" s="26">
        <f>data[[#This Row],[Revenue]]-data[[#This Row],[ShippingCost]]</f>
        <v>116</v>
      </c>
      <c r="U1701" s="17">
        <v>1131</v>
      </c>
      <c r="V1701" s="17">
        <v>93</v>
      </c>
      <c r="W1701" s="17" t="s">
        <v>86</v>
      </c>
      <c r="X1701" s="17">
        <v>5</v>
      </c>
      <c r="Y1701" s="17">
        <f>data[[#This Row],[DeliveryDate]]-data[[#This Row],[ShipDate]]</f>
        <v>1</v>
      </c>
      <c r="Z1701" s="17" t="str">
        <f>IF(data[[#This Row],[Actual Delivery Days]]&gt;AD1702,"Yes","No")</f>
        <v>Yes</v>
      </c>
    </row>
    <row r="1702" spans="1:26">
      <c r="A1702" s="17">
        <v>11242</v>
      </c>
      <c r="B1702" s="17">
        <v>3</v>
      </c>
      <c r="C1702" s="17">
        <v>6</v>
      </c>
      <c r="D1702" s="17" t="s">
        <v>217</v>
      </c>
      <c r="E1702" s="17" t="s">
        <v>101</v>
      </c>
      <c r="F1702" s="17" t="str">
        <f>TEXT(data[[#This Row],[ShipDate]],"yyyy - mmmm")</f>
        <v>2016 - April</v>
      </c>
      <c r="G1702" s="17" t="str">
        <f>data[[#This Row],[OriginCity]] &amp; " - "  &amp; data[[#This Row],[DestinationCity]]</f>
        <v>Joliet - Madison</v>
      </c>
      <c r="H1702" s="17" t="s">
        <v>61</v>
      </c>
      <c r="I1702" s="17" t="s">
        <v>31</v>
      </c>
      <c r="J1702" s="17">
        <v>1</v>
      </c>
      <c r="K1702" s="17" t="s">
        <v>62</v>
      </c>
      <c r="L1702" s="17" t="s">
        <v>29</v>
      </c>
      <c r="M1702" s="17" t="s">
        <v>114</v>
      </c>
      <c r="N1702" s="17">
        <v>681</v>
      </c>
      <c r="O1702" s="17">
        <v>681</v>
      </c>
      <c r="P1702" s="26">
        <f>(data[[#This Row],[LoadedMiles]]/data[[#This Row],[TotalMiles]])*100</f>
        <v>100</v>
      </c>
      <c r="Q1702" s="25">
        <f>data[[#This Row],[ShippingCost]]/data[[#This Row],[TotalMiles]]</f>
        <v>2.3201174743024962</v>
      </c>
      <c r="R1702" s="17">
        <v>1580</v>
      </c>
      <c r="S1702" s="25">
        <f>data[[#This Row],[Revenue]]/data[[#This Row],[TotalMiles]]</f>
        <v>2.7019089574155655</v>
      </c>
      <c r="T1702" s="26">
        <f>data[[#This Row],[Revenue]]-data[[#This Row],[ShippingCost]]</f>
        <v>260</v>
      </c>
      <c r="U1702" s="17">
        <v>1840</v>
      </c>
      <c r="V1702" s="17">
        <v>81</v>
      </c>
      <c r="W1702" s="17" t="s">
        <v>25</v>
      </c>
      <c r="X1702" s="17">
        <v>3</v>
      </c>
      <c r="Y1702" s="17">
        <f>data[[#This Row],[DeliveryDate]]-data[[#This Row],[ShipDate]]</f>
        <v>1</v>
      </c>
      <c r="Z1702" s="17" t="str">
        <f>IF(data[[#This Row],[Actual Delivery Days]]&gt;AD1703,"Yes","No")</f>
        <v>Yes</v>
      </c>
    </row>
    <row r="1703" spans="1:26">
      <c r="A1703" s="17">
        <v>11253</v>
      </c>
      <c r="B1703" s="17">
        <v>2</v>
      </c>
      <c r="C1703" s="17">
        <v>1</v>
      </c>
      <c r="D1703" s="17" t="s">
        <v>239</v>
      </c>
      <c r="E1703" s="17" t="s">
        <v>315</v>
      </c>
      <c r="F1703" s="17" t="str">
        <f>TEXT(data[[#This Row],[ShipDate]],"yyyy - mmmm")</f>
        <v>2016 - June</v>
      </c>
      <c r="G1703" s="17" t="str">
        <f>data[[#This Row],[OriginCity]] &amp; " - "  &amp; data[[#This Row],[DestinationCity]]</f>
        <v>Bangor - Davenport</v>
      </c>
      <c r="H1703" s="17" t="s">
        <v>104</v>
      </c>
      <c r="I1703" s="17" t="s">
        <v>21</v>
      </c>
      <c r="J1703" s="17">
        <v>1</v>
      </c>
      <c r="K1703" s="17" t="s">
        <v>105</v>
      </c>
      <c r="L1703" s="17" t="s">
        <v>106</v>
      </c>
      <c r="M1703" s="17" t="s">
        <v>316</v>
      </c>
      <c r="N1703" s="17">
        <v>597</v>
      </c>
      <c r="O1703" s="17">
        <v>597</v>
      </c>
      <c r="P1703" s="26">
        <f>(data[[#This Row],[LoadedMiles]]/data[[#This Row],[TotalMiles]])*100</f>
        <v>100</v>
      </c>
      <c r="Q1703" s="25">
        <f>data[[#This Row],[ShippingCost]]/data[[#This Row],[TotalMiles]]</f>
        <v>11.949748743718592</v>
      </c>
      <c r="R1703" s="17">
        <v>7134</v>
      </c>
      <c r="S1703" s="25">
        <f>data[[#This Row],[Revenue]]/data[[#This Row],[TotalMiles]]</f>
        <v>20.045226130653266</v>
      </c>
      <c r="T1703" s="26">
        <f>data[[#This Row],[Revenue]]-data[[#This Row],[ShippingCost]]</f>
        <v>4833</v>
      </c>
      <c r="U1703" s="17">
        <v>11967</v>
      </c>
      <c r="V1703" s="17">
        <v>53</v>
      </c>
      <c r="W1703" s="17" t="s">
        <v>25</v>
      </c>
      <c r="X1703" s="17">
        <v>1</v>
      </c>
      <c r="Y1703" s="17">
        <f>data[[#This Row],[DeliveryDate]]-data[[#This Row],[ShipDate]]</f>
        <v>1</v>
      </c>
      <c r="Z1703" s="17" t="str">
        <f>IF(data[[#This Row],[Actual Delivery Days]]&gt;AD1704,"Yes","No")</f>
        <v>Yes</v>
      </c>
    </row>
    <row r="1704" spans="1:26">
      <c r="A1704" s="17">
        <v>11258</v>
      </c>
      <c r="B1704" s="17">
        <v>3</v>
      </c>
      <c r="C1704" s="17">
        <v>6</v>
      </c>
      <c r="D1704" s="17" t="s">
        <v>258</v>
      </c>
      <c r="E1704" s="17" t="s">
        <v>624</v>
      </c>
      <c r="F1704" s="17" t="str">
        <f>TEXT(data[[#This Row],[ShipDate]],"yyyy - mmmm")</f>
        <v>2016 - April</v>
      </c>
      <c r="G1704" s="17" t="str">
        <f>data[[#This Row],[OriginCity]] &amp; " - "  &amp; data[[#This Row],[DestinationCity]]</f>
        <v>Indianapolis - Northbrook</v>
      </c>
      <c r="H1704" s="17" t="s">
        <v>43</v>
      </c>
      <c r="I1704" s="17" t="s">
        <v>44</v>
      </c>
      <c r="J1704" s="17">
        <v>1</v>
      </c>
      <c r="K1704" s="17" t="s">
        <v>45</v>
      </c>
      <c r="L1704" s="17" t="s">
        <v>31</v>
      </c>
      <c r="M1704" s="17" t="s">
        <v>285</v>
      </c>
      <c r="N1704" s="17">
        <v>1081</v>
      </c>
      <c r="O1704" s="17">
        <v>383</v>
      </c>
      <c r="P1704" s="26">
        <f>(data[[#This Row],[LoadedMiles]]/data[[#This Row],[TotalMiles]])*100</f>
        <v>35.430157261794633</v>
      </c>
      <c r="Q1704" s="25">
        <f>data[[#This Row],[ShippingCost]]/data[[#This Row],[TotalMiles]]</f>
        <v>6.9407955596669746</v>
      </c>
      <c r="R1704" s="17">
        <v>7503</v>
      </c>
      <c r="S1704" s="25">
        <f>data[[#This Row],[Revenue]]/data[[#This Row],[TotalMiles]]</f>
        <v>7.3496762257169284</v>
      </c>
      <c r="T1704" s="26">
        <f>data[[#This Row],[Revenue]]-data[[#This Row],[ShippingCost]]</f>
        <v>442</v>
      </c>
      <c r="U1704" s="17">
        <v>7945</v>
      </c>
      <c r="V1704" s="17">
        <v>51</v>
      </c>
      <c r="W1704" s="17" t="s">
        <v>25</v>
      </c>
      <c r="X1704" s="17">
        <v>2</v>
      </c>
      <c r="Y1704" s="17">
        <f>data[[#This Row],[DeliveryDate]]-data[[#This Row],[ShipDate]]</f>
        <v>1</v>
      </c>
      <c r="Z1704" s="17" t="str">
        <f>IF(data[[#This Row],[Actual Delivery Days]]&gt;AD1705,"Yes","No")</f>
        <v>Yes</v>
      </c>
    </row>
    <row r="1705" spans="1:26">
      <c r="A1705" s="17">
        <v>11259</v>
      </c>
      <c r="B1705" s="17">
        <v>3</v>
      </c>
      <c r="C1705" s="17">
        <v>3</v>
      </c>
      <c r="D1705" s="17" t="s">
        <v>260</v>
      </c>
      <c r="E1705" s="17" t="s">
        <v>118</v>
      </c>
      <c r="F1705" s="17" t="str">
        <f>TEXT(data[[#This Row],[ShipDate]],"yyyy - mmmm")</f>
        <v>2016 - August</v>
      </c>
      <c r="G1705" s="17" t="str">
        <f>data[[#This Row],[OriginCity]] &amp; " - "  &amp; data[[#This Row],[DestinationCity]]</f>
        <v>Northbrook - Naperville</v>
      </c>
      <c r="H1705" s="17" t="s">
        <v>45</v>
      </c>
      <c r="I1705" s="17" t="s">
        <v>31</v>
      </c>
      <c r="J1705" s="17">
        <v>1</v>
      </c>
      <c r="K1705" s="17" t="s">
        <v>48</v>
      </c>
      <c r="L1705" s="17" t="s">
        <v>31</v>
      </c>
      <c r="M1705" s="17" t="s">
        <v>216</v>
      </c>
      <c r="N1705" s="17">
        <v>856</v>
      </c>
      <c r="O1705" s="17">
        <v>549</v>
      </c>
      <c r="P1705" s="26">
        <f>(data[[#This Row],[LoadedMiles]]/data[[#This Row],[TotalMiles]])*100</f>
        <v>64.13551401869158</v>
      </c>
      <c r="Q1705" s="25">
        <f>data[[#This Row],[ShippingCost]]/data[[#This Row],[TotalMiles]]</f>
        <v>0.58878504672897192</v>
      </c>
      <c r="R1705" s="17">
        <v>504</v>
      </c>
      <c r="S1705" s="25">
        <f>data[[#This Row],[Revenue]]/data[[#This Row],[TotalMiles]]</f>
        <v>1.691588785046729</v>
      </c>
      <c r="T1705" s="26">
        <f>data[[#This Row],[Revenue]]-data[[#This Row],[ShippingCost]]</f>
        <v>944</v>
      </c>
      <c r="U1705" s="17">
        <v>1448</v>
      </c>
      <c r="V1705" s="17">
        <v>71</v>
      </c>
      <c r="W1705" s="17" t="s">
        <v>25</v>
      </c>
      <c r="X1705" s="17">
        <v>8</v>
      </c>
      <c r="Y1705" s="17">
        <f>data[[#This Row],[DeliveryDate]]-data[[#This Row],[ShipDate]]</f>
        <v>1</v>
      </c>
      <c r="Z1705" s="17" t="str">
        <f>IF(data[[#This Row],[Actual Delivery Days]]&gt;AD1706,"Yes","No")</f>
        <v>Yes</v>
      </c>
    </row>
    <row r="1706" spans="1:26">
      <c r="A1706" s="17">
        <v>11267</v>
      </c>
      <c r="B1706" s="17">
        <v>3</v>
      </c>
      <c r="C1706" s="17">
        <v>6</v>
      </c>
      <c r="D1706" s="17" t="s">
        <v>275</v>
      </c>
      <c r="E1706" s="17" t="s">
        <v>301</v>
      </c>
      <c r="F1706" s="17" t="str">
        <f>TEXT(data[[#This Row],[ShipDate]],"yyyy - mmmm")</f>
        <v>2016 - August</v>
      </c>
      <c r="G1706" s="17" t="str">
        <f>data[[#This Row],[OriginCity]] &amp; " - "  &amp; data[[#This Row],[DestinationCity]]</f>
        <v>Rockford - Green Bay</v>
      </c>
      <c r="H1706" s="17" t="s">
        <v>40</v>
      </c>
      <c r="I1706" s="17" t="s">
        <v>31</v>
      </c>
      <c r="J1706" s="17">
        <v>1</v>
      </c>
      <c r="K1706" s="17" t="s">
        <v>75</v>
      </c>
      <c r="L1706" s="17" t="s">
        <v>29</v>
      </c>
      <c r="M1706" s="17" t="s">
        <v>341</v>
      </c>
      <c r="N1706" s="17">
        <v>562</v>
      </c>
      <c r="O1706" s="17">
        <v>562</v>
      </c>
      <c r="P1706" s="26">
        <f>(data[[#This Row],[LoadedMiles]]/data[[#This Row],[TotalMiles]])*100</f>
        <v>100</v>
      </c>
      <c r="Q1706" s="25">
        <f>data[[#This Row],[ShippingCost]]/data[[#This Row],[TotalMiles]]</f>
        <v>9.5996441281138782</v>
      </c>
      <c r="R1706" s="17">
        <v>5395</v>
      </c>
      <c r="S1706" s="25">
        <f>data[[#This Row],[Revenue]]/data[[#This Row],[TotalMiles]]</f>
        <v>10.069395017793594</v>
      </c>
      <c r="T1706" s="26">
        <f>data[[#This Row],[Revenue]]-data[[#This Row],[ShippingCost]]</f>
        <v>264</v>
      </c>
      <c r="U1706" s="17">
        <v>5659</v>
      </c>
      <c r="V1706" s="17">
        <v>94</v>
      </c>
      <c r="W1706" s="17" t="s">
        <v>25</v>
      </c>
      <c r="X1706" s="17">
        <v>6</v>
      </c>
      <c r="Y1706" s="17">
        <f>data[[#This Row],[DeliveryDate]]-data[[#This Row],[ShipDate]]</f>
        <v>1</v>
      </c>
      <c r="Z1706" s="17" t="str">
        <f>IF(data[[#This Row],[Actual Delivery Days]]&gt;AD1707,"Yes","No")</f>
        <v>Yes</v>
      </c>
    </row>
    <row r="1707" spans="1:26">
      <c r="A1707" s="17">
        <v>11270</v>
      </c>
      <c r="B1707" s="17">
        <v>2</v>
      </c>
      <c r="C1707" s="17">
        <v>6</v>
      </c>
      <c r="D1707" s="17" t="s">
        <v>280</v>
      </c>
      <c r="E1707" s="17" t="s">
        <v>259</v>
      </c>
      <c r="F1707" s="17" t="str">
        <f>TEXT(data[[#This Row],[ShipDate]],"yyyy - mmmm")</f>
        <v>2016 - February</v>
      </c>
      <c r="G1707" s="17" t="str">
        <f>data[[#This Row],[OriginCity]] &amp; " - "  &amp; data[[#This Row],[DestinationCity]]</f>
        <v>Dayton - Elgin</v>
      </c>
      <c r="H1707" s="17" t="s">
        <v>93</v>
      </c>
      <c r="I1707" s="17" t="s">
        <v>23</v>
      </c>
      <c r="J1707" s="17">
        <v>1</v>
      </c>
      <c r="K1707" s="17" t="s">
        <v>94</v>
      </c>
      <c r="L1707" s="17" t="s">
        <v>31</v>
      </c>
      <c r="M1707" s="17" t="s">
        <v>259</v>
      </c>
      <c r="N1707" s="17">
        <v>486</v>
      </c>
      <c r="O1707" s="17">
        <v>486</v>
      </c>
      <c r="P1707" s="26">
        <f>(data[[#This Row],[LoadedMiles]]/data[[#This Row],[TotalMiles]])*100</f>
        <v>100</v>
      </c>
      <c r="Q1707" s="25">
        <f>data[[#This Row],[ShippingCost]]/data[[#This Row],[TotalMiles]]</f>
        <v>16.864197530864196</v>
      </c>
      <c r="R1707" s="17">
        <v>8196</v>
      </c>
      <c r="S1707" s="25">
        <f>data[[#This Row],[Revenue]]/data[[#This Row],[TotalMiles]]</f>
        <v>17.672839506172838</v>
      </c>
      <c r="T1707" s="26">
        <f>data[[#This Row],[Revenue]]-data[[#This Row],[ShippingCost]]</f>
        <v>393</v>
      </c>
      <c r="U1707" s="17">
        <v>8589</v>
      </c>
      <c r="V1707" s="17">
        <v>81</v>
      </c>
      <c r="W1707" s="17" t="s">
        <v>25</v>
      </c>
      <c r="X1707" s="17">
        <v>6</v>
      </c>
      <c r="Y1707" s="17">
        <f>data[[#This Row],[DeliveryDate]]-data[[#This Row],[ShipDate]]</f>
        <v>0</v>
      </c>
      <c r="Z1707" s="17" t="str">
        <f>IF(data[[#This Row],[Actual Delivery Days]]&gt;AD1708,"Yes","No")</f>
        <v>No</v>
      </c>
    </row>
    <row r="1708" spans="1:26">
      <c r="A1708" s="17">
        <v>11276</v>
      </c>
      <c r="B1708" s="17">
        <v>3</v>
      </c>
      <c r="C1708" s="17">
        <v>6</v>
      </c>
      <c r="D1708" s="17" t="s">
        <v>292</v>
      </c>
      <c r="E1708" s="17" t="s">
        <v>42</v>
      </c>
      <c r="F1708" s="17" t="str">
        <f>TEXT(data[[#This Row],[ShipDate]],"yyyy - mmmm")</f>
        <v>2016 - May</v>
      </c>
      <c r="G1708" s="17" t="str">
        <f>data[[#This Row],[OriginCity]] &amp; " - "  &amp; data[[#This Row],[DestinationCity]]</f>
        <v>Kalamazoo - Bangor</v>
      </c>
      <c r="H1708" s="17" t="s">
        <v>71</v>
      </c>
      <c r="I1708" s="17" t="s">
        <v>21</v>
      </c>
      <c r="J1708" s="17">
        <v>1</v>
      </c>
      <c r="K1708" s="17" t="s">
        <v>104</v>
      </c>
      <c r="L1708" s="17" t="s">
        <v>21</v>
      </c>
      <c r="M1708" s="17" t="s">
        <v>27</v>
      </c>
      <c r="N1708" s="17">
        <v>460</v>
      </c>
      <c r="O1708" s="17">
        <v>460</v>
      </c>
      <c r="P1708" s="26">
        <f>(data[[#This Row],[LoadedMiles]]/data[[#This Row],[TotalMiles]])*100</f>
        <v>100</v>
      </c>
      <c r="Q1708" s="25">
        <f>data[[#This Row],[ShippingCost]]/data[[#This Row],[TotalMiles]]</f>
        <v>17.254347826086956</v>
      </c>
      <c r="R1708" s="17">
        <v>7937</v>
      </c>
      <c r="S1708" s="25">
        <f>data[[#This Row],[Revenue]]/data[[#This Row],[TotalMiles]]</f>
        <v>18.921739130434784</v>
      </c>
      <c r="T1708" s="26">
        <f>data[[#This Row],[Revenue]]-data[[#This Row],[ShippingCost]]</f>
        <v>767</v>
      </c>
      <c r="U1708" s="17">
        <v>8704</v>
      </c>
      <c r="V1708" s="17">
        <v>50</v>
      </c>
      <c r="W1708" s="17" t="s">
        <v>86</v>
      </c>
      <c r="X1708" s="17">
        <v>6</v>
      </c>
      <c r="Y1708" s="17">
        <f>data[[#This Row],[DeliveryDate]]-data[[#This Row],[ShipDate]]</f>
        <v>1</v>
      </c>
      <c r="Z1708" s="17" t="str">
        <f>IF(data[[#This Row],[Actual Delivery Days]]&gt;AD1709,"Yes","No")</f>
        <v>Yes</v>
      </c>
    </row>
    <row r="1709" spans="1:26">
      <c r="A1709" s="17">
        <v>11283</v>
      </c>
      <c r="B1709" s="17">
        <v>3</v>
      </c>
      <c r="C1709" s="17">
        <v>5</v>
      </c>
      <c r="D1709" s="17" t="s">
        <v>308</v>
      </c>
      <c r="E1709" s="17" t="s">
        <v>186</v>
      </c>
      <c r="F1709" s="17" t="str">
        <f>TEXT(data[[#This Row],[ShipDate]],"yyyy - mmmm")</f>
        <v>2016 - April</v>
      </c>
      <c r="G1709" s="17" t="str">
        <f>data[[#This Row],[OriginCity]] &amp; " - "  &amp; data[[#This Row],[DestinationCity]]</f>
        <v>Detriot - Monon</v>
      </c>
      <c r="H1709" s="17" t="s">
        <v>52</v>
      </c>
      <c r="I1709" s="17" t="s">
        <v>21</v>
      </c>
      <c r="J1709" s="17">
        <v>1</v>
      </c>
      <c r="K1709" s="17" t="s">
        <v>53</v>
      </c>
      <c r="L1709" s="17" t="s">
        <v>44</v>
      </c>
      <c r="M1709" s="17" t="s">
        <v>51</v>
      </c>
      <c r="N1709" s="17">
        <v>790</v>
      </c>
      <c r="O1709" s="17">
        <v>584</v>
      </c>
      <c r="P1709" s="26">
        <f>(data[[#This Row],[LoadedMiles]]/data[[#This Row],[TotalMiles]])*100</f>
        <v>73.924050632911403</v>
      </c>
      <c r="Q1709" s="25">
        <f>data[[#This Row],[ShippingCost]]/data[[#This Row],[TotalMiles]]</f>
        <v>1.0417721518987342</v>
      </c>
      <c r="R1709" s="17">
        <v>823</v>
      </c>
      <c r="S1709" s="25">
        <f>data[[#This Row],[Revenue]]/data[[#This Row],[TotalMiles]]</f>
        <v>1.8291139240506329</v>
      </c>
      <c r="T1709" s="26">
        <f>data[[#This Row],[Revenue]]-data[[#This Row],[ShippingCost]]</f>
        <v>622</v>
      </c>
      <c r="U1709" s="17">
        <v>1445</v>
      </c>
      <c r="V1709" s="17">
        <v>71</v>
      </c>
      <c r="W1709" s="17" t="s">
        <v>25</v>
      </c>
      <c r="X1709" s="17">
        <v>7</v>
      </c>
      <c r="Y1709" s="17">
        <f>data[[#This Row],[DeliveryDate]]-data[[#This Row],[ShipDate]]</f>
        <v>1</v>
      </c>
      <c r="Z1709" s="17" t="str">
        <f>IF(data[[#This Row],[Actual Delivery Days]]&gt;AD1710,"Yes","No")</f>
        <v>Yes</v>
      </c>
    </row>
    <row r="1710" spans="1:26">
      <c r="A1710" s="17">
        <v>11285</v>
      </c>
      <c r="B1710" s="17">
        <v>3</v>
      </c>
      <c r="C1710" s="17">
        <v>6</v>
      </c>
      <c r="D1710" s="17" t="s">
        <v>249</v>
      </c>
      <c r="E1710" s="17" t="s">
        <v>522</v>
      </c>
      <c r="F1710" s="17" t="str">
        <f>TEXT(data[[#This Row],[ShipDate]],"yyyy - mmmm")</f>
        <v>2016 - February</v>
      </c>
      <c r="G1710" s="17" t="str">
        <f>data[[#This Row],[OriginCity]] &amp; " - "  &amp; data[[#This Row],[DestinationCity]]</f>
        <v>Joliet - Madison</v>
      </c>
      <c r="H1710" s="17" t="s">
        <v>61</v>
      </c>
      <c r="I1710" s="17" t="s">
        <v>31</v>
      </c>
      <c r="J1710" s="17">
        <v>1</v>
      </c>
      <c r="K1710" s="17" t="s">
        <v>62</v>
      </c>
      <c r="L1710" s="17" t="s">
        <v>29</v>
      </c>
      <c r="M1710" s="17" t="s">
        <v>291</v>
      </c>
      <c r="N1710" s="17">
        <v>796</v>
      </c>
      <c r="O1710" s="17">
        <v>300</v>
      </c>
      <c r="P1710" s="26">
        <f>(data[[#This Row],[LoadedMiles]]/data[[#This Row],[TotalMiles]])*100</f>
        <v>37.688442211055282</v>
      </c>
      <c r="Q1710" s="25">
        <f>data[[#This Row],[ShippingCost]]/data[[#This Row],[TotalMiles]]</f>
        <v>0.60175879396984921</v>
      </c>
      <c r="R1710" s="17">
        <v>479</v>
      </c>
      <c r="S1710" s="25">
        <f>data[[#This Row],[Revenue]]/data[[#This Row],[TotalMiles]]</f>
        <v>1.7600502512562815</v>
      </c>
      <c r="T1710" s="26">
        <f>data[[#This Row],[Revenue]]-data[[#This Row],[ShippingCost]]</f>
        <v>922</v>
      </c>
      <c r="U1710" s="17">
        <v>1401</v>
      </c>
      <c r="V1710" s="17">
        <v>79</v>
      </c>
      <c r="W1710" s="17" t="s">
        <v>25</v>
      </c>
      <c r="X1710" s="17">
        <v>6</v>
      </c>
      <c r="Y1710" s="17">
        <f>data[[#This Row],[DeliveryDate]]-data[[#This Row],[ShipDate]]</f>
        <v>1</v>
      </c>
      <c r="Z1710" s="17" t="str">
        <f>IF(data[[#This Row],[Actual Delivery Days]]&gt;AD1711,"Yes","No")</f>
        <v>Yes</v>
      </c>
    </row>
    <row r="1711" spans="1:26">
      <c r="A1711" s="17">
        <v>11288</v>
      </c>
      <c r="B1711" s="17">
        <v>3</v>
      </c>
      <c r="C1711" s="17">
        <v>2</v>
      </c>
      <c r="D1711" s="17" t="s">
        <v>317</v>
      </c>
      <c r="E1711" s="17" t="s">
        <v>454</v>
      </c>
      <c r="F1711" s="17" t="str">
        <f>TEXT(data[[#This Row],[ShipDate]],"yyyy - mmmm")</f>
        <v>2016 - March</v>
      </c>
      <c r="G1711" s="17" t="str">
        <f>data[[#This Row],[OriginCity]] &amp; " - "  &amp; data[[#This Row],[DestinationCity]]</f>
        <v>Green Bay - Joliet</v>
      </c>
      <c r="H1711" s="17" t="s">
        <v>75</v>
      </c>
      <c r="I1711" s="17" t="s">
        <v>29</v>
      </c>
      <c r="J1711" s="17">
        <v>1</v>
      </c>
      <c r="K1711" s="17" t="s">
        <v>61</v>
      </c>
      <c r="L1711" s="17" t="s">
        <v>31</v>
      </c>
      <c r="M1711" s="17" t="s">
        <v>272</v>
      </c>
      <c r="N1711" s="17">
        <v>477</v>
      </c>
      <c r="O1711" s="17">
        <v>477</v>
      </c>
      <c r="P1711" s="26">
        <f>(data[[#This Row],[LoadedMiles]]/data[[#This Row],[TotalMiles]])*100</f>
        <v>100</v>
      </c>
      <c r="Q1711" s="25">
        <f>data[[#This Row],[ShippingCost]]/data[[#This Row],[TotalMiles]]</f>
        <v>0.62264150943396224</v>
      </c>
      <c r="R1711" s="17">
        <v>297</v>
      </c>
      <c r="S1711" s="25">
        <f>data[[#This Row],[Revenue]]/data[[#This Row],[TotalMiles]]</f>
        <v>1.079664570230608</v>
      </c>
      <c r="T1711" s="26">
        <f>data[[#This Row],[Revenue]]-data[[#This Row],[ShippingCost]]</f>
        <v>218</v>
      </c>
      <c r="U1711" s="17">
        <v>515</v>
      </c>
      <c r="V1711" s="17">
        <v>87</v>
      </c>
      <c r="W1711" s="17" t="s">
        <v>25</v>
      </c>
      <c r="X1711" s="17">
        <v>8</v>
      </c>
      <c r="Y1711" s="17">
        <f>data[[#This Row],[DeliveryDate]]-data[[#This Row],[ShipDate]]</f>
        <v>1</v>
      </c>
      <c r="Z1711" s="17" t="str">
        <f>IF(data[[#This Row],[Actual Delivery Days]]&gt;AD1712,"Yes","No")</f>
        <v>Yes</v>
      </c>
    </row>
    <row r="1712" spans="1:26">
      <c r="A1712" s="17">
        <v>11293</v>
      </c>
      <c r="B1712" s="17">
        <v>3</v>
      </c>
      <c r="C1712" s="17">
        <v>1</v>
      </c>
      <c r="D1712" s="17" t="s">
        <v>328</v>
      </c>
      <c r="E1712" s="17" t="s">
        <v>163</v>
      </c>
      <c r="F1712" s="17" t="str">
        <f>TEXT(data[[#This Row],[ShipDate]],"yyyy - mmmm")</f>
        <v>2016 - February</v>
      </c>
      <c r="G1712" s="17" t="str">
        <f>data[[#This Row],[OriginCity]] &amp; " - "  &amp; data[[#This Row],[DestinationCity]]</f>
        <v>Lansing - Dayton</v>
      </c>
      <c r="H1712" s="17" t="s">
        <v>66</v>
      </c>
      <c r="I1712" s="17" t="s">
        <v>21</v>
      </c>
      <c r="J1712" s="17">
        <v>1</v>
      </c>
      <c r="K1712" s="17" t="s">
        <v>93</v>
      </c>
      <c r="L1712" s="17" t="s">
        <v>23</v>
      </c>
      <c r="M1712" s="17" t="s">
        <v>164</v>
      </c>
      <c r="N1712" s="17">
        <v>283</v>
      </c>
      <c r="O1712" s="17">
        <v>283</v>
      </c>
      <c r="P1712" s="26">
        <f>(data[[#This Row],[LoadedMiles]]/data[[#This Row],[TotalMiles]])*100</f>
        <v>100</v>
      </c>
      <c r="Q1712" s="25">
        <f>data[[#This Row],[ShippingCost]]/data[[#This Row],[TotalMiles]]</f>
        <v>7.2367491166077738</v>
      </c>
      <c r="R1712" s="17">
        <v>2048</v>
      </c>
      <c r="S1712" s="25">
        <f>data[[#This Row],[Revenue]]/data[[#This Row],[TotalMiles]]</f>
        <v>23.851590106007066</v>
      </c>
      <c r="T1712" s="26">
        <f>data[[#This Row],[Revenue]]-data[[#This Row],[ShippingCost]]</f>
        <v>4702</v>
      </c>
      <c r="U1712" s="17">
        <v>6750</v>
      </c>
      <c r="V1712" s="17">
        <v>95</v>
      </c>
      <c r="W1712" s="17" t="s">
        <v>86</v>
      </c>
      <c r="X1712" s="17">
        <v>3</v>
      </c>
      <c r="Y1712" s="17">
        <f>data[[#This Row],[DeliveryDate]]-data[[#This Row],[ShipDate]]</f>
        <v>1</v>
      </c>
      <c r="Z1712" s="17" t="str">
        <f>IF(data[[#This Row],[Actual Delivery Days]]&gt;AD1713,"Yes","No")</f>
        <v>Yes</v>
      </c>
    </row>
    <row r="1713" spans="1:26">
      <c r="A1713" s="17">
        <v>11300</v>
      </c>
      <c r="B1713" s="17">
        <v>3</v>
      </c>
      <c r="C1713" s="17">
        <v>1</v>
      </c>
      <c r="D1713" s="17" t="s">
        <v>338</v>
      </c>
      <c r="E1713" s="17" t="s">
        <v>522</v>
      </c>
      <c r="F1713" s="17" t="str">
        <f>TEXT(data[[#This Row],[ShipDate]],"yyyy - mmmm")</f>
        <v>2016 - February</v>
      </c>
      <c r="G1713" s="17" t="str">
        <f>data[[#This Row],[OriginCity]] &amp; " - "  &amp; data[[#This Row],[DestinationCity]]</f>
        <v>Milwaukee - Springfield</v>
      </c>
      <c r="H1713" s="17" t="s">
        <v>28</v>
      </c>
      <c r="I1713" s="17" t="s">
        <v>29</v>
      </c>
      <c r="J1713" s="17">
        <v>1</v>
      </c>
      <c r="K1713" s="17" t="s">
        <v>30</v>
      </c>
      <c r="L1713" s="17" t="s">
        <v>31</v>
      </c>
      <c r="M1713" s="17" t="s">
        <v>291</v>
      </c>
      <c r="N1713" s="17">
        <v>905</v>
      </c>
      <c r="O1713" s="17">
        <v>782</v>
      </c>
      <c r="P1713" s="26">
        <f>(data[[#This Row],[LoadedMiles]]/data[[#This Row],[TotalMiles]])*100</f>
        <v>86.408839779005518</v>
      </c>
      <c r="Q1713" s="25">
        <f>data[[#This Row],[ShippingCost]]/data[[#This Row],[TotalMiles]]</f>
        <v>8.0718232044198892</v>
      </c>
      <c r="R1713" s="17">
        <v>7305</v>
      </c>
      <c r="S1713" s="25">
        <f>data[[#This Row],[Revenue]]/data[[#This Row],[TotalMiles]]</f>
        <v>12.717127071823205</v>
      </c>
      <c r="T1713" s="26">
        <f>data[[#This Row],[Revenue]]-data[[#This Row],[ShippingCost]]</f>
        <v>4204</v>
      </c>
      <c r="U1713" s="17">
        <v>11509</v>
      </c>
      <c r="V1713" s="17">
        <v>50</v>
      </c>
      <c r="W1713" s="17" t="s">
        <v>25</v>
      </c>
      <c r="X1713" s="17">
        <v>10</v>
      </c>
      <c r="Y1713" s="17">
        <f>data[[#This Row],[DeliveryDate]]-data[[#This Row],[ShipDate]]</f>
        <v>1</v>
      </c>
      <c r="Z1713" s="17" t="str">
        <f>IF(data[[#This Row],[Actual Delivery Days]]&gt;AD1714,"Yes","No")</f>
        <v>Yes</v>
      </c>
    </row>
    <row r="1714" spans="1:26">
      <c r="A1714" s="17">
        <v>11301</v>
      </c>
      <c r="B1714" s="17">
        <v>3</v>
      </c>
      <c r="C1714" s="17">
        <v>2</v>
      </c>
      <c r="D1714" s="17" t="s">
        <v>340</v>
      </c>
      <c r="E1714" s="17" t="s">
        <v>444</v>
      </c>
      <c r="F1714" s="17" t="str">
        <f>TEXT(data[[#This Row],[ShipDate]],"yyyy - mmmm")</f>
        <v>2016 - June</v>
      </c>
      <c r="G1714" s="17" t="str">
        <f>data[[#This Row],[OriginCity]] &amp; " - "  &amp; data[[#This Row],[DestinationCity]]</f>
        <v>Springfield - Skokie</v>
      </c>
      <c r="H1714" s="17" t="s">
        <v>30</v>
      </c>
      <c r="I1714" s="17" t="s">
        <v>31</v>
      </c>
      <c r="J1714" s="17">
        <v>1</v>
      </c>
      <c r="K1714" s="17" t="s">
        <v>35</v>
      </c>
      <c r="L1714" s="17" t="s">
        <v>31</v>
      </c>
      <c r="M1714" s="17" t="s">
        <v>410</v>
      </c>
      <c r="N1714" s="17">
        <v>297</v>
      </c>
      <c r="O1714" s="17">
        <v>297</v>
      </c>
      <c r="P1714" s="26">
        <f>(data[[#This Row],[LoadedMiles]]/data[[#This Row],[TotalMiles]])*100</f>
        <v>100</v>
      </c>
      <c r="Q1714" s="25">
        <f>data[[#This Row],[ShippingCost]]/data[[#This Row],[TotalMiles]]</f>
        <v>12.905723905723907</v>
      </c>
      <c r="R1714" s="17">
        <v>3833</v>
      </c>
      <c r="S1714" s="25">
        <f>data[[#This Row],[Revenue]]/data[[#This Row],[TotalMiles]]</f>
        <v>14.62962962962963</v>
      </c>
      <c r="T1714" s="26">
        <f>data[[#This Row],[Revenue]]-data[[#This Row],[ShippingCost]]</f>
        <v>512</v>
      </c>
      <c r="U1714" s="17">
        <v>4345</v>
      </c>
      <c r="V1714" s="17">
        <v>82</v>
      </c>
      <c r="W1714" s="17" t="s">
        <v>25</v>
      </c>
      <c r="X1714" s="17">
        <v>6</v>
      </c>
      <c r="Y1714" s="17">
        <f>data[[#This Row],[DeliveryDate]]-data[[#This Row],[ShipDate]]</f>
        <v>1</v>
      </c>
      <c r="Z1714" s="17" t="str">
        <f>IF(data[[#This Row],[Actual Delivery Days]]&gt;AD1715,"Yes","No")</f>
        <v>Yes</v>
      </c>
    </row>
    <row r="1715" spans="1:26">
      <c r="A1715" s="17">
        <v>11303</v>
      </c>
      <c r="B1715" s="17">
        <v>3</v>
      </c>
      <c r="C1715" s="17">
        <v>1</v>
      </c>
      <c r="D1715" s="17" t="s">
        <v>343</v>
      </c>
      <c r="E1715" s="17" t="s">
        <v>82</v>
      </c>
      <c r="F1715" s="17" t="str">
        <f>TEXT(data[[#This Row],[ShipDate]],"yyyy - mmmm")</f>
        <v>2016 - March</v>
      </c>
      <c r="G1715" s="17" t="str">
        <f>data[[#This Row],[OriginCity]] &amp; " - "  &amp; data[[#This Row],[DestinationCity]]</f>
        <v>Indianapolis - Northbrook</v>
      </c>
      <c r="H1715" s="17" t="s">
        <v>43</v>
      </c>
      <c r="I1715" s="17" t="s">
        <v>44</v>
      </c>
      <c r="J1715" s="17">
        <v>1</v>
      </c>
      <c r="K1715" s="17" t="s">
        <v>45</v>
      </c>
      <c r="L1715" s="17" t="s">
        <v>31</v>
      </c>
      <c r="M1715" s="17" t="s">
        <v>130</v>
      </c>
      <c r="N1715" s="17">
        <v>1129</v>
      </c>
      <c r="O1715" s="17">
        <v>291</v>
      </c>
      <c r="P1715" s="26">
        <f>(data[[#This Row],[LoadedMiles]]/data[[#This Row],[TotalMiles]])*100</f>
        <v>25.775022143489814</v>
      </c>
      <c r="Q1715" s="25">
        <f>data[[#This Row],[ShippingCost]]/data[[#This Row],[TotalMiles]]</f>
        <v>3.2134632418069087</v>
      </c>
      <c r="R1715" s="17">
        <v>3628</v>
      </c>
      <c r="S1715" s="25">
        <f>data[[#This Row],[Revenue]]/data[[#This Row],[TotalMiles]]</f>
        <v>7.2409211691762625</v>
      </c>
      <c r="T1715" s="26">
        <f>data[[#This Row],[Revenue]]-data[[#This Row],[ShippingCost]]</f>
        <v>4547</v>
      </c>
      <c r="U1715" s="17">
        <v>8175</v>
      </c>
      <c r="V1715" s="17">
        <v>55</v>
      </c>
      <c r="W1715" s="17" t="s">
        <v>25</v>
      </c>
      <c r="X1715" s="17">
        <v>8</v>
      </c>
      <c r="Y1715" s="17">
        <f>data[[#This Row],[DeliveryDate]]-data[[#This Row],[ShipDate]]</f>
        <v>1</v>
      </c>
      <c r="Z1715" s="17" t="str">
        <f>IF(data[[#This Row],[Actual Delivery Days]]&gt;AD1716,"Yes","No")</f>
        <v>Yes</v>
      </c>
    </row>
    <row r="1716" spans="1:26">
      <c r="A1716" s="17">
        <v>11306</v>
      </c>
      <c r="B1716" s="17">
        <v>2</v>
      </c>
      <c r="C1716" s="17">
        <v>5</v>
      </c>
      <c r="D1716" s="17" t="s">
        <v>347</v>
      </c>
      <c r="E1716" s="17" t="s">
        <v>301</v>
      </c>
      <c r="F1716" s="17" t="str">
        <f>TEXT(data[[#This Row],[ShipDate]],"yyyy - mmmm")</f>
        <v>2016 - August</v>
      </c>
      <c r="G1716" s="17" t="str">
        <f>data[[#This Row],[OriginCity]] &amp; " - "  &amp; data[[#This Row],[DestinationCity]]</f>
        <v>Gary - Milwaukee</v>
      </c>
      <c r="H1716" s="17" t="s">
        <v>57</v>
      </c>
      <c r="I1716" s="17" t="s">
        <v>44</v>
      </c>
      <c r="J1716" s="17">
        <v>1</v>
      </c>
      <c r="K1716" s="17" t="s">
        <v>28</v>
      </c>
      <c r="L1716" s="17" t="s">
        <v>29</v>
      </c>
      <c r="M1716" s="17" t="s">
        <v>341</v>
      </c>
      <c r="N1716" s="17">
        <v>296</v>
      </c>
      <c r="O1716" s="17">
        <v>296</v>
      </c>
      <c r="P1716" s="26">
        <f>(data[[#This Row],[LoadedMiles]]/data[[#This Row],[TotalMiles]])*100</f>
        <v>100</v>
      </c>
      <c r="Q1716" s="25">
        <f>data[[#This Row],[ShippingCost]]/data[[#This Row],[TotalMiles]]</f>
        <v>26.22972972972973</v>
      </c>
      <c r="R1716" s="17">
        <v>7764</v>
      </c>
      <c r="S1716" s="25">
        <f>data[[#This Row],[Revenue]]/data[[#This Row],[TotalMiles]]</f>
        <v>28.739864864864863</v>
      </c>
      <c r="T1716" s="26">
        <f>data[[#This Row],[Revenue]]-data[[#This Row],[ShippingCost]]</f>
        <v>743</v>
      </c>
      <c r="U1716" s="17">
        <v>8507</v>
      </c>
      <c r="V1716" s="17">
        <v>81</v>
      </c>
      <c r="W1716" s="17" t="s">
        <v>25</v>
      </c>
      <c r="X1716" s="17">
        <v>3</v>
      </c>
      <c r="Y1716" s="17">
        <f>data[[#This Row],[DeliveryDate]]-data[[#This Row],[ShipDate]]</f>
        <v>1</v>
      </c>
      <c r="Z1716" s="17" t="str">
        <f>IF(data[[#This Row],[Actual Delivery Days]]&gt;AD1717,"Yes","No")</f>
        <v>Yes</v>
      </c>
    </row>
    <row r="1717" spans="1:26">
      <c r="A1717" s="17">
        <v>11316</v>
      </c>
      <c r="B1717" s="17">
        <v>2</v>
      </c>
      <c r="C1717" s="17">
        <v>6</v>
      </c>
      <c r="D1717" s="17" t="s">
        <v>364</v>
      </c>
      <c r="E1717" s="17" t="s">
        <v>462</v>
      </c>
      <c r="F1717" s="17" t="str">
        <f>TEXT(data[[#This Row],[ShipDate]],"yyyy - mmmm")</f>
        <v>2016 - March</v>
      </c>
      <c r="G1717" s="17" t="str">
        <f>data[[#This Row],[OriginCity]] &amp; " - "  &amp; data[[#This Row],[DestinationCity]]</f>
        <v>Toledo - Detriot</v>
      </c>
      <c r="H1717" s="17" t="s">
        <v>22</v>
      </c>
      <c r="I1717" s="17" t="s">
        <v>23</v>
      </c>
      <c r="J1717" s="17">
        <v>1</v>
      </c>
      <c r="K1717" s="17" t="s">
        <v>52</v>
      </c>
      <c r="L1717" s="17" t="s">
        <v>21</v>
      </c>
      <c r="M1717" s="17" t="s">
        <v>74</v>
      </c>
      <c r="N1717" s="17">
        <v>518</v>
      </c>
      <c r="O1717" s="17">
        <v>518</v>
      </c>
      <c r="P1717" s="26">
        <f>(data[[#This Row],[LoadedMiles]]/data[[#This Row],[TotalMiles]])*100</f>
        <v>100</v>
      </c>
      <c r="Q1717" s="25">
        <f>data[[#This Row],[ShippingCost]]/data[[#This Row],[TotalMiles]]</f>
        <v>9.0231660231660236</v>
      </c>
      <c r="R1717" s="17">
        <v>4674</v>
      </c>
      <c r="S1717" s="25">
        <f>data[[#This Row],[Revenue]]/data[[#This Row],[TotalMiles]]</f>
        <v>9.519305019305019</v>
      </c>
      <c r="T1717" s="26">
        <f>data[[#This Row],[Revenue]]-data[[#This Row],[ShippingCost]]</f>
        <v>257</v>
      </c>
      <c r="U1717" s="17">
        <v>4931</v>
      </c>
      <c r="V1717" s="17">
        <v>64</v>
      </c>
      <c r="W1717" s="17" t="s">
        <v>25</v>
      </c>
      <c r="X1717" s="17">
        <v>4</v>
      </c>
      <c r="Y1717" s="17">
        <f>data[[#This Row],[DeliveryDate]]-data[[#This Row],[ShipDate]]</f>
        <v>1</v>
      </c>
      <c r="Z1717" s="17" t="str">
        <f>IF(data[[#This Row],[Actual Delivery Days]]&gt;AD1718,"Yes","No")</f>
        <v>Yes</v>
      </c>
    </row>
    <row r="1718" spans="1:26">
      <c r="A1718" s="17">
        <v>11322</v>
      </c>
      <c r="B1718" s="17">
        <v>2</v>
      </c>
      <c r="C1718" s="17">
        <v>6</v>
      </c>
      <c r="D1718" s="17" t="s">
        <v>375</v>
      </c>
      <c r="E1718" s="17" t="s">
        <v>304</v>
      </c>
      <c r="F1718" s="17" t="str">
        <f>TEXT(data[[#This Row],[ShipDate]],"yyyy - mmmm")</f>
        <v>2016 - January</v>
      </c>
      <c r="G1718" s="17" t="str">
        <f>data[[#This Row],[OriginCity]] &amp; " - "  &amp; data[[#This Row],[DestinationCity]]</f>
        <v>Grand Rapids - Toledo</v>
      </c>
      <c r="H1718" s="17" t="s">
        <v>20</v>
      </c>
      <c r="I1718" s="17" t="s">
        <v>21</v>
      </c>
      <c r="J1718" s="17">
        <v>1</v>
      </c>
      <c r="K1718" s="17" t="s">
        <v>22</v>
      </c>
      <c r="L1718" s="17" t="s">
        <v>23</v>
      </c>
      <c r="M1718" s="17" t="s">
        <v>111</v>
      </c>
      <c r="N1718" s="17">
        <v>652</v>
      </c>
      <c r="O1718" s="17">
        <v>652</v>
      </c>
      <c r="P1718" s="26">
        <f>(data[[#This Row],[LoadedMiles]]/data[[#This Row],[TotalMiles]])*100</f>
        <v>100</v>
      </c>
      <c r="Q1718" s="25">
        <f>data[[#This Row],[ShippingCost]]/data[[#This Row],[TotalMiles]]</f>
        <v>0.48773006134969327</v>
      </c>
      <c r="R1718" s="17">
        <v>318</v>
      </c>
      <c r="S1718" s="25">
        <f>data[[#This Row],[Revenue]]/data[[#This Row],[TotalMiles]]</f>
        <v>1.1595092024539877</v>
      </c>
      <c r="T1718" s="26">
        <f>data[[#This Row],[Revenue]]-data[[#This Row],[ShippingCost]]</f>
        <v>438</v>
      </c>
      <c r="U1718" s="17">
        <v>756</v>
      </c>
      <c r="V1718" s="17">
        <v>61</v>
      </c>
      <c r="W1718" s="17" t="s">
        <v>25</v>
      </c>
      <c r="X1718" s="17">
        <v>4</v>
      </c>
      <c r="Y1718" s="17">
        <f>data[[#This Row],[DeliveryDate]]-data[[#This Row],[ShipDate]]</f>
        <v>1</v>
      </c>
      <c r="Z1718" s="17" t="str">
        <f>IF(data[[#This Row],[Actual Delivery Days]]&gt;AD1719,"Yes","No")</f>
        <v>Yes</v>
      </c>
    </row>
    <row r="1719" spans="1:26">
      <c r="A1719" s="17">
        <v>11323</v>
      </c>
      <c r="B1719" s="17">
        <v>2</v>
      </c>
      <c r="C1719" s="17">
        <v>4</v>
      </c>
      <c r="D1719" s="17" t="s">
        <v>377</v>
      </c>
      <c r="E1719" s="17" t="s">
        <v>231</v>
      </c>
      <c r="F1719" s="17" t="str">
        <f>TEXT(data[[#This Row],[ShipDate]],"yyyy - mmmm")</f>
        <v>2016 - May</v>
      </c>
      <c r="G1719" s="17" t="str">
        <f>data[[#This Row],[OriginCity]] &amp; " - "  &amp; data[[#This Row],[DestinationCity]]</f>
        <v>Milwaukee - Springfield</v>
      </c>
      <c r="H1719" s="17" t="s">
        <v>28</v>
      </c>
      <c r="I1719" s="17" t="s">
        <v>29</v>
      </c>
      <c r="J1719" s="17">
        <v>1</v>
      </c>
      <c r="K1719" s="17" t="s">
        <v>30</v>
      </c>
      <c r="L1719" s="17" t="s">
        <v>31</v>
      </c>
      <c r="M1719" s="17" t="s">
        <v>350</v>
      </c>
      <c r="N1719" s="17">
        <v>847</v>
      </c>
      <c r="O1719" s="17">
        <v>308</v>
      </c>
      <c r="P1719" s="26">
        <f>(data[[#This Row],[LoadedMiles]]/data[[#This Row],[TotalMiles]])*100</f>
        <v>36.363636363636367</v>
      </c>
      <c r="Q1719" s="25">
        <f>data[[#This Row],[ShippingCost]]/data[[#This Row],[TotalMiles]]</f>
        <v>7.4179456906729637</v>
      </c>
      <c r="R1719" s="17">
        <v>6283</v>
      </c>
      <c r="S1719" s="25">
        <f>data[[#This Row],[Revenue]]/data[[#This Row],[TotalMiles]]</f>
        <v>5.5242030696576148</v>
      </c>
      <c r="T1719" s="26">
        <f>data[[#This Row],[Revenue]]-data[[#This Row],[ShippingCost]]</f>
        <v>-1604</v>
      </c>
      <c r="U1719" s="17">
        <v>4679</v>
      </c>
      <c r="V1719" s="17">
        <v>76</v>
      </c>
      <c r="W1719" s="17" t="s">
        <v>25</v>
      </c>
      <c r="X1719" s="17">
        <v>5</v>
      </c>
      <c r="Y1719" s="17">
        <f>data[[#This Row],[DeliveryDate]]-data[[#This Row],[ShipDate]]</f>
        <v>1</v>
      </c>
      <c r="Z1719" s="17" t="str">
        <f>IF(data[[#This Row],[Actual Delivery Days]]&gt;AD1720,"Yes","No")</f>
        <v>Yes</v>
      </c>
    </row>
    <row r="1720" spans="1:26">
      <c r="A1720" s="17">
        <v>11330</v>
      </c>
      <c r="B1720" s="17">
        <v>3</v>
      </c>
      <c r="C1720" s="17">
        <v>2</v>
      </c>
      <c r="D1720" s="17" t="s">
        <v>390</v>
      </c>
      <c r="E1720" s="17" t="s">
        <v>60</v>
      </c>
      <c r="F1720" s="17" t="str">
        <f>TEXT(data[[#This Row],[ShipDate]],"yyyy - mmmm")</f>
        <v>2016 - July</v>
      </c>
      <c r="G1720" s="17" t="str">
        <f>data[[#This Row],[OriginCity]] &amp; " - "  &amp; data[[#This Row],[DestinationCity]]</f>
        <v>Madison - Kalamazoo</v>
      </c>
      <c r="H1720" s="17" t="s">
        <v>62</v>
      </c>
      <c r="I1720" s="17" t="s">
        <v>29</v>
      </c>
      <c r="J1720" s="17">
        <v>1</v>
      </c>
      <c r="K1720" s="17" t="s">
        <v>71</v>
      </c>
      <c r="L1720" s="17" t="s">
        <v>21</v>
      </c>
      <c r="M1720" s="17" t="s">
        <v>404</v>
      </c>
      <c r="N1720" s="17">
        <v>814</v>
      </c>
      <c r="O1720" s="17">
        <v>679</v>
      </c>
      <c r="P1720" s="26">
        <f>(data[[#This Row],[LoadedMiles]]/data[[#This Row],[TotalMiles]])*100</f>
        <v>83.415233415233416</v>
      </c>
      <c r="Q1720" s="25">
        <f>data[[#This Row],[ShippingCost]]/data[[#This Row],[TotalMiles]]</f>
        <v>6.0995085995085994</v>
      </c>
      <c r="R1720" s="17">
        <v>4965</v>
      </c>
      <c r="S1720" s="25">
        <f>data[[#This Row],[Revenue]]/data[[#This Row],[TotalMiles]]</f>
        <v>7.0233415233415233</v>
      </c>
      <c r="T1720" s="26">
        <f>data[[#This Row],[Revenue]]-data[[#This Row],[ShippingCost]]</f>
        <v>752</v>
      </c>
      <c r="U1720" s="17">
        <v>5717</v>
      </c>
      <c r="V1720" s="17">
        <v>60</v>
      </c>
      <c r="W1720" s="17" t="s">
        <v>86</v>
      </c>
      <c r="X1720" s="17">
        <v>6</v>
      </c>
      <c r="Y1720" s="17">
        <f>data[[#This Row],[DeliveryDate]]-data[[#This Row],[ShipDate]]</f>
        <v>1</v>
      </c>
      <c r="Z1720" s="17" t="str">
        <f>IF(data[[#This Row],[Actual Delivery Days]]&gt;AD1721,"Yes","No")</f>
        <v>Yes</v>
      </c>
    </row>
    <row r="1721" spans="1:26">
      <c r="A1721" s="17">
        <v>11333</v>
      </c>
      <c r="B1721" s="17">
        <v>2</v>
      </c>
      <c r="C1721" s="17">
        <v>6</v>
      </c>
      <c r="D1721" s="17" t="s">
        <v>395</v>
      </c>
      <c r="E1721" s="17" t="s">
        <v>152</v>
      </c>
      <c r="F1721" s="17" t="str">
        <f>TEXT(data[[#This Row],[ShipDate]],"yyyy - mmmm")</f>
        <v>2016 - January</v>
      </c>
      <c r="G1721" s="17" t="str">
        <f>data[[#This Row],[OriginCity]] &amp; " - "  &amp; data[[#This Row],[DestinationCity]]</f>
        <v>Rockford - Green Bay</v>
      </c>
      <c r="H1721" s="17" t="s">
        <v>40</v>
      </c>
      <c r="I1721" s="17" t="s">
        <v>31</v>
      </c>
      <c r="J1721" s="17">
        <v>1</v>
      </c>
      <c r="K1721" s="17" t="s">
        <v>75</v>
      </c>
      <c r="L1721" s="17" t="s">
        <v>29</v>
      </c>
      <c r="M1721" s="17" t="s">
        <v>92</v>
      </c>
      <c r="N1721" s="17">
        <v>1040</v>
      </c>
      <c r="O1721" s="17">
        <v>570</v>
      </c>
      <c r="P1721" s="26">
        <f>(data[[#This Row],[LoadedMiles]]/data[[#This Row],[TotalMiles]])*100</f>
        <v>54.807692307692314</v>
      </c>
      <c r="Q1721" s="25">
        <f>data[[#This Row],[ShippingCost]]/data[[#This Row],[TotalMiles]]</f>
        <v>8.0086538461538463</v>
      </c>
      <c r="R1721" s="17">
        <v>8329</v>
      </c>
      <c r="S1721" s="25">
        <f>data[[#This Row],[Revenue]]/data[[#This Row],[TotalMiles]]</f>
        <v>8.263461538461538</v>
      </c>
      <c r="T1721" s="26">
        <f>data[[#This Row],[Revenue]]-data[[#This Row],[ShippingCost]]</f>
        <v>265</v>
      </c>
      <c r="U1721" s="17">
        <v>8594</v>
      </c>
      <c r="V1721" s="17">
        <v>59</v>
      </c>
      <c r="W1721" s="17" t="s">
        <v>25</v>
      </c>
      <c r="X1721" s="17">
        <v>9</v>
      </c>
      <c r="Y1721" s="17">
        <f>data[[#This Row],[DeliveryDate]]-data[[#This Row],[ShipDate]]</f>
        <v>1</v>
      </c>
      <c r="Z1721" s="17" t="str">
        <f>IF(data[[#This Row],[Actual Delivery Days]]&gt;AD1722,"Yes","No")</f>
        <v>Yes</v>
      </c>
    </row>
    <row r="1722" spans="1:26">
      <c r="A1722" s="17">
        <v>11337</v>
      </c>
      <c r="B1722" s="17">
        <v>2</v>
      </c>
      <c r="C1722" s="17">
        <v>1</v>
      </c>
      <c r="D1722" s="17" t="s">
        <v>401</v>
      </c>
      <c r="E1722" s="17" t="s">
        <v>426</v>
      </c>
      <c r="F1722" s="17" t="str">
        <f>TEXT(data[[#This Row],[ShipDate]],"yyyy - mmmm")</f>
        <v>2016 - July</v>
      </c>
      <c r="G1722" s="17" t="str">
        <f>data[[#This Row],[OriginCity]] &amp; " - "  &amp; data[[#This Row],[DestinationCity]]</f>
        <v>Toledo - Detriot</v>
      </c>
      <c r="H1722" s="17" t="s">
        <v>22</v>
      </c>
      <c r="I1722" s="17" t="s">
        <v>23</v>
      </c>
      <c r="J1722" s="17">
        <v>1</v>
      </c>
      <c r="K1722" s="17" t="s">
        <v>52</v>
      </c>
      <c r="L1722" s="17" t="s">
        <v>21</v>
      </c>
      <c r="M1722" s="17" t="s">
        <v>627</v>
      </c>
      <c r="N1722" s="17">
        <v>588</v>
      </c>
      <c r="O1722" s="17">
        <v>588</v>
      </c>
      <c r="P1722" s="26">
        <f>(data[[#This Row],[LoadedMiles]]/data[[#This Row],[TotalMiles]])*100</f>
        <v>100</v>
      </c>
      <c r="Q1722" s="25">
        <f>data[[#This Row],[ShippingCost]]/data[[#This Row],[TotalMiles]]</f>
        <v>12.236394557823129</v>
      </c>
      <c r="R1722" s="17">
        <v>7195</v>
      </c>
      <c r="S1722" s="25">
        <f>data[[#This Row],[Revenue]]/data[[#This Row],[TotalMiles]]</f>
        <v>19.877551020408163</v>
      </c>
      <c r="T1722" s="26">
        <f>data[[#This Row],[Revenue]]-data[[#This Row],[ShippingCost]]</f>
        <v>4493</v>
      </c>
      <c r="U1722" s="17">
        <v>11688</v>
      </c>
      <c r="V1722" s="17">
        <v>100</v>
      </c>
      <c r="W1722" s="17" t="s">
        <v>25</v>
      </c>
      <c r="X1722" s="17">
        <v>7</v>
      </c>
      <c r="Y1722" s="17">
        <f>data[[#This Row],[DeliveryDate]]-data[[#This Row],[ShipDate]]</f>
        <v>1</v>
      </c>
      <c r="Z1722" s="17" t="str">
        <f>IF(data[[#This Row],[Actual Delivery Days]]&gt;AD1723,"Yes","No")</f>
        <v>Yes</v>
      </c>
    </row>
    <row r="1723" spans="1:26">
      <c r="A1723" s="17">
        <v>11338</v>
      </c>
      <c r="B1723" s="17">
        <v>2</v>
      </c>
      <c r="C1723" s="17">
        <v>1</v>
      </c>
      <c r="D1723" s="17" t="s">
        <v>402</v>
      </c>
      <c r="E1723" s="17" t="s">
        <v>348</v>
      </c>
      <c r="F1723" s="17" t="str">
        <f>TEXT(data[[#This Row],[ShipDate]],"yyyy - mmmm")</f>
        <v>2016 - May</v>
      </c>
      <c r="G1723" s="17" t="str">
        <f>data[[#This Row],[OriginCity]] &amp; " - "  &amp; data[[#This Row],[DestinationCity]]</f>
        <v>Lansing - Dayton</v>
      </c>
      <c r="H1723" s="17" t="s">
        <v>66</v>
      </c>
      <c r="I1723" s="17" t="s">
        <v>21</v>
      </c>
      <c r="J1723" s="17">
        <v>1</v>
      </c>
      <c r="K1723" s="17" t="s">
        <v>93</v>
      </c>
      <c r="L1723" s="17" t="s">
        <v>23</v>
      </c>
      <c r="M1723" s="17" t="s">
        <v>248</v>
      </c>
      <c r="N1723" s="17">
        <v>387</v>
      </c>
      <c r="O1723" s="17">
        <v>223</v>
      </c>
      <c r="P1723" s="26">
        <f>(data[[#This Row],[LoadedMiles]]/data[[#This Row],[TotalMiles]])*100</f>
        <v>57.622739018087856</v>
      </c>
      <c r="Q1723" s="25">
        <f>data[[#This Row],[ShippingCost]]/data[[#This Row],[TotalMiles]]</f>
        <v>14.488372093023257</v>
      </c>
      <c r="R1723" s="17">
        <v>5607</v>
      </c>
      <c r="S1723" s="25">
        <f>data[[#This Row],[Revenue]]/data[[#This Row],[TotalMiles]]</f>
        <v>25.162790697674417</v>
      </c>
      <c r="T1723" s="26">
        <f>data[[#This Row],[Revenue]]-data[[#This Row],[ShippingCost]]</f>
        <v>4131</v>
      </c>
      <c r="U1723" s="17">
        <v>9738</v>
      </c>
      <c r="V1723" s="17">
        <v>56</v>
      </c>
      <c r="W1723" s="17" t="s">
        <v>25</v>
      </c>
      <c r="X1723" s="17">
        <v>2</v>
      </c>
      <c r="Y1723" s="17">
        <f>data[[#This Row],[DeliveryDate]]-data[[#This Row],[ShipDate]]</f>
        <v>1</v>
      </c>
      <c r="Z1723" s="17" t="str">
        <f>IF(data[[#This Row],[Actual Delivery Days]]&gt;AD1724,"Yes","No")</f>
        <v>Yes</v>
      </c>
    </row>
    <row r="1724" spans="1:26">
      <c r="A1724" s="17">
        <v>11350</v>
      </c>
      <c r="B1724" s="17">
        <v>3</v>
      </c>
      <c r="C1724" s="17">
        <v>2</v>
      </c>
      <c r="D1724" s="17" t="s">
        <v>423</v>
      </c>
      <c r="E1724" s="17" t="s">
        <v>240</v>
      </c>
      <c r="F1724" s="17" t="str">
        <f>TEXT(data[[#This Row],[ShipDate]],"yyyy - mmmm")</f>
        <v>2016 - August</v>
      </c>
      <c r="G1724" s="17" t="str">
        <f>data[[#This Row],[OriginCity]] &amp; " - "  &amp; data[[#This Row],[DestinationCity]]</f>
        <v>Detriot - Monon</v>
      </c>
      <c r="H1724" s="17" t="s">
        <v>52</v>
      </c>
      <c r="I1724" s="17" t="s">
        <v>21</v>
      </c>
      <c r="J1724" s="17">
        <v>1</v>
      </c>
      <c r="K1724" s="17" t="s">
        <v>53</v>
      </c>
      <c r="L1724" s="17" t="s">
        <v>44</v>
      </c>
      <c r="M1724" s="17" t="s">
        <v>243</v>
      </c>
      <c r="N1724" s="17">
        <v>807</v>
      </c>
      <c r="O1724" s="17">
        <v>281</v>
      </c>
      <c r="P1724" s="26">
        <f>(data[[#This Row],[LoadedMiles]]/data[[#This Row],[TotalMiles]])*100</f>
        <v>34.820322180916975</v>
      </c>
      <c r="Q1724" s="25">
        <f>data[[#This Row],[ShippingCost]]/data[[#This Row],[TotalMiles]]</f>
        <v>0.29244114002478316</v>
      </c>
      <c r="R1724" s="17">
        <v>236</v>
      </c>
      <c r="S1724" s="25">
        <f>data[[#This Row],[Revenue]]/data[[#This Row],[TotalMiles]]</f>
        <v>0.72614622057001244</v>
      </c>
      <c r="T1724" s="26">
        <f>data[[#This Row],[Revenue]]-data[[#This Row],[ShippingCost]]</f>
        <v>350</v>
      </c>
      <c r="U1724" s="17">
        <v>586</v>
      </c>
      <c r="V1724" s="17">
        <v>92</v>
      </c>
      <c r="W1724" s="17" t="s">
        <v>86</v>
      </c>
      <c r="X1724" s="17">
        <v>1</v>
      </c>
      <c r="Y1724" s="17">
        <f>data[[#This Row],[DeliveryDate]]-data[[#This Row],[ShipDate]]</f>
        <v>1</v>
      </c>
      <c r="Z1724" s="17" t="str">
        <f>IF(data[[#This Row],[Actual Delivery Days]]&gt;AD1725,"Yes","No")</f>
        <v>Yes</v>
      </c>
    </row>
    <row r="1725" spans="1:26">
      <c r="A1725" s="17">
        <v>11352</v>
      </c>
      <c r="B1725" s="17">
        <v>2</v>
      </c>
      <c r="C1725" s="17">
        <v>6</v>
      </c>
      <c r="D1725" s="17" t="s">
        <v>427</v>
      </c>
      <c r="E1725" s="17" t="s">
        <v>449</v>
      </c>
      <c r="F1725" s="17" t="str">
        <f>TEXT(data[[#This Row],[ShipDate]],"yyyy - mmmm")</f>
        <v>2016 - March</v>
      </c>
      <c r="G1725" s="17" t="str">
        <f>data[[#This Row],[OriginCity]] &amp; " - "  &amp; data[[#This Row],[DestinationCity]]</f>
        <v>Joliet - Madison</v>
      </c>
      <c r="H1725" s="17" t="s">
        <v>61</v>
      </c>
      <c r="I1725" s="17" t="s">
        <v>31</v>
      </c>
      <c r="J1725" s="17">
        <v>1</v>
      </c>
      <c r="K1725" s="17" t="s">
        <v>62</v>
      </c>
      <c r="L1725" s="17" t="s">
        <v>29</v>
      </c>
      <c r="M1725" s="17" t="s">
        <v>274</v>
      </c>
      <c r="N1725" s="17">
        <v>1077</v>
      </c>
      <c r="O1725" s="17">
        <v>454</v>
      </c>
      <c r="P1725" s="26">
        <f>(data[[#This Row],[LoadedMiles]]/data[[#This Row],[TotalMiles]])*100</f>
        <v>42.154131847725161</v>
      </c>
      <c r="Q1725" s="25">
        <f>data[[#This Row],[ShippingCost]]/data[[#This Row],[TotalMiles]]</f>
        <v>5.6332404828226554</v>
      </c>
      <c r="R1725" s="17">
        <v>6067</v>
      </c>
      <c r="S1725" s="25">
        <f>data[[#This Row],[Revenue]]/data[[#This Row],[TotalMiles]]</f>
        <v>5.7493036211699167</v>
      </c>
      <c r="T1725" s="26">
        <f>data[[#This Row],[Revenue]]-data[[#This Row],[ShippingCost]]</f>
        <v>125</v>
      </c>
      <c r="U1725" s="17">
        <v>6192</v>
      </c>
      <c r="V1725" s="17">
        <v>60</v>
      </c>
      <c r="W1725" s="17" t="s">
        <v>25</v>
      </c>
      <c r="X1725" s="17">
        <v>2</v>
      </c>
      <c r="Y1725" s="17">
        <f>data[[#This Row],[DeliveryDate]]-data[[#This Row],[ShipDate]]</f>
        <v>1</v>
      </c>
      <c r="Z1725" s="17" t="str">
        <f>IF(data[[#This Row],[Actual Delivery Days]]&gt;AD1726,"Yes","No")</f>
        <v>Yes</v>
      </c>
    </row>
    <row r="1726" spans="1:26">
      <c r="A1726" s="17">
        <v>11353</v>
      </c>
      <c r="B1726" s="17">
        <v>3</v>
      </c>
      <c r="C1726" s="17">
        <v>5</v>
      </c>
      <c r="D1726" s="17" t="s">
        <v>428</v>
      </c>
      <c r="E1726" s="17" t="s">
        <v>149</v>
      </c>
      <c r="F1726" s="17" t="str">
        <f>TEXT(data[[#This Row],[ShipDate]],"yyyy - mmmm")</f>
        <v>2016 - July</v>
      </c>
      <c r="G1726" s="17" t="str">
        <f>data[[#This Row],[OriginCity]] &amp; " - "  &amp; data[[#This Row],[DestinationCity]]</f>
        <v>Monon - Lansing</v>
      </c>
      <c r="H1726" s="17" t="s">
        <v>53</v>
      </c>
      <c r="I1726" s="17" t="s">
        <v>44</v>
      </c>
      <c r="J1726" s="17">
        <v>1</v>
      </c>
      <c r="K1726" s="17" t="s">
        <v>66</v>
      </c>
      <c r="L1726" s="17" t="s">
        <v>21</v>
      </c>
      <c r="M1726" s="17" t="s">
        <v>150</v>
      </c>
      <c r="N1726" s="17">
        <v>1163</v>
      </c>
      <c r="O1726" s="17">
        <v>323</v>
      </c>
      <c r="P1726" s="26">
        <f>(data[[#This Row],[LoadedMiles]]/data[[#This Row],[TotalMiles]])*100</f>
        <v>27.773000859845226</v>
      </c>
      <c r="Q1726" s="25">
        <f>data[[#This Row],[ShippingCost]]/data[[#This Row],[TotalMiles]]</f>
        <v>1.8417884780739466</v>
      </c>
      <c r="R1726" s="17">
        <v>2142</v>
      </c>
      <c r="S1726" s="25">
        <f>data[[#This Row],[Revenue]]/data[[#This Row],[TotalMiles]]</f>
        <v>1.9449699054170249</v>
      </c>
      <c r="T1726" s="26">
        <f>data[[#This Row],[Revenue]]-data[[#This Row],[ShippingCost]]</f>
        <v>120</v>
      </c>
      <c r="U1726" s="17">
        <v>2262</v>
      </c>
      <c r="V1726" s="17">
        <v>64</v>
      </c>
      <c r="W1726" s="17" t="s">
        <v>25</v>
      </c>
      <c r="X1726" s="17">
        <v>3</v>
      </c>
      <c r="Y1726" s="17">
        <f>data[[#This Row],[DeliveryDate]]-data[[#This Row],[ShipDate]]</f>
        <v>1</v>
      </c>
      <c r="Z1726" s="17" t="str">
        <f>IF(data[[#This Row],[Actual Delivery Days]]&gt;AD1727,"Yes","No")</f>
        <v>Yes</v>
      </c>
    </row>
    <row r="1727" spans="1:26">
      <c r="A1727" s="17">
        <v>11361</v>
      </c>
      <c r="B1727" s="17">
        <v>2</v>
      </c>
      <c r="C1727" s="17">
        <v>2</v>
      </c>
      <c r="D1727" s="17" t="s">
        <v>440</v>
      </c>
      <c r="E1727" s="17" t="s">
        <v>168</v>
      </c>
      <c r="F1727" s="17" t="str">
        <f>TEXT(data[[#This Row],[ShipDate]],"yyyy - mmmm")</f>
        <v>2016 - February</v>
      </c>
      <c r="G1727" s="17" t="str">
        <f>data[[#This Row],[OriginCity]] &amp; " - "  &amp; data[[#This Row],[DestinationCity]]</f>
        <v>Toledo - Detriot</v>
      </c>
      <c r="H1727" s="17" t="s">
        <v>22</v>
      </c>
      <c r="I1727" s="17" t="s">
        <v>23</v>
      </c>
      <c r="J1727" s="17">
        <v>1</v>
      </c>
      <c r="K1727" s="17" t="s">
        <v>52</v>
      </c>
      <c r="L1727" s="17" t="s">
        <v>21</v>
      </c>
      <c r="M1727" s="17" t="s">
        <v>255</v>
      </c>
      <c r="N1727" s="17">
        <v>938</v>
      </c>
      <c r="O1727" s="17">
        <v>422</v>
      </c>
      <c r="P1727" s="26">
        <f>(data[[#This Row],[LoadedMiles]]/data[[#This Row],[TotalMiles]])*100</f>
        <v>44.989339019189764</v>
      </c>
      <c r="Q1727" s="25">
        <f>data[[#This Row],[ShippingCost]]/data[[#This Row],[TotalMiles]]</f>
        <v>6.3944562899786783</v>
      </c>
      <c r="R1727" s="17">
        <v>5998</v>
      </c>
      <c r="S1727" s="25">
        <f>data[[#This Row],[Revenue]]/data[[#This Row],[TotalMiles]]</f>
        <v>6.5191897654584219</v>
      </c>
      <c r="T1727" s="26">
        <f>data[[#This Row],[Revenue]]-data[[#This Row],[ShippingCost]]</f>
        <v>117</v>
      </c>
      <c r="U1727" s="17">
        <v>6115</v>
      </c>
      <c r="V1727" s="17">
        <v>84</v>
      </c>
      <c r="W1727" s="17" t="s">
        <v>25</v>
      </c>
      <c r="X1727" s="17">
        <v>2</v>
      </c>
      <c r="Y1727" s="17">
        <f>data[[#This Row],[DeliveryDate]]-data[[#This Row],[ShipDate]]</f>
        <v>1</v>
      </c>
      <c r="Z1727" s="17" t="str">
        <f>IF(data[[#This Row],[Actual Delivery Days]]&gt;AD1728,"Yes","No")</f>
        <v>Yes</v>
      </c>
    </row>
    <row r="1728" spans="1:26">
      <c r="A1728" s="17">
        <v>11362</v>
      </c>
      <c r="B1728" s="17">
        <v>2</v>
      </c>
      <c r="C1728" s="17">
        <v>6</v>
      </c>
      <c r="D1728" s="17" t="s">
        <v>441</v>
      </c>
      <c r="E1728" s="17" t="s">
        <v>286</v>
      </c>
      <c r="F1728" s="17" t="str">
        <f>TEXT(data[[#This Row],[ShipDate]],"yyyy - mmmm")</f>
        <v>2016 - May</v>
      </c>
      <c r="G1728" s="17" t="str">
        <f>data[[#This Row],[OriginCity]] &amp; " - "  &amp; data[[#This Row],[DestinationCity]]</f>
        <v>Lansing - Dayton</v>
      </c>
      <c r="H1728" s="17" t="s">
        <v>66</v>
      </c>
      <c r="I1728" s="17" t="s">
        <v>21</v>
      </c>
      <c r="J1728" s="17">
        <v>1</v>
      </c>
      <c r="K1728" s="17" t="s">
        <v>93</v>
      </c>
      <c r="L1728" s="17" t="s">
        <v>23</v>
      </c>
      <c r="M1728" s="17" t="s">
        <v>626</v>
      </c>
      <c r="N1728" s="17">
        <v>325</v>
      </c>
      <c r="O1728" s="17">
        <v>256</v>
      </c>
      <c r="P1728" s="26">
        <f>(data[[#This Row],[LoadedMiles]]/data[[#This Row],[TotalMiles]])*100</f>
        <v>78.769230769230774</v>
      </c>
      <c r="Q1728" s="25">
        <f>data[[#This Row],[ShippingCost]]/data[[#This Row],[TotalMiles]]</f>
        <v>3.3692307692307693</v>
      </c>
      <c r="R1728" s="17">
        <v>1095</v>
      </c>
      <c r="S1728" s="25">
        <f>data[[#This Row],[Revenue]]/data[[#This Row],[TotalMiles]]</f>
        <v>5.4553846153846157</v>
      </c>
      <c r="T1728" s="26">
        <f>data[[#This Row],[Revenue]]-data[[#This Row],[ShippingCost]]</f>
        <v>678</v>
      </c>
      <c r="U1728" s="17">
        <v>1773</v>
      </c>
      <c r="V1728" s="17">
        <v>50</v>
      </c>
      <c r="W1728" s="17" t="s">
        <v>25</v>
      </c>
      <c r="X1728" s="17">
        <v>7</v>
      </c>
      <c r="Y1728" s="17">
        <f>data[[#This Row],[DeliveryDate]]-data[[#This Row],[ShipDate]]</f>
        <v>1</v>
      </c>
      <c r="Z1728" s="17" t="str">
        <f>IF(data[[#This Row],[Actual Delivery Days]]&gt;AD1729,"Yes","No")</f>
        <v>Yes</v>
      </c>
    </row>
    <row r="1729" spans="1:26">
      <c r="A1729" s="17">
        <v>11370</v>
      </c>
      <c r="B1729" s="17">
        <v>2</v>
      </c>
      <c r="C1729" s="17">
        <v>5</v>
      </c>
      <c r="D1729" s="17" t="s">
        <v>452</v>
      </c>
      <c r="E1729" s="17" t="s">
        <v>285</v>
      </c>
      <c r="F1729" s="17" t="str">
        <f>TEXT(data[[#This Row],[ShipDate]],"yyyy - mmmm")</f>
        <v>2016 - May</v>
      </c>
      <c r="G1729" s="17" t="str">
        <f>data[[#This Row],[OriginCity]] &amp; " - "  &amp; data[[#This Row],[DestinationCity]]</f>
        <v>Springfield - Skokie</v>
      </c>
      <c r="H1729" s="17" t="s">
        <v>30</v>
      </c>
      <c r="I1729" s="17" t="s">
        <v>31</v>
      </c>
      <c r="J1729" s="17">
        <v>1</v>
      </c>
      <c r="K1729" s="17" t="s">
        <v>35</v>
      </c>
      <c r="L1729" s="17" t="s">
        <v>31</v>
      </c>
      <c r="M1729" s="17" t="s">
        <v>196</v>
      </c>
      <c r="N1729" s="17">
        <v>218</v>
      </c>
      <c r="O1729" s="17">
        <v>218</v>
      </c>
      <c r="P1729" s="26">
        <f>(data[[#This Row],[LoadedMiles]]/data[[#This Row],[TotalMiles]])*100</f>
        <v>100</v>
      </c>
      <c r="Q1729" s="25">
        <f>data[[#This Row],[ShippingCost]]/data[[#This Row],[TotalMiles]]</f>
        <v>28.88532110091743</v>
      </c>
      <c r="R1729" s="17">
        <v>6297</v>
      </c>
      <c r="S1729" s="25">
        <f>data[[#This Row],[Revenue]]/data[[#This Row],[TotalMiles]]</f>
        <v>31.211009174311926</v>
      </c>
      <c r="T1729" s="26">
        <f>data[[#This Row],[Revenue]]-data[[#This Row],[ShippingCost]]</f>
        <v>507</v>
      </c>
      <c r="U1729" s="17">
        <v>6804</v>
      </c>
      <c r="V1729" s="17">
        <v>87</v>
      </c>
      <c r="W1729" s="17" t="s">
        <v>86</v>
      </c>
      <c r="X1729" s="17">
        <v>3</v>
      </c>
      <c r="Y1729" s="17">
        <f>data[[#This Row],[DeliveryDate]]-data[[#This Row],[ShipDate]]</f>
        <v>1</v>
      </c>
      <c r="Z1729" s="17" t="str">
        <f>IF(data[[#This Row],[Actual Delivery Days]]&gt;AD1730,"Yes","No")</f>
        <v>Yes</v>
      </c>
    </row>
    <row r="1730" spans="1:26">
      <c r="A1730" s="17">
        <v>11371</v>
      </c>
      <c r="B1730" s="17">
        <v>3</v>
      </c>
      <c r="C1730" s="17">
        <v>6</v>
      </c>
      <c r="D1730" s="17" t="s">
        <v>455</v>
      </c>
      <c r="E1730" s="17" t="s">
        <v>399</v>
      </c>
      <c r="F1730" s="17" t="str">
        <f>TEXT(data[[#This Row],[ShipDate]],"yyyy - mmmm")</f>
        <v>2016 - July</v>
      </c>
      <c r="G1730" s="17" t="str">
        <f>data[[#This Row],[OriginCity]] &amp; " - "  &amp; data[[#This Row],[DestinationCity]]</f>
        <v>Chicago - Rockford</v>
      </c>
      <c r="H1730" s="17" t="s">
        <v>39</v>
      </c>
      <c r="I1730" s="17" t="s">
        <v>31</v>
      </c>
      <c r="J1730" s="17">
        <v>1</v>
      </c>
      <c r="K1730" s="17" t="s">
        <v>40</v>
      </c>
      <c r="L1730" s="17" t="s">
        <v>31</v>
      </c>
      <c r="M1730" s="17" t="s">
        <v>298</v>
      </c>
      <c r="N1730" s="17">
        <v>941</v>
      </c>
      <c r="O1730" s="17">
        <v>218</v>
      </c>
      <c r="P1730" s="26">
        <f>(data[[#This Row],[LoadedMiles]]/data[[#This Row],[TotalMiles]])*100</f>
        <v>23.166843783209352</v>
      </c>
      <c r="Q1730" s="25">
        <f>data[[#This Row],[ShippingCost]]/data[[#This Row],[TotalMiles]]</f>
        <v>3.7555791710945803</v>
      </c>
      <c r="R1730" s="17">
        <v>3534</v>
      </c>
      <c r="S1730" s="25">
        <f>data[[#This Row],[Revenue]]/data[[#This Row],[TotalMiles]]</f>
        <v>4.394261424017003</v>
      </c>
      <c r="T1730" s="26">
        <f>data[[#This Row],[Revenue]]-data[[#This Row],[ShippingCost]]</f>
        <v>601</v>
      </c>
      <c r="U1730" s="17">
        <v>4135</v>
      </c>
      <c r="V1730" s="17">
        <v>91</v>
      </c>
      <c r="W1730" s="17" t="s">
        <v>25</v>
      </c>
      <c r="X1730" s="17">
        <v>6</v>
      </c>
      <c r="Y1730" s="17">
        <f>data[[#This Row],[DeliveryDate]]-data[[#This Row],[ShipDate]]</f>
        <v>1</v>
      </c>
      <c r="Z1730" s="17" t="str">
        <f>IF(data[[#This Row],[Actual Delivery Days]]&gt;AD1731,"Yes","No")</f>
        <v>Yes</v>
      </c>
    </row>
    <row r="1731" spans="1:26">
      <c r="A1731" s="17">
        <v>11372</v>
      </c>
      <c r="B1731" s="17">
        <v>2</v>
      </c>
      <c r="C1731" s="17">
        <v>4</v>
      </c>
      <c r="D1731" s="17" t="s">
        <v>456</v>
      </c>
      <c r="E1731" s="17" t="s">
        <v>121</v>
      </c>
      <c r="F1731" s="17" t="str">
        <f>TEXT(data[[#This Row],[ShipDate]],"yyyy - mmmm")</f>
        <v>2016 - April</v>
      </c>
      <c r="G1731" s="17" t="str">
        <f>data[[#This Row],[OriginCity]] &amp; " - "  &amp; data[[#This Row],[DestinationCity]]</f>
        <v>Indianapolis - Northbrook</v>
      </c>
      <c r="H1731" s="17" t="s">
        <v>43</v>
      </c>
      <c r="I1731" s="17" t="s">
        <v>44</v>
      </c>
      <c r="J1731" s="17">
        <v>1</v>
      </c>
      <c r="K1731" s="17" t="s">
        <v>45</v>
      </c>
      <c r="L1731" s="17" t="s">
        <v>31</v>
      </c>
      <c r="M1731" s="17" t="s">
        <v>270</v>
      </c>
      <c r="N1731" s="17">
        <v>408</v>
      </c>
      <c r="O1731" s="17">
        <v>388</v>
      </c>
      <c r="P1731" s="26">
        <f>(data[[#This Row],[LoadedMiles]]/data[[#This Row],[TotalMiles]])*100</f>
        <v>95.098039215686271</v>
      </c>
      <c r="Q1731" s="25">
        <f>data[[#This Row],[ShippingCost]]/data[[#This Row],[TotalMiles]]</f>
        <v>9.8995098039215694</v>
      </c>
      <c r="R1731" s="17">
        <v>4039</v>
      </c>
      <c r="S1731" s="25">
        <f>data[[#This Row],[Revenue]]/data[[#This Row],[TotalMiles]]</f>
        <v>5.3651960784313726</v>
      </c>
      <c r="T1731" s="26">
        <f>data[[#This Row],[Revenue]]-data[[#This Row],[ShippingCost]]</f>
        <v>-1850</v>
      </c>
      <c r="U1731" s="17">
        <v>2189</v>
      </c>
      <c r="V1731" s="17">
        <v>76</v>
      </c>
      <c r="W1731" s="17" t="s">
        <v>25</v>
      </c>
      <c r="X1731" s="17">
        <v>2</v>
      </c>
      <c r="Y1731" s="17">
        <f>data[[#This Row],[DeliveryDate]]-data[[#This Row],[ShipDate]]</f>
        <v>1</v>
      </c>
      <c r="Z1731" s="17" t="str">
        <f>IF(data[[#This Row],[Actual Delivery Days]]&gt;AD1732,"Yes","No")</f>
        <v>Yes</v>
      </c>
    </row>
    <row r="1732" spans="1:26">
      <c r="A1732" s="17">
        <v>11373</v>
      </c>
      <c r="B1732" s="17">
        <v>2</v>
      </c>
      <c r="C1732" s="17">
        <v>5</v>
      </c>
      <c r="D1732" s="17" t="s">
        <v>457</v>
      </c>
      <c r="E1732" s="17" t="s">
        <v>499</v>
      </c>
      <c r="F1732" s="17" t="str">
        <f>TEXT(data[[#This Row],[ShipDate]],"yyyy - mmmm")</f>
        <v>2016 - July</v>
      </c>
      <c r="G1732" s="17" t="str">
        <f>data[[#This Row],[OriginCity]] &amp; " - "  &amp; data[[#This Row],[DestinationCity]]</f>
        <v>Northbrook - Naperville</v>
      </c>
      <c r="H1732" s="17" t="s">
        <v>45</v>
      </c>
      <c r="I1732" s="17" t="s">
        <v>31</v>
      </c>
      <c r="J1732" s="17">
        <v>1</v>
      </c>
      <c r="K1732" s="17" t="s">
        <v>48</v>
      </c>
      <c r="L1732" s="17" t="s">
        <v>31</v>
      </c>
      <c r="M1732" s="17" t="s">
        <v>116</v>
      </c>
      <c r="N1732" s="17">
        <v>476</v>
      </c>
      <c r="O1732" s="17">
        <v>462</v>
      </c>
      <c r="P1732" s="26">
        <f>(data[[#This Row],[LoadedMiles]]/data[[#This Row],[TotalMiles]])*100</f>
        <v>97.058823529411768</v>
      </c>
      <c r="Q1732" s="25">
        <f>data[[#This Row],[ShippingCost]]/data[[#This Row],[TotalMiles]]</f>
        <v>0.70378151260504207</v>
      </c>
      <c r="R1732" s="17">
        <v>335</v>
      </c>
      <c r="S1732" s="25">
        <f>data[[#This Row],[Revenue]]/data[[#This Row],[TotalMiles]]</f>
        <v>1.5084033613445378</v>
      </c>
      <c r="T1732" s="26">
        <f>data[[#This Row],[Revenue]]-data[[#This Row],[ShippingCost]]</f>
        <v>383</v>
      </c>
      <c r="U1732" s="17">
        <v>718</v>
      </c>
      <c r="V1732" s="17">
        <v>83</v>
      </c>
      <c r="W1732" s="17" t="s">
        <v>25</v>
      </c>
      <c r="X1732" s="17">
        <v>2</v>
      </c>
      <c r="Y1732" s="17">
        <f>data[[#This Row],[DeliveryDate]]-data[[#This Row],[ShipDate]]</f>
        <v>1</v>
      </c>
      <c r="Z1732" s="17" t="str">
        <f>IF(data[[#This Row],[Actual Delivery Days]]&gt;AD1733,"Yes","No")</f>
        <v>Yes</v>
      </c>
    </row>
    <row r="1733" spans="1:26">
      <c r="A1733" s="17">
        <v>11376</v>
      </c>
      <c r="B1733" s="17">
        <v>3</v>
      </c>
      <c r="C1733" s="17">
        <v>2</v>
      </c>
      <c r="D1733" s="17" t="s">
        <v>461</v>
      </c>
      <c r="E1733" s="17" t="s">
        <v>422</v>
      </c>
      <c r="F1733" s="17" t="str">
        <f>TEXT(data[[#This Row],[ShipDate]],"yyyy - mmmm")</f>
        <v>2016 - August</v>
      </c>
      <c r="G1733" s="17" t="str">
        <f>data[[#This Row],[OriginCity]] &amp; " - "  &amp; data[[#This Row],[DestinationCity]]</f>
        <v>Joliet - Madison</v>
      </c>
      <c r="H1733" s="17" t="s">
        <v>61</v>
      </c>
      <c r="I1733" s="17" t="s">
        <v>31</v>
      </c>
      <c r="J1733" s="17">
        <v>1</v>
      </c>
      <c r="K1733" s="17" t="s">
        <v>62</v>
      </c>
      <c r="L1733" s="17" t="s">
        <v>29</v>
      </c>
      <c r="M1733" s="17" t="s">
        <v>422</v>
      </c>
      <c r="N1733" s="17">
        <v>1054</v>
      </c>
      <c r="O1733" s="17">
        <v>732</v>
      </c>
      <c r="P1733" s="26">
        <f>(data[[#This Row],[LoadedMiles]]/data[[#This Row],[TotalMiles]])*100</f>
        <v>69.449715370018978</v>
      </c>
      <c r="Q1733" s="25">
        <f>data[[#This Row],[ShippingCost]]/data[[#This Row],[TotalMiles]]</f>
        <v>0.67267552182163193</v>
      </c>
      <c r="R1733" s="17">
        <v>709</v>
      </c>
      <c r="S1733" s="25">
        <f>data[[#This Row],[Revenue]]/data[[#This Row],[TotalMiles]]</f>
        <v>1.5161290322580645</v>
      </c>
      <c r="T1733" s="26">
        <f>data[[#This Row],[Revenue]]-data[[#This Row],[ShippingCost]]</f>
        <v>889</v>
      </c>
      <c r="U1733" s="17">
        <v>1598</v>
      </c>
      <c r="V1733" s="17">
        <v>76</v>
      </c>
      <c r="W1733" s="17" t="s">
        <v>25</v>
      </c>
      <c r="X1733" s="17">
        <v>6</v>
      </c>
      <c r="Y1733" s="17">
        <f>data[[#This Row],[DeliveryDate]]-data[[#This Row],[ShipDate]]</f>
        <v>0</v>
      </c>
      <c r="Z1733" s="17" t="str">
        <f>IF(data[[#This Row],[Actual Delivery Days]]&gt;AD1734,"Yes","No")</f>
        <v>No</v>
      </c>
    </row>
    <row r="1734" spans="1:26">
      <c r="A1734" s="17">
        <v>11378</v>
      </c>
      <c r="B1734" s="17">
        <v>3</v>
      </c>
      <c r="C1734" s="17">
        <v>2</v>
      </c>
      <c r="D1734" s="17" t="s">
        <v>464</v>
      </c>
      <c r="E1734" s="17" t="s">
        <v>74</v>
      </c>
      <c r="F1734" s="17" t="str">
        <f>TEXT(data[[#This Row],[ShipDate]],"yyyy - mmmm")</f>
        <v>2016 - March</v>
      </c>
      <c r="G1734" s="17" t="str">
        <f>data[[#This Row],[OriginCity]] &amp; " - "  &amp; data[[#This Row],[DestinationCity]]</f>
        <v>Madison - Kalamazoo</v>
      </c>
      <c r="H1734" s="17" t="s">
        <v>62</v>
      </c>
      <c r="I1734" s="17" t="s">
        <v>29</v>
      </c>
      <c r="J1734" s="17">
        <v>1</v>
      </c>
      <c r="K1734" s="17" t="s">
        <v>71</v>
      </c>
      <c r="L1734" s="17" t="s">
        <v>21</v>
      </c>
      <c r="M1734" s="17" t="s">
        <v>209</v>
      </c>
      <c r="N1734" s="17">
        <v>263</v>
      </c>
      <c r="O1734" s="17">
        <v>263</v>
      </c>
      <c r="P1734" s="26">
        <f>(data[[#This Row],[LoadedMiles]]/data[[#This Row],[TotalMiles]])*100</f>
        <v>100</v>
      </c>
      <c r="Q1734" s="25">
        <f>data[[#This Row],[ShippingCost]]/data[[#This Row],[TotalMiles]]</f>
        <v>30.711026615969583</v>
      </c>
      <c r="R1734" s="17">
        <v>8077</v>
      </c>
      <c r="S1734" s="25">
        <f>data[[#This Row],[Revenue]]/data[[#This Row],[TotalMiles]]</f>
        <v>32.49049429657795</v>
      </c>
      <c r="T1734" s="26">
        <f>data[[#This Row],[Revenue]]-data[[#This Row],[ShippingCost]]</f>
        <v>468</v>
      </c>
      <c r="U1734" s="17">
        <v>8545</v>
      </c>
      <c r="V1734" s="17">
        <v>78</v>
      </c>
      <c r="W1734" s="17" t="s">
        <v>25</v>
      </c>
      <c r="X1734" s="17">
        <v>4</v>
      </c>
      <c r="Y1734" s="17">
        <f>data[[#This Row],[DeliveryDate]]-data[[#This Row],[ShipDate]]</f>
        <v>1</v>
      </c>
      <c r="Z1734" s="17" t="str">
        <f>IF(data[[#This Row],[Actual Delivery Days]]&gt;AD1735,"Yes","No")</f>
        <v>Yes</v>
      </c>
    </row>
    <row r="1735" spans="1:26">
      <c r="A1735" s="17">
        <v>11380</v>
      </c>
      <c r="B1735" s="17">
        <v>2</v>
      </c>
      <c r="C1735" s="17">
        <v>3</v>
      </c>
      <c r="D1735" s="17" t="s">
        <v>468</v>
      </c>
      <c r="E1735" s="17" t="s">
        <v>190</v>
      </c>
      <c r="F1735" s="17" t="str">
        <f>TEXT(data[[#This Row],[ShipDate]],"yyyy - mmmm")</f>
        <v>2016 - July</v>
      </c>
      <c r="G1735" s="17" t="str">
        <f>data[[#This Row],[OriginCity]] &amp; " - "  &amp; data[[#This Row],[DestinationCity]]</f>
        <v>Rockford - Green Bay</v>
      </c>
      <c r="H1735" s="17" t="s">
        <v>40</v>
      </c>
      <c r="I1735" s="17" t="s">
        <v>31</v>
      </c>
      <c r="J1735" s="17">
        <v>1</v>
      </c>
      <c r="K1735" s="17" t="s">
        <v>75</v>
      </c>
      <c r="L1735" s="17" t="s">
        <v>29</v>
      </c>
      <c r="M1735" s="17" t="s">
        <v>299</v>
      </c>
      <c r="N1735" s="17">
        <v>893</v>
      </c>
      <c r="O1735" s="17">
        <v>296</v>
      </c>
      <c r="P1735" s="26">
        <f>(data[[#This Row],[LoadedMiles]]/data[[#This Row],[TotalMiles]])*100</f>
        <v>33.146696528555431</v>
      </c>
      <c r="Q1735" s="25">
        <f>data[[#This Row],[ShippingCost]]/data[[#This Row],[TotalMiles]]</f>
        <v>6.758118701007839</v>
      </c>
      <c r="R1735" s="17">
        <v>6035</v>
      </c>
      <c r="S1735" s="25">
        <f>data[[#This Row],[Revenue]]/data[[#This Row],[TotalMiles]]</f>
        <v>7.8667413213885782</v>
      </c>
      <c r="T1735" s="26">
        <f>data[[#This Row],[Revenue]]-data[[#This Row],[ShippingCost]]</f>
        <v>990</v>
      </c>
      <c r="U1735" s="17">
        <v>7025</v>
      </c>
      <c r="V1735" s="17">
        <v>79</v>
      </c>
      <c r="W1735" s="17" t="s">
        <v>25</v>
      </c>
      <c r="X1735" s="17">
        <v>1</v>
      </c>
      <c r="Y1735" s="17">
        <f>data[[#This Row],[DeliveryDate]]-data[[#This Row],[ShipDate]]</f>
        <v>1</v>
      </c>
      <c r="Z1735" s="17" t="str">
        <f>IF(data[[#This Row],[Actual Delivery Days]]&gt;AD1736,"Yes","No")</f>
        <v>Yes</v>
      </c>
    </row>
    <row r="1736" spans="1:26">
      <c r="A1736" s="17">
        <v>11390</v>
      </c>
      <c r="B1736" s="17">
        <v>3</v>
      </c>
      <c r="C1736" s="17">
        <v>3</v>
      </c>
      <c r="D1736" s="17" t="s">
        <v>483</v>
      </c>
      <c r="E1736" s="17" t="s">
        <v>109</v>
      </c>
      <c r="F1736" s="17" t="str">
        <f>TEXT(data[[#This Row],[ShipDate]],"yyyy - mmmm")</f>
        <v>2016 - May</v>
      </c>
      <c r="G1736" s="17" t="str">
        <f>data[[#This Row],[OriginCity]] &amp; " - "  &amp; data[[#This Row],[DestinationCity]]</f>
        <v>Grand Rapids - Toledo</v>
      </c>
      <c r="H1736" s="17" t="s">
        <v>20</v>
      </c>
      <c r="I1736" s="17" t="s">
        <v>21</v>
      </c>
      <c r="J1736" s="17">
        <v>1</v>
      </c>
      <c r="K1736" s="17" t="s">
        <v>22</v>
      </c>
      <c r="L1736" s="17" t="s">
        <v>23</v>
      </c>
      <c r="M1736" s="17" t="s">
        <v>368</v>
      </c>
      <c r="N1736" s="17">
        <v>1056</v>
      </c>
      <c r="O1736" s="17">
        <v>700</v>
      </c>
      <c r="P1736" s="26">
        <f>(data[[#This Row],[LoadedMiles]]/data[[#This Row],[TotalMiles]])*100</f>
        <v>66.287878787878782</v>
      </c>
      <c r="Q1736" s="25">
        <f>data[[#This Row],[ShippingCost]]/data[[#This Row],[TotalMiles]]</f>
        <v>6.5691287878787881</v>
      </c>
      <c r="R1736" s="17">
        <v>6937</v>
      </c>
      <c r="S1736" s="25">
        <f>data[[#This Row],[Revenue]]/data[[#This Row],[TotalMiles]]</f>
        <v>7.3475378787878789</v>
      </c>
      <c r="T1736" s="26">
        <f>data[[#This Row],[Revenue]]-data[[#This Row],[ShippingCost]]</f>
        <v>822</v>
      </c>
      <c r="U1736" s="17">
        <v>7759</v>
      </c>
      <c r="V1736" s="17">
        <v>86</v>
      </c>
      <c r="W1736" s="17" t="s">
        <v>25</v>
      </c>
      <c r="X1736" s="17">
        <v>10</v>
      </c>
      <c r="Y1736" s="17">
        <f>data[[#This Row],[DeliveryDate]]-data[[#This Row],[ShipDate]]</f>
        <v>1</v>
      </c>
      <c r="Z1736" s="17" t="str">
        <f>IF(data[[#This Row],[Actual Delivery Days]]&gt;AD1737,"Yes","No")</f>
        <v>Yes</v>
      </c>
    </row>
    <row r="1737" spans="1:26">
      <c r="A1737" s="17">
        <v>11391</v>
      </c>
      <c r="B1737" s="17">
        <v>2</v>
      </c>
      <c r="C1737" s="17">
        <v>4</v>
      </c>
      <c r="D1737" s="17" t="s">
        <v>484</v>
      </c>
      <c r="E1737" s="17" t="s">
        <v>109</v>
      </c>
      <c r="F1737" s="17" t="str">
        <f>TEXT(data[[#This Row],[ShipDate]],"yyyy - mmmm")</f>
        <v>2016 - May</v>
      </c>
      <c r="G1737" s="17" t="str">
        <f>data[[#This Row],[OriginCity]] &amp; " - "  &amp; data[[#This Row],[DestinationCity]]</f>
        <v>Milwaukee - Springfield</v>
      </c>
      <c r="H1737" s="17" t="s">
        <v>28</v>
      </c>
      <c r="I1737" s="17" t="s">
        <v>29</v>
      </c>
      <c r="J1737" s="17">
        <v>1</v>
      </c>
      <c r="K1737" s="17" t="s">
        <v>30</v>
      </c>
      <c r="L1737" s="17" t="s">
        <v>31</v>
      </c>
      <c r="M1737" s="17" t="s">
        <v>368</v>
      </c>
      <c r="N1737" s="17">
        <v>960</v>
      </c>
      <c r="O1737" s="17">
        <v>523</v>
      </c>
      <c r="P1737" s="26">
        <f>(data[[#This Row],[LoadedMiles]]/data[[#This Row],[TotalMiles]])*100</f>
        <v>54.479166666666664</v>
      </c>
      <c r="Q1737" s="25">
        <f>data[[#This Row],[ShippingCost]]/data[[#This Row],[TotalMiles]]</f>
        <v>5.2843749999999998</v>
      </c>
      <c r="R1737" s="17">
        <v>5073</v>
      </c>
      <c r="S1737" s="25">
        <f>data[[#This Row],[Revenue]]/data[[#This Row],[TotalMiles]]</f>
        <v>3.9364583333333334</v>
      </c>
      <c r="T1737" s="26">
        <f>data[[#This Row],[Revenue]]-data[[#This Row],[ShippingCost]]</f>
        <v>-1294</v>
      </c>
      <c r="U1737" s="17">
        <v>3779</v>
      </c>
      <c r="V1737" s="17">
        <v>96</v>
      </c>
      <c r="W1737" s="17" t="s">
        <v>25</v>
      </c>
      <c r="X1737" s="17">
        <v>10</v>
      </c>
      <c r="Y1737" s="17">
        <f>data[[#This Row],[DeliveryDate]]-data[[#This Row],[ShipDate]]</f>
        <v>1</v>
      </c>
      <c r="Z1737" s="17" t="str">
        <f>IF(data[[#This Row],[Actual Delivery Days]]&gt;AD1738,"Yes","No")</f>
        <v>Yes</v>
      </c>
    </row>
    <row r="1738" spans="1:26">
      <c r="A1738" s="17">
        <v>11397</v>
      </c>
      <c r="B1738" s="17">
        <v>2</v>
      </c>
      <c r="C1738" s="17">
        <v>1</v>
      </c>
      <c r="D1738" s="17" t="s">
        <v>493</v>
      </c>
      <c r="E1738" s="17" t="s">
        <v>253</v>
      </c>
      <c r="F1738" s="17" t="str">
        <f>TEXT(data[[#This Row],[ShipDate]],"yyyy - mmmm")</f>
        <v>2016 - April</v>
      </c>
      <c r="G1738" s="17" t="str">
        <f>data[[#This Row],[OriginCity]] &amp; " - "  &amp; data[[#This Row],[DestinationCity]]</f>
        <v>Monon - Lansing</v>
      </c>
      <c r="H1738" s="17" t="s">
        <v>53</v>
      </c>
      <c r="I1738" s="17" t="s">
        <v>44</v>
      </c>
      <c r="J1738" s="17">
        <v>1</v>
      </c>
      <c r="K1738" s="17" t="s">
        <v>66</v>
      </c>
      <c r="L1738" s="17" t="s">
        <v>21</v>
      </c>
      <c r="M1738" s="17" t="s">
        <v>186</v>
      </c>
      <c r="N1738" s="17">
        <v>469</v>
      </c>
      <c r="O1738" s="17">
        <v>469</v>
      </c>
      <c r="P1738" s="26">
        <f>(data[[#This Row],[LoadedMiles]]/data[[#This Row],[TotalMiles]])*100</f>
        <v>100</v>
      </c>
      <c r="Q1738" s="25">
        <f>data[[#This Row],[ShippingCost]]/data[[#This Row],[TotalMiles]]</f>
        <v>4.5266524520255862</v>
      </c>
      <c r="R1738" s="17">
        <v>2123</v>
      </c>
      <c r="S1738" s="25">
        <f>data[[#This Row],[Revenue]]/data[[#This Row],[TotalMiles]]</f>
        <v>14.08955223880597</v>
      </c>
      <c r="T1738" s="26">
        <f>data[[#This Row],[Revenue]]-data[[#This Row],[ShippingCost]]</f>
        <v>4485</v>
      </c>
      <c r="U1738" s="17">
        <v>6608</v>
      </c>
      <c r="V1738" s="17">
        <v>73</v>
      </c>
      <c r="W1738" s="17" t="s">
        <v>25</v>
      </c>
      <c r="X1738" s="17">
        <v>6</v>
      </c>
      <c r="Y1738" s="17">
        <f>data[[#This Row],[DeliveryDate]]-data[[#This Row],[ShipDate]]</f>
        <v>1</v>
      </c>
      <c r="Z1738" s="17" t="str">
        <f>IF(data[[#This Row],[Actual Delivery Days]]&gt;AD1739,"Yes","No")</f>
        <v>Yes</v>
      </c>
    </row>
    <row r="1739" spans="1:26">
      <c r="A1739" s="17">
        <v>11398</v>
      </c>
      <c r="B1739" s="17">
        <v>3</v>
      </c>
      <c r="C1739" s="17">
        <v>2</v>
      </c>
      <c r="D1739" s="17" t="s">
        <v>494</v>
      </c>
      <c r="E1739" s="17" t="s">
        <v>462</v>
      </c>
      <c r="F1739" s="17" t="str">
        <f>TEXT(data[[#This Row],[ShipDate]],"yyyy - mmmm")</f>
        <v>2016 - March</v>
      </c>
      <c r="G1739" s="17" t="str">
        <f>data[[#This Row],[OriginCity]] &amp; " - "  &amp; data[[#This Row],[DestinationCity]]</f>
        <v>Madison - Kalamazoo</v>
      </c>
      <c r="H1739" s="17" t="s">
        <v>62</v>
      </c>
      <c r="I1739" s="17" t="s">
        <v>29</v>
      </c>
      <c r="J1739" s="17">
        <v>1</v>
      </c>
      <c r="K1739" s="17" t="s">
        <v>71</v>
      </c>
      <c r="L1739" s="17" t="s">
        <v>21</v>
      </c>
      <c r="M1739" s="17" t="s">
        <v>74</v>
      </c>
      <c r="N1739" s="17">
        <v>213</v>
      </c>
      <c r="O1739" s="17">
        <v>213</v>
      </c>
      <c r="P1739" s="26">
        <f>(data[[#This Row],[LoadedMiles]]/data[[#This Row],[TotalMiles]])*100</f>
        <v>100</v>
      </c>
      <c r="Q1739" s="25">
        <f>data[[#This Row],[ShippingCost]]/data[[#This Row],[TotalMiles]]</f>
        <v>11.76056338028169</v>
      </c>
      <c r="R1739" s="17">
        <v>2505</v>
      </c>
      <c r="S1739" s="25">
        <f>data[[#This Row],[Revenue]]/data[[#This Row],[TotalMiles]]</f>
        <v>16.422535211267604</v>
      </c>
      <c r="T1739" s="26">
        <f>data[[#This Row],[Revenue]]-data[[#This Row],[ShippingCost]]</f>
        <v>993</v>
      </c>
      <c r="U1739" s="17">
        <v>3498</v>
      </c>
      <c r="V1739" s="17">
        <v>60</v>
      </c>
      <c r="W1739" s="17" t="s">
        <v>25</v>
      </c>
      <c r="X1739" s="17">
        <v>5</v>
      </c>
      <c r="Y1739" s="17">
        <f>data[[#This Row],[DeliveryDate]]-data[[#This Row],[ShipDate]]</f>
        <v>1</v>
      </c>
      <c r="Z1739" s="17" t="str">
        <f>IF(data[[#This Row],[Actual Delivery Days]]&gt;AD1740,"Yes","No")</f>
        <v>Yes</v>
      </c>
    </row>
    <row r="1740" spans="1:26">
      <c r="A1740" s="17">
        <v>11399</v>
      </c>
      <c r="B1740" s="17">
        <v>2</v>
      </c>
      <c r="C1740" s="17">
        <v>5</v>
      </c>
      <c r="D1740" s="17" t="s">
        <v>495</v>
      </c>
      <c r="E1740" s="17" t="s">
        <v>587</v>
      </c>
      <c r="F1740" s="17" t="str">
        <f>TEXT(data[[#This Row],[ShipDate]],"yyyy - mmmm")</f>
        <v>2016 - August</v>
      </c>
      <c r="G1740" s="17" t="str">
        <f>data[[#This Row],[OriginCity]] &amp; " - "  &amp; data[[#This Row],[DestinationCity]]</f>
        <v>Green Bay - Joliet</v>
      </c>
      <c r="H1740" s="17" t="s">
        <v>75</v>
      </c>
      <c r="I1740" s="17" t="s">
        <v>29</v>
      </c>
      <c r="J1740" s="17">
        <v>1</v>
      </c>
      <c r="K1740" s="17" t="s">
        <v>61</v>
      </c>
      <c r="L1740" s="17" t="s">
        <v>31</v>
      </c>
      <c r="M1740" s="17" t="s">
        <v>34</v>
      </c>
      <c r="N1740" s="17">
        <v>927</v>
      </c>
      <c r="O1740" s="17">
        <v>522</v>
      </c>
      <c r="P1740" s="26">
        <f>(data[[#This Row],[LoadedMiles]]/data[[#This Row],[TotalMiles]])*100</f>
        <v>56.310679611650485</v>
      </c>
      <c r="Q1740" s="25">
        <f>data[[#This Row],[ShippingCost]]/data[[#This Row],[TotalMiles]]</f>
        <v>0.2459546925566343</v>
      </c>
      <c r="R1740" s="17">
        <v>228</v>
      </c>
      <c r="S1740" s="25">
        <f>data[[#This Row],[Revenue]]/data[[#This Row],[TotalMiles]]</f>
        <v>0.389428263214671</v>
      </c>
      <c r="T1740" s="26">
        <f>data[[#This Row],[Revenue]]-data[[#This Row],[ShippingCost]]</f>
        <v>133</v>
      </c>
      <c r="U1740" s="17">
        <v>361</v>
      </c>
      <c r="V1740" s="17">
        <v>76</v>
      </c>
      <c r="W1740" s="17" t="s">
        <v>25</v>
      </c>
      <c r="X1740" s="17">
        <v>8</v>
      </c>
      <c r="Y1740" s="17">
        <f>data[[#This Row],[DeliveryDate]]-data[[#This Row],[ShipDate]]</f>
        <v>1</v>
      </c>
      <c r="Z1740" s="17" t="str">
        <f>IF(data[[#This Row],[Actual Delivery Days]]&gt;AD1741,"Yes","No")</f>
        <v>Yes</v>
      </c>
    </row>
    <row r="1741" spans="1:26">
      <c r="A1741" s="17">
        <v>11406</v>
      </c>
      <c r="B1741" s="17">
        <v>3</v>
      </c>
      <c r="C1741" s="17">
        <v>3</v>
      </c>
      <c r="D1741" s="17" t="s">
        <v>504</v>
      </c>
      <c r="E1741" s="17" t="s">
        <v>174</v>
      </c>
      <c r="F1741" s="17" t="str">
        <f>TEXT(data[[#This Row],[ShipDate]],"yyyy - mmmm")</f>
        <v>2016 - January</v>
      </c>
      <c r="G1741" s="17" t="str">
        <f>data[[#This Row],[OriginCity]] &amp; " - "  &amp; data[[#This Row],[DestinationCity]]</f>
        <v>Lansing - Dayton</v>
      </c>
      <c r="H1741" s="17" t="s">
        <v>66</v>
      </c>
      <c r="I1741" s="17" t="s">
        <v>21</v>
      </c>
      <c r="J1741" s="17">
        <v>1</v>
      </c>
      <c r="K1741" s="17" t="s">
        <v>93</v>
      </c>
      <c r="L1741" s="17" t="s">
        <v>23</v>
      </c>
      <c r="M1741" s="17" t="s">
        <v>127</v>
      </c>
      <c r="N1741" s="17">
        <v>1121</v>
      </c>
      <c r="O1741" s="17">
        <v>646</v>
      </c>
      <c r="P1741" s="26">
        <f>(data[[#This Row],[LoadedMiles]]/data[[#This Row],[TotalMiles]])*100</f>
        <v>57.627118644067799</v>
      </c>
      <c r="Q1741" s="25">
        <f>data[[#This Row],[ShippingCost]]/data[[#This Row],[TotalMiles]]</f>
        <v>6.5887600356824265</v>
      </c>
      <c r="R1741" s="17">
        <v>7386</v>
      </c>
      <c r="S1741" s="25">
        <f>data[[#This Row],[Revenue]]/data[[#This Row],[TotalMiles]]</f>
        <v>6.7466547725245318</v>
      </c>
      <c r="T1741" s="26">
        <f>data[[#This Row],[Revenue]]-data[[#This Row],[ShippingCost]]</f>
        <v>177</v>
      </c>
      <c r="U1741" s="17">
        <v>7563</v>
      </c>
      <c r="V1741" s="17">
        <v>67</v>
      </c>
      <c r="W1741" s="17" t="s">
        <v>86</v>
      </c>
      <c r="X1741" s="17">
        <v>1</v>
      </c>
      <c r="Y1741" s="17">
        <f>data[[#This Row],[DeliveryDate]]-data[[#This Row],[ShipDate]]</f>
        <v>1</v>
      </c>
      <c r="Z1741" s="17" t="str">
        <f>IF(data[[#This Row],[Actual Delivery Days]]&gt;AD1742,"Yes","No")</f>
        <v>Yes</v>
      </c>
    </row>
    <row r="1742" spans="1:26">
      <c r="A1742" s="17">
        <v>11413</v>
      </c>
      <c r="B1742" s="17">
        <v>3</v>
      </c>
      <c r="C1742" s="17">
        <v>1</v>
      </c>
      <c r="D1742" s="17" t="s">
        <v>514</v>
      </c>
      <c r="E1742" s="17" t="s">
        <v>611</v>
      </c>
      <c r="F1742" s="17" t="str">
        <f>TEXT(data[[#This Row],[ShipDate]],"yyyy - mmmm")</f>
        <v>2016 - February</v>
      </c>
      <c r="G1742" s="17" t="str">
        <f>data[[#This Row],[OriginCity]] &amp; " - "  &amp; data[[#This Row],[DestinationCity]]</f>
        <v>Springfield - Skokie</v>
      </c>
      <c r="H1742" s="17" t="s">
        <v>30</v>
      </c>
      <c r="I1742" s="17" t="s">
        <v>31</v>
      </c>
      <c r="J1742" s="17">
        <v>1</v>
      </c>
      <c r="K1742" s="17" t="s">
        <v>35</v>
      </c>
      <c r="L1742" s="17" t="s">
        <v>31</v>
      </c>
      <c r="M1742" s="17" t="s">
        <v>363</v>
      </c>
      <c r="N1742" s="17">
        <v>565</v>
      </c>
      <c r="O1742" s="17">
        <v>530</v>
      </c>
      <c r="P1742" s="26">
        <f>(data[[#This Row],[LoadedMiles]]/data[[#This Row],[TotalMiles]])*100</f>
        <v>93.805309734513273</v>
      </c>
      <c r="Q1742" s="25">
        <f>data[[#This Row],[ShippingCost]]/data[[#This Row],[TotalMiles]]</f>
        <v>0.77876106194690264</v>
      </c>
      <c r="R1742" s="17">
        <v>440</v>
      </c>
      <c r="S1742" s="25">
        <f>data[[#This Row],[Revenue]]/data[[#This Row],[TotalMiles]]</f>
        <v>10.350442477876106</v>
      </c>
      <c r="T1742" s="26">
        <f>data[[#This Row],[Revenue]]-data[[#This Row],[ShippingCost]]</f>
        <v>5408</v>
      </c>
      <c r="U1742" s="17">
        <v>5848</v>
      </c>
      <c r="V1742" s="17">
        <v>57</v>
      </c>
      <c r="W1742" s="17" t="s">
        <v>25</v>
      </c>
      <c r="X1742" s="17">
        <v>5</v>
      </c>
      <c r="Y1742" s="17">
        <f>data[[#This Row],[DeliveryDate]]-data[[#This Row],[ShipDate]]</f>
        <v>1</v>
      </c>
      <c r="Z1742" s="17" t="str">
        <f>IF(data[[#This Row],[Actual Delivery Days]]&gt;AD1743,"Yes","No")</f>
        <v>Yes</v>
      </c>
    </row>
    <row r="1743" spans="1:26">
      <c r="A1743" s="17">
        <v>11415</v>
      </c>
      <c r="B1743" s="17">
        <v>2</v>
      </c>
      <c r="C1743" s="17">
        <v>1</v>
      </c>
      <c r="D1743" s="17" t="s">
        <v>517</v>
      </c>
      <c r="E1743" s="17" t="s">
        <v>274</v>
      </c>
      <c r="F1743" s="17" t="str">
        <f>TEXT(data[[#This Row],[ShipDate]],"yyyy - mmmm")</f>
        <v>2016 - March</v>
      </c>
      <c r="G1743" s="17" t="str">
        <f>data[[#This Row],[OriginCity]] &amp; " - "  &amp; data[[#This Row],[DestinationCity]]</f>
        <v>Northbrook - Naperville</v>
      </c>
      <c r="H1743" s="17" t="s">
        <v>45</v>
      </c>
      <c r="I1743" s="17" t="s">
        <v>31</v>
      </c>
      <c r="J1743" s="17">
        <v>1</v>
      </c>
      <c r="K1743" s="17" t="s">
        <v>48</v>
      </c>
      <c r="L1743" s="17" t="s">
        <v>31</v>
      </c>
      <c r="M1743" s="17" t="s">
        <v>81</v>
      </c>
      <c r="N1743" s="17">
        <v>221</v>
      </c>
      <c r="O1743" s="17">
        <v>221</v>
      </c>
      <c r="P1743" s="26">
        <f>(data[[#This Row],[LoadedMiles]]/data[[#This Row],[TotalMiles]])*100</f>
        <v>100</v>
      </c>
      <c r="Q1743" s="25">
        <f>data[[#This Row],[ShippingCost]]/data[[#This Row],[TotalMiles]]</f>
        <v>37.022624434389144</v>
      </c>
      <c r="R1743" s="17">
        <v>8182</v>
      </c>
      <c r="S1743" s="25">
        <f>data[[#This Row],[Revenue]]/data[[#This Row],[TotalMiles]]</f>
        <v>58.800904977375566</v>
      </c>
      <c r="T1743" s="26">
        <f>data[[#This Row],[Revenue]]-data[[#This Row],[ShippingCost]]</f>
        <v>4813</v>
      </c>
      <c r="U1743" s="17">
        <v>12995</v>
      </c>
      <c r="V1743" s="17">
        <v>96</v>
      </c>
      <c r="W1743" s="17" t="s">
        <v>25</v>
      </c>
      <c r="X1743" s="17">
        <v>5</v>
      </c>
      <c r="Y1743" s="17">
        <f>data[[#This Row],[DeliveryDate]]-data[[#This Row],[ShipDate]]</f>
        <v>1</v>
      </c>
      <c r="Z1743" s="17" t="str">
        <f>IF(data[[#This Row],[Actual Delivery Days]]&gt;AD1744,"Yes","No")</f>
        <v>Yes</v>
      </c>
    </row>
    <row r="1744" spans="1:26">
      <c r="A1744" s="17">
        <v>11417</v>
      </c>
      <c r="B1744" s="17">
        <v>3</v>
      </c>
      <c r="C1744" s="17">
        <v>3</v>
      </c>
      <c r="D1744" s="17" t="s">
        <v>519</v>
      </c>
      <c r="E1744" s="17" t="s">
        <v>531</v>
      </c>
      <c r="F1744" s="17" t="str">
        <f>TEXT(data[[#This Row],[ShipDate]],"yyyy - mmmm")</f>
        <v>2016 - January</v>
      </c>
      <c r="G1744" s="17" t="str">
        <f>data[[#This Row],[OriginCity]] &amp; " - "  &amp; data[[#This Row],[DestinationCity]]</f>
        <v>Gary - Milwaukee</v>
      </c>
      <c r="H1744" s="17" t="s">
        <v>57</v>
      </c>
      <c r="I1744" s="17" t="s">
        <v>44</v>
      </c>
      <c r="J1744" s="17">
        <v>1</v>
      </c>
      <c r="K1744" s="17" t="s">
        <v>28</v>
      </c>
      <c r="L1744" s="17" t="s">
        <v>29</v>
      </c>
      <c r="M1744" s="17" t="s">
        <v>625</v>
      </c>
      <c r="N1744" s="17">
        <v>886</v>
      </c>
      <c r="O1744" s="17">
        <v>203</v>
      </c>
      <c r="P1744" s="26">
        <f>(data[[#This Row],[LoadedMiles]]/data[[#This Row],[TotalMiles]])*100</f>
        <v>22.911963882618512</v>
      </c>
      <c r="Q1744" s="25">
        <f>data[[#This Row],[ShippingCost]]/data[[#This Row],[TotalMiles]]</f>
        <v>2.8216704288939052E-2</v>
      </c>
      <c r="R1744" s="17">
        <v>25</v>
      </c>
      <c r="S1744" s="25">
        <f>data[[#This Row],[Revenue]]/data[[#This Row],[TotalMiles]]</f>
        <v>0.95598194130925507</v>
      </c>
      <c r="T1744" s="26">
        <f>data[[#This Row],[Revenue]]-data[[#This Row],[ShippingCost]]</f>
        <v>822</v>
      </c>
      <c r="U1744" s="17">
        <v>847</v>
      </c>
      <c r="V1744" s="17">
        <v>54</v>
      </c>
      <c r="W1744" s="17" t="s">
        <v>25</v>
      </c>
      <c r="X1744" s="17">
        <v>5</v>
      </c>
      <c r="Y1744" s="17">
        <f>data[[#This Row],[DeliveryDate]]-data[[#This Row],[ShipDate]]</f>
        <v>1</v>
      </c>
      <c r="Z1744" s="17" t="str">
        <f>IF(data[[#This Row],[Actual Delivery Days]]&gt;AD1745,"Yes","No")</f>
        <v>Yes</v>
      </c>
    </row>
    <row r="1745" spans="1:26">
      <c r="A1745" s="17">
        <v>11422</v>
      </c>
      <c r="B1745" s="17">
        <v>2</v>
      </c>
      <c r="C1745" s="17">
        <v>6</v>
      </c>
      <c r="D1745" s="17" t="s">
        <v>528</v>
      </c>
      <c r="E1745" s="17" t="s">
        <v>606</v>
      </c>
      <c r="F1745" s="17" t="str">
        <f>TEXT(data[[#This Row],[ShipDate]],"yyyy - mmmm")</f>
        <v>2016 - May</v>
      </c>
      <c r="G1745" s="17" t="str">
        <f>data[[#This Row],[OriginCity]] &amp; " - "  &amp; data[[#This Row],[DestinationCity]]</f>
        <v>Appleton - Grand Rapids</v>
      </c>
      <c r="H1745" s="17" t="s">
        <v>85</v>
      </c>
      <c r="I1745" s="17" t="s">
        <v>29</v>
      </c>
      <c r="J1745" s="17">
        <v>1</v>
      </c>
      <c r="K1745" s="17" t="s">
        <v>20</v>
      </c>
      <c r="L1745" s="17" t="s">
        <v>21</v>
      </c>
      <c r="M1745" s="17" t="s">
        <v>286</v>
      </c>
      <c r="N1745" s="17">
        <v>656</v>
      </c>
      <c r="O1745" s="17">
        <v>656</v>
      </c>
      <c r="P1745" s="26">
        <f>(data[[#This Row],[LoadedMiles]]/data[[#This Row],[TotalMiles]])*100</f>
        <v>100</v>
      </c>
      <c r="Q1745" s="25">
        <f>data[[#This Row],[ShippingCost]]/data[[#This Row],[TotalMiles]]</f>
        <v>3.8109756097560975E-2</v>
      </c>
      <c r="R1745" s="17">
        <v>25</v>
      </c>
      <c r="S1745" s="25">
        <f>data[[#This Row],[Revenue]]/data[[#This Row],[TotalMiles]]</f>
        <v>1.0975609756097562</v>
      </c>
      <c r="T1745" s="26">
        <f>data[[#This Row],[Revenue]]-data[[#This Row],[ShippingCost]]</f>
        <v>695</v>
      </c>
      <c r="U1745" s="17">
        <v>720</v>
      </c>
      <c r="V1745" s="17">
        <v>95</v>
      </c>
      <c r="W1745" s="17" t="s">
        <v>86</v>
      </c>
      <c r="X1745" s="17">
        <v>6</v>
      </c>
      <c r="Y1745" s="17">
        <f>data[[#This Row],[DeliveryDate]]-data[[#This Row],[ShipDate]]</f>
        <v>1</v>
      </c>
      <c r="Z1745" s="17" t="str">
        <f>IF(data[[#This Row],[Actual Delivery Days]]&gt;AD1746,"Yes","No")</f>
        <v>Yes</v>
      </c>
    </row>
    <row r="1746" spans="1:26">
      <c r="A1746" s="17">
        <v>11424</v>
      </c>
      <c r="B1746" s="17">
        <v>2</v>
      </c>
      <c r="C1746" s="17">
        <v>3</v>
      </c>
      <c r="D1746" s="17" t="s">
        <v>532</v>
      </c>
      <c r="E1746" s="17" t="s">
        <v>574</v>
      </c>
      <c r="F1746" s="17" t="str">
        <f>TEXT(data[[#This Row],[ShipDate]],"yyyy - mmmm")</f>
        <v>2016 - January</v>
      </c>
      <c r="G1746" s="17" t="str">
        <f>data[[#This Row],[OriginCity]] &amp; " - "  &amp; data[[#This Row],[DestinationCity]]</f>
        <v>Dayton - Elgin</v>
      </c>
      <c r="H1746" s="17" t="s">
        <v>93</v>
      </c>
      <c r="I1746" s="17" t="s">
        <v>23</v>
      </c>
      <c r="J1746" s="17">
        <v>1</v>
      </c>
      <c r="K1746" s="17" t="s">
        <v>94</v>
      </c>
      <c r="L1746" s="17" t="s">
        <v>31</v>
      </c>
      <c r="M1746" s="17" t="s">
        <v>583</v>
      </c>
      <c r="N1746" s="17">
        <v>346</v>
      </c>
      <c r="O1746" s="17">
        <v>346</v>
      </c>
      <c r="P1746" s="26">
        <f>(data[[#This Row],[LoadedMiles]]/data[[#This Row],[TotalMiles]])*100</f>
        <v>100</v>
      </c>
      <c r="Q1746" s="25">
        <f>data[[#This Row],[ShippingCost]]/data[[#This Row],[TotalMiles]]</f>
        <v>9.4306358381502893</v>
      </c>
      <c r="R1746" s="17">
        <v>3263</v>
      </c>
      <c r="S1746" s="25">
        <f>data[[#This Row],[Revenue]]/data[[#This Row],[TotalMiles]]</f>
        <v>10.15028901734104</v>
      </c>
      <c r="T1746" s="26">
        <f>data[[#This Row],[Revenue]]-data[[#This Row],[ShippingCost]]</f>
        <v>249</v>
      </c>
      <c r="U1746" s="17">
        <v>3512</v>
      </c>
      <c r="V1746" s="17">
        <v>98</v>
      </c>
      <c r="W1746" s="17" t="s">
        <v>25</v>
      </c>
      <c r="X1746" s="17">
        <v>6</v>
      </c>
      <c r="Y1746" s="17">
        <f>data[[#This Row],[DeliveryDate]]-data[[#This Row],[ShipDate]]</f>
        <v>1</v>
      </c>
      <c r="Z1746" s="17" t="str">
        <f>IF(data[[#This Row],[Actual Delivery Days]]&gt;AD1747,"Yes","No")</f>
        <v>Yes</v>
      </c>
    </row>
    <row r="1747" spans="1:26">
      <c r="A1747" s="17">
        <v>11442</v>
      </c>
      <c r="B1747" s="17">
        <v>2</v>
      </c>
      <c r="C1747" s="17">
        <v>1</v>
      </c>
      <c r="D1747" s="17" t="s">
        <v>556</v>
      </c>
      <c r="E1747" s="17" t="s">
        <v>454</v>
      </c>
      <c r="F1747" s="17" t="str">
        <f>TEXT(data[[#This Row],[ShipDate]],"yyyy - mmmm")</f>
        <v>2016 - March</v>
      </c>
      <c r="G1747" s="17" t="str">
        <f>data[[#This Row],[OriginCity]] &amp; " - "  &amp; data[[#This Row],[DestinationCity]]</f>
        <v>Green Bay - Joliet</v>
      </c>
      <c r="H1747" s="17" t="s">
        <v>75</v>
      </c>
      <c r="I1747" s="17" t="s">
        <v>29</v>
      </c>
      <c r="J1747" s="17">
        <v>1</v>
      </c>
      <c r="K1747" s="17" t="s">
        <v>61</v>
      </c>
      <c r="L1747" s="17" t="s">
        <v>31</v>
      </c>
      <c r="M1747" s="17" t="s">
        <v>272</v>
      </c>
      <c r="N1747" s="17">
        <v>697</v>
      </c>
      <c r="O1747" s="17">
        <v>557</v>
      </c>
      <c r="P1747" s="26">
        <f>(data[[#This Row],[LoadedMiles]]/data[[#This Row],[TotalMiles]])*100</f>
        <v>79.913916786226693</v>
      </c>
      <c r="Q1747" s="25">
        <f>data[[#This Row],[ShippingCost]]/data[[#This Row],[TotalMiles]]</f>
        <v>1.6413199426111909</v>
      </c>
      <c r="R1747" s="17">
        <v>1144</v>
      </c>
      <c r="S1747" s="25">
        <f>data[[#This Row],[Revenue]]/data[[#This Row],[TotalMiles]]</f>
        <v>7.2826398852223813</v>
      </c>
      <c r="T1747" s="26">
        <f>data[[#This Row],[Revenue]]-data[[#This Row],[ShippingCost]]</f>
        <v>3932</v>
      </c>
      <c r="U1747" s="17">
        <v>5076</v>
      </c>
      <c r="V1747" s="17">
        <v>70</v>
      </c>
      <c r="W1747" s="17" t="s">
        <v>25</v>
      </c>
      <c r="X1747" s="17">
        <v>5</v>
      </c>
      <c r="Y1747" s="17">
        <f>data[[#This Row],[DeliveryDate]]-data[[#This Row],[ShipDate]]</f>
        <v>1</v>
      </c>
      <c r="Z1747" s="17" t="str">
        <f>IF(data[[#This Row],[Actual Delivery Days]]&gt;AD1748,"Yes","No")</f>
        <v>Yes</v>
      </c>
    </row>
    <row r="1748" spans="1:26">
      <c r="A1748" s="17">
        <v>11450</v>
      </c>
      <c r="B1748" s="17">
        <v>2</v>
      </c>
      <c r="C1748" s="17">
        <v>5</v>
      </c>
      <c r="D1748" s="17" t="s">
        <v>564</v>
      </c>
      <c r="E1748" s="17" t="s">
        <v>480</v>
      </c>
      <c r="F1748" s="17" t="str">
        <f>TEXT(data[[#This Row],[ShipDate]],"yyyy - mmmm")</f>
        <v>2016 - April</v>
      </c>
      <c r="G1748" s="17" t="str">
        <f>data[[#This Row],[OriginCity]] &amp; " - "  &amp; data[[#This Row],[DestinationCity]]</f>
        <v>Bangor - Davenport</v>
      </c>
      <c r="H1748" s="17" t="s">
        <v>104</v>
      </c>
      <c r="I1748" s="17" t="s">
        <v>21</v>
      </c>
      <c r="J1748" s="17">
        <v>1</v>
      </c>
      <c r="K1748" s="17" t="s">
        <v>105</v>
      </c>
      <c r="L1748" s="17" t="s">
        <v>106</v>
      </c>
      <c r="M1748" s="17" t="s">
        <v>624</v>
      </c>
      <c r="N1748" s="17">
        <v>675</v>
      </c>
      <c r="O1748" s="17">
        <v>542</v>
      </c>
      <c r="P1748" s="26">
        <f>(data[[#This Row],[LoadedMiles]]/data[[#This Row],[TotalMiles]])*100</f>
        <v>80.296296296296305</v>
      </c>
      <c r="Q1748" s="25">
        <f>data[[#This Row],[ShippingCost]]/data[[#This Row],[TotalMiles]]</f>
        <v>11.837037037037037</v>
      </c>
      <c r="R1748" s="17">
        <v>7990</v>
      </c>
      <c r="S1748" s="25">
        <f>data[[#This Row],[Revenue]]/data[[#This Row],[TotalMiles]]</f>
        <v>12.65037037037037</v>
      </c>
      <c r="T1748" s="26">
        <f>data[[#This Row],[Revenue]]-data[[#This Row],[ShippingCost]]</f>
        <v>549</v>
      </c>
      <c r="U1748" s="17">
        <v>8539</v>
      </c>
      <c r="V1748" s="17">
        <v>93</v>
      </c>
      <c r="W1748" s="17" t="s">
        <v>25</v>
      </c>
      <c r="X1748" s="17">
        <v>10</v>
      </c>
      <c r="Y1748" s="17">
        <f>data[[#This Row],[DeliveryDate]]-data[[#This Row],[ShipDate]]</f>
        <v>1</v>
      </c>
      <c r="Z1748" s="17" t="str">
        <f>IF(data[[#This Row],[Actual Delivery Days]]&gt;AD1749,"Yes","No")</f>
        <v>Yes</v>
      </c>
    </row>
    <row r="1749" spans="1:26">
      <c r="A1749" s="17">
        <v>11454</v>
      </c>
      <c r="B1749" s="17">
        <v>2</v>
      </c>
      <c r="C1749" s="17">
        <v>2</v>
      </c>
      <c r="D1749" s="17" t="s">
        <v>569</v>
      </c>
      <c r="E1749" s="17" t="s">
        <v>597</v>
      </c>
      <c r="F1749" s="17" t="str">
        <f>TEXT(data[[#This Row],[ShipDate]],"yyyy - mmmm")</f>
        <v>2016 - August</v>
      </c>
      <c r="G1749" s="17" t="str">
        <f>data[[#This Row],[OriginCity]] &amp; " - "  &amp; data[[#This Row],[DestinationCity]]</f>
        <v>Davenport - Appleton</v>
      </c>
      <c r="H1749" s="17" t="s">
        <v>105</v>
      </c>
      <c r="I1749" s="17" t="s">
        <v>106</v>
      </c>
      <c r="J1749" s="17">
        <v>1</v>
      </c>
      <c r="K1749" s="17" t="s">
        <v>85</v>
      </c>
      <c r="L1749" s="17" t="s">
        <v>29</v>
      </c>
      <c r="M1749" s="17" t="s">
        <v>138</v>
      </c>
      <c r="N1749" s="17">
        <v>253</v>
      </c>
      <c r="O1749" s="17">
        <v>253</v>
      </c>
      <c r="P1749" s="26">
        <f>(data[[#This Row],[LoadedMiles]]/data[[#This Row],[TotalMiles]])*100</f>
        <v>100</v>
      </c>
      <c r="Q1749" s="25">
        <f>data[[#This Row],[ShippingCost]]/data[[#This Row],[TotalMiles]]</f>
        <v>22.450592885375492</v>
      </c>
      <c r="R1749" s="17">
        <v>5680</v>
      </c>
      <c r="S1749" s="25">
        <f>data[[#This Row],[Revenue]]/data[[#This Row],[TotalMiles]]</f>
        <v>24.201581027667984</v>
      </c>
      <c r="T1749" s="26">
        <f>data[[#This Row],[Revenue]]-data[[#This Row],[ShippingCost]]</f>
        <v>443</v>
      </c>
      <c r="U1749" s="17">
        <v>6123</v>
      </c>
      <c r="V1749" s="17">
        <v>54</v>
      </c>
      <c r="W1749" s="17" t="s">
        <v>25</v>
      </c>
      <c r="X1749" s="17">
        <v>2</v>
      </c>
      <c r="Y1749" s="17">
        <f>data[[#This Row],[DeliveryDate]]-data[[#This Row],[ShipDate]]</f>
        <v>1</v>
      </c>
      <c r="Z1749" s="17" t="str">
        <f>IF(data[[#This Row],[Actual Delivery Days]]&gt;AD1750,"Yes","No")</f>
        <v>Yes</v>
      </c>
    </row>
    <row r="1750" spans="1:26">
      <c r="A1750" s="17">
        <v>11466</v>
      </c>
      <c r="B1750" s="17">
        <v>2</v>
      </c>
      <c r="C1750" s="17">
        <v>2</v>
      </c>
      <c r="D1750" s="17" t="s">
        <v>584</v>
      </c>
      <c r="E1750" s="17" t="s">
        <v>301</v>
      </c>
      <c r="F1750" s="17" t="str">
        <f>TEXT(data[[#This Row],[ShipDate]],"yyyy - mmmm")</f>
        <v>2016 - August</v>
      </c>
      <c r="G1750" s="17" t="str">
        <f>data[[#This Row],[OriginCity]] &amp; " - "  &amp; data[[#This Row],[DestinationCity]]</f>
        <v>Naperville - Indianapolis</v>
      </c>
      <c r="H1750" s="17" t="s">
        <v>48</v>
      </c>
      <c r="I1750" s="17" t="s">
        <v>31</v>
      </c>
      <c r="J1750" s="17">
        <v>1</v>
      </c>
      <c r="K1750" s="17" t="s">
        <v>43</v>
      </c>
      <c r="L1750" s="17" t="s">
        <v>44</v>
      </c>
      <c r="M1750" s="17" t="s">
        <v>301</v>
      </c>
      <c r="N1750" s="17">
        <v>922</v>
      </c>
      <c r="O1750" s="17">
        <v>545</v>
      </c>
      <c r="P1750" s="26">
        <f>(data[[#This Row],[LoadedMiles]]/data[[#This Row],[TotalMiles]])*100</f>
        <v>59.110629067245121</v>
      </c>
      <c r="Q1750" s="25">
        <f>data[[#This Row],[ShippingCost]]/data[[#This Row],[TotalMiles]]</f>
        <v>2.715835140997831</v>
      </c>
      <c r="R1750" s="17">
        <v>2504</v>
      </c>
      <c r="S1750" s="25">
        <f>data[[#This Row],[Revenue]]/data[[#This Row],[TotalMiles]]</f>
        <v>3.2733188720173536</v>
      </c>
      <c r="T1750" s="26">
        <f>data[[#This Row],[Revenue]]-data[[#This Row],[ShippingCost]]</f>
        <v>514</v>
      </c>
      <c r="U1750" s="17">
        <v>3018</v>
      </c>
      <c r="V1750" s="17">
        <v>56</v>
      </c>
      <c r="W1750" s="17" t="s">
        <v>25</v>
      </c>
      <c r="X1750" s="17">
        <v>8</v>
      </c>
      <c r="Y1750" s="17">
        <f>data[[#This Row],[DeliveryDate]]-data[[#This Row],[ShipDate]]</f>
        <v>0</v>
      </c>
      <c r="Z1750" s="17" t="str">
        <f>IF(data[[#This Row],[Actual Delivery Days]]&gt;AD1751,"Yes","No")</f>
        <v>No</v>
      </c>
    </row>
    <row r="1751" spans="1:26">
      <c r="A1751" s="17">
        <v>11467</v>
      </c>
      <c r="B1751" s="17">
        <v>2</v>
      </c>
      <c r="C1751" s="17">
        <v>2</v>
      </c>
      <c r="D1751" s="17" t="s">
        <v>585</v>
      </c>
      <c r="E1751" s="17" t="s">
        <v>129</v>
      </c>
      <c r="F1751" s="17" t="str">
        <f>TEXT(data[[#This Row],[ShipDate]],"yyyy - mmmm")</f>
        <v>2016 - March</v>
      </c>
      <c r="G1751" s="17" t="str">
        <f>data[[#This Row],[OriginCity]] &amp; " - "  &amp; data[[#This Row],[DestinationCity]]</f>
        <v>Rockford - Green Bay</v>
      </c>
      <c r="H1751" s="17" t="s">
        <v>40</v>
      </c>
      <c r="I1751" s="17" t="s">
        <v>31</v>
      </c>
      <c r="J1751" s="17">
        <v>1</v>
      </c>
      <c r="K1751" s="17" t="s">
        <v>75</v>
      </c>
      <c r="L1751" s="17" t="s">
        <v>29</v>
      </c>
      <c r="M1751" s="17" t="s">
        <v>430</v>
      </c>
      <c r="N1751" s="17">
        <v>453</v>
      </c>
      <c r="O1751" s="17">
        <v>248</v>
      </c>
      <c r="P1751" s="26">
        <f>(data[[#This Row],[LoadedMiles]]/data[[#This Row],[TotalMiles]])*100</f>
        <v>54.746136865342166</v>
      </c>
      <c r="Q1751" s="25">
        <f>data[[#This Row],[ShippingCost]]/data[[#This Row],[TotalMiles]]</f>
        <v>19</v>
      </c>
      <c r="R1751" s="17">
        <v>8607</v>
      </c>
      <c r="S1751" s="25">
        <f>data[[#This Row],[Revenue]]/data[[#This Row],[TotalMiles]]</f>
        <v>19.278145695364238</v>
      </c>
      <c r="T1751" s="26">
        <f>data[[#This Row],[Revenue]]-data[[#This Row],[ShippingCost]]</f>
        <v>126</v>
      </c>
      <c r="U1751" s="17">
        <v>8733</v>
      </c>
      <c r="V1751" s="17">
        <v>94</v>
      </c>
      <c r="W1751" s="17" t="s">
        <v>25</v>
      </c>
      <c r="X1751" s="17">
        <v>1</v>
      </c>
      <c r="Y1751" s="17">
        <f>data[[#This Row],[DeliveryDate]]-data[[#This Row],[ShipDate]]</f>
        <v>1</v>
      </c>
      <c r="Z1751" s="17" t="str">
        <f>IF(data[[#This Row],[Actual Delivery Days]]&gt;AD1752,"Yes","No")</f>
        <v>Yes</v>
      </c>
    </row>
    <row r="1752" spans="1:26">
      <c r="A1752" s="17">
        <v>11469</v>
      </c>
      <c r="B1752" s="17">
        <v>2</v>
      </c>
      <c r="C1752" s="17">
        <v>3</v>
      </c>
      <c r="D1752" s="17" t="s">
        <v>588</v>
      </c>
      <c r="E1752" s="17" t="s">
        <v>27</v>
      </c>
      <c r="F1752" s="17" t="str">
        <f>TEXT(data[[#This Row],[ShipDate]],"yyyy - mmmm")</f>
        <v>2016 - May</v>
      </c>
      <c r="G1752" s="17" t="str">
        <f>data[[#This Row],[OriginCity]] &amp; " - "  &amp; data[[#This Row],[DestinationCity]]</f>
        <v>Cincinnati - Gary</v>
      </c>
      <c r="H1752" s="17" t="s">
        <v>89</v>
      </c>
      <c r="I1752" s="17" t="s">
        <v>23</v>
      </c>
      <c r="J1752" s="17">
        <v>1</v>
      </c>
      <c r="K1752" s="17" t="s">
        <v>57</v>
      </c>
      <c r="L1752" s="17" t="s">
        <v>44</v>
      </c>
      <c r="M1752" s="17" t="s">
        <v>367</v>
      </c>
      <c r="N1752" s="17">
        <v>401</v>
      </c>
      <c r="O1752" s="17">
        <v>261</v>
      </c>
      <c r="P1752" s="26">
        <f>(data[[#This Row],[LoadedMiles]]/data[[#This Row],[TotalMiles]])*100</f>
        <v>65.087281795511217</v>
      </c>
      <c r="Q1752" s="25">
        <f>data[[#This Row],[ShippingCost]]/data[[#This Row],[TotalMiles]]</f>
        <v>18.506234413965089</v>
      </c>
      <c r="R1752" s="17">
        <v>7421</v>
      </c>
      <c r="S1752" s="25">
        <f>data[[#This Row],[Revenue]]/data[[#This Row],[TotalMiles]]</f>
        <v>20.154613466334165</v>
      </c>
      <c r="T1752" s="26">
        <f>data[[#This Row],[Revenue]]-data[[#This Row],[ShippingCost]]</f>
        <v>661</v>
      </c>
      <c r="U1752" s="17">
        <v>8082</v>
      </c>
      <c r="V1752" s="17">
        <v>97</v>
      </c>
      <c r="W1752" s="17" t="s">
        <v>25</v>
      </c>
      <c r="X1752" s="17">
        <v>2</v>
      </c>
      <c r="Y1752" s="17">
        <f>data[[#This Row],[DeliveryDate]]-data[[#This Row],[ShipDate]]</f>
        <v>1</v>
      </c>
      <c r="Z1752" s="17" t="str">
        <f>IF(data[[#This Row],[Actual Delivery Days]]&gt;AD1753,"Yes","No")</f>
        <v>Yes</v>
      </c>
    </row>
    <row r="1753" spans="1:26">
      <c r="A1753" s="17">
        <v>11472</v>
      </c>
      <c r="B1753" s="17">
        <v>2</v>
      </c>
      <c r="C1753" s="17">
        <v>3</v>
      </c>
      <c r="D1753" s="17" t="s">
        <v>592</v>
      </c>
      <c r="E1753" s="17" t="s">
        <v>42</v>
      </c>
      <c r="F1753" s="17" t="str">
        <f>TEXT(data[[#This Row],[ShipDate]],"yyyy - mmmm")</f>
        <v>2016 - May</v>
      </c>
      <c r="G1753" s="17" t="str">
        <f>data[[#This Row],[OriginCity]] &amp; " - "  &amp; data[[#This Row],[DestinationCity]]</f>
        <v>Bangor - Davenport</v>
      </c>
      <c r="H1753" s="17" t="s">
        <v>104</v>
      </c>
      <c r="I1753" s="17" t="s">
        <v>21</v>
      </c>
      <c r="J1753" s="17">
        <v>1</v>
      </c>
      <c r="K1753" s="17" t="s">
        <v>105</v>
      </c>
      <c r="L1753" s="17" t="s">
        <v>106</v>
      </c>
      <c r="M1753" s="17" t="s">
        <v>27</v>
      </c>
      <c r="N1753" s="17">
        <v>928</v>
      </c>
      <c r="O1753" s="17">
        <v>638</v>
      </c>
      <c r="P1753" s="26">
        <f>(data[[#This Row],[LoadedMiles]]/data[[#This Row],[TotalMiles]])*100</f>
        <v>68.75</v>
      </c>
      <c r="Q1753" s="25">
        <f>data[[#This Row],[ShippingCost]]/data[[#This Row],[TotalMiles]]</f>
        <v>4.7079741379310347</v>
      </c>
      <c r="R1753" s="17">
        <v>4369</v>
      </c>
      <c r="S1753" s="25">
        <f>data[[#This Row],[Revenue]]/data[[#This Row],[TotalMiles]]</f>
        <v>5.6756465517241379</v>
      </c>
      <c r="T1753" s="26">
        <f>data[[#This Row],[Revenue]]-data[[#This Row],[ShippingCost]]</f>
        <v>898</v>
      </c>
      <c r="U1753" s="17">
        <v>5267</v>
      </c>
      <c r="V1753" s="17">
        <v>87</v>
      </c>
      <c r="W1753" s="17" t="s">
        <v>25</v>
      </c>
      <c r="X1753" s="17">
        <v>10</v>
      </c>
      <c r="Y1753" s="17">
        <f>data[[#This Row],[DeliveryDate]]-data[[#This Row],[ShipDate]]</f>
        <v>1</v>
      </c>
      <c r="Z1753" s="17" t="str">
        <f>IF(data[[#This Row],[Actual Delivery Days]]&gt;AD1754,"Yes","No")</f>
        <v>Yes</v>
      </c>
    </row>
    <row r="1754" spans="1:26">
      <c r="A1754" s="17">
        <v>11473</v>
      </c>
      <c r="B1754" s="17">
        <v>3</v>
      </c>
      <c r="C1754" s="17">
        <v>3</v>
      </c>
      <c r="D1754" s="17" t="s">
        <v>593</v>
      </c>
      <c r="E1754" s="17" t="s">
        <v>530</v>
      </c>
      <c r="F1754" s="17" t="str">
        <f>TEXT(data[[#This Row],[ShipDate]],"yyyy - mmmm")</f>
        <v>2016 - January</v>
      </c>
      <c r="G1754" s="17" t="str">
        <f>data[[#This Row],[OriginCity]] &amp; " - "  &amp; data[[#This Row],[DestinationCity]]</f>
        <v>Elgin - Cincinnati</v>
      </c>
      <c r="H1754" s="17" t="s">
        <v>94</v>
      </c>
      <c r="I1754" s="17" t="s">
        <v>31</v>
      </c>
      <c r="J1754" s="17">
        <v>1</v>
      </c>
      <c r="K1754" s="17" t="s">
        <v>89</v>
      </c>
      <c r="L1754" s="17" t="s">
        <v>23</v>
      </c>
      <c r="M1754" s="17" t="s">
        <v>530</v>
      </c>
      <c r="N1754" s="17">
        <v>936</v>
      </c>
      <c r="O1754" s="17">
        <v>693</v>
      </c>
      <c r="P1754" s="26">
        <f>(data[[#This Row],[LoadedMiles]]/data[[#This Row],[TotalMiles]])*100</f>
        <v>74.038461538461547</v>
      </c>
      <c r="Q1754" s="25">
        <f>data[[#This Row],[ShippingCost]]/data[[#This Row],[TotalMiles]]</f>
        <v>0.92094017094017089</v>
      </c>
      <c r="R1754" s="17">
        <v>862</v>
      </c>
      <c r="S1754" s="25">
        <f>data[[#This Row],[Revenue]]/data[[#This Row],[TotalMiles]]</f>
        <v>1.5021367521367521</v>
      </c>
      <c r="T1754" s="26">
        <f>data[[#This Row],[Revenue]]-data[[#This Row],[ShippingCost]]</f>
        <v>544</v>
      </c>
      <c r="U1754" s="17">
        <v>1406</v>
      </c>
      <c r="V1754" s="17">
        <v>98</v>
      </c>
      <c r="W1754" s="17" t="s">
        <v>25</v>
      </c>
      <c r="X1754" s="17">
        <v>6</v>
      </c>
      <c r="Y1754" s="17">
        <f>data[[#This Row],[DeliveryDate]]-data[[#This Row],[ShipDate]]</f>
        <v>0</v>
      </c>
      <c r="Z1754" s="17" t="str">
        <f>IF(data[[#This Row],[Actual Delivery Days]]&gt;AD1755,"Yes","No")</f>
        <v>No</v>
      </c>
    </row>
    <row r="1755" spans="1:26">
      <c r="A1755" s="17">
        <v>11486</v>
      </c>
      <c r="B1755" s="17">
        <v>2</v>
      </c>
      <c r="C1755" s="17">
        <v>4</v>
      </c>
      <c r="D1755" s="17" t="s">
        <v>33</v>
      </c>
      <c r="E1755" s="17" t="s">
        <v>318</v>
      </c>
      <c r="F1755" s="17" t="str">
        <f>TEXT(data[[#This Row],[ShipDate]],"yyyy - mmmm")</f>
        <v>2016 - June</v>
      </c>
      <c r="G1755" s="17" t="str">
        <f>data[[#This Row],[OriginCity]] &amp; " - "  &amp; data[[#This Row],[DestinationCity]]</f>
        <v>Madison - Kalamazoo</v>
      </c>
      <c r="H1755" s="17" t="s">
        <v>62</v>
      </c>
      <c r="I1755" s="17" t="s">
        <v>29</v>
      </c>
      <c r="J1755" s="17">
        <v>1</v>
      </c>
      <c r="K1755" s="17" t="s">
        <v>71</v>
      </c>
      <c r="L1755" s="17" t="s">
        <v>21</v>
      </c>
      <c r="M1755" s="17" t="s">
        <v>542</v>
      </c>
      <c r="N1755" s="17">
        <v>964</v>
      </c>
      <c r="O1755" s="17">
        <v>328</v>
      </c>
      <c r="P1755" s="26">
        <f>(data[[#This Row],[LoadedMiles]]/data[[#This Row],[TotalMiles]])*100</f>
        <v>34.024896265560166</v>
      </c>
      <c r="Q1755" s="25">
        <f>data[[#This Row],[ShippingCost]]/data[[#This Row],[TotalMiles]]</f>
        <v>5.9045643153526974</v>
      </c>
      <c r="R1755" s="17">
        <v>5692</v>
      </c>
      <c r="S1755" s="25">
        <f>data[[#This Row],[Revenue]]/data[[#This Row],[TotalMiles]]</f>
        <v>4.0383817427385891</v>
      </c>
      <c r="T1755" s="26">
        <f>data[[#This Row],[Revenue]]-data[[#This Row],[ShippingCost]]</f>
        <v>-1799</v>
      </c>
      <c r="U1755" s="17">
        <v>3893</v>
      </c>
      <c r="V1755" s="17">
        <v>85</v>
      </c>
      <c r="W1755" s="17" t="s">
        <v>25</v>
      </c>
      <c r="X1755" s="17">
        <v>3</v>
      </c>
      <c r="Y1755" s="17">
        <f>data[[#This Row],[DeliveryDate]]-data[[#This Row],[ShipDate]]</f>
        <v>1</v>
      </c>
      <c r="Z1755" s="17" t="str">
        <f>IF(data[[#This Row],[Actual Delivery Days]]&gt;AD1756,"Yes","No")</f>
        <v>Yes</v>
      </c>
    </row>
    <row r="1756" spans="1:26">
      <c r="A1756" s="17">
        <v>11498</v>
      </c>
      <c r="B1756" s="17">
        <v>2</v>
      </c>
      <c r="C1756" s="17">
        <v>5</v>
      </c>
      <c r="D1756" s="17" t="s">
        <v>87</v>
      </c>
      <c r="E1756" s="17" t="s">
        <v>211</v>
      </c>
      <c r="F1756" s="17" t="str">
        <f>TEXT(data[[#This Row],[ShipDate]],"yyyy - mmmm")</f>
        <v>2016 - August</v>
      </c>
      <c r="G1756" s="17" t="str">
        <f>data[[#This Row],[OriginCity]] &amp; " - "  &amp; data[[#This Row],[DestinationCity]]</f>
        <v>Davenport - Appleton</v>
      </c>
      <c r="H1756" s="17" t="s">
        <v>105</v>
      </c>
      <c r="I1756" s="17" t="s">
        <v>106</v>
      </c>
      <c r="J1756" s="17">
        <v>1</v>
      </c>
      <c r="K1756" s="17" t="s">
        <v>85</v>
      </c>
      <c r="L1756" s="17" t="s">
        <v>29</v>
      </c>
      <c r="M1756" s="17" t="s">
        <v>142</v>
      </c>
      <c r="N1756" s="17">
        <v>715</v>
      </c>
      <c r="O1756" s="17">
        <v>575</v>
      </c>
      <c r="P1756" s="26">
        <f>(data[[#This Row],[LoadedMiles]]/data[[#This Row],[TotalMiles]])*100</f>
        <v>80.419580419580413</v>
      </c>
      <c r="Q1756" s="25">
        <f>data[[#This Row],[ShippingCost]]/data[[#This Row],[TotalMiles]]</f>
        <v>4.3818181818181818</v>
      </c>
      <c r="R1756" s="17">
        <v>3133</v>
      </c>
      <c r="S1756" s="25">
        <f>data[[#This Row],[Revenue]]/data[[#This Row],[TotalMiles]]</f>
        <v>4.813986013986014</v>
      </c>
      <c r="T1756" s="26">
        <f>data[[#This Row],[Revenue]]-data[[#This Row],[ShippingCost]]</f>
        <v>309</v>
      </c>
      <c r="U1756" s="17">
        <v>3442</v>
      </c>
      <c r="V1756" s="17">
        <v>84</v>
      </c>
      <c r="W1756" s="17" t="s">
        <v>25</v>
      </c>
      <c r="X1756" s="17">
        <v>6</v>
      </c>
      <c r="Y1756" s="17">
        <f>data[[#This Row],[DeliveryDate]]-data[[#This Row],[ShipDate]]</f>
        <v>1</v>
      </c>
      <c r="Z1756" s="17" t="str">
        <f>IF(data[[#This Row],[Actual Delivery Days]]&gt;AD1757,"Yes","No")</f>
        <v>Yes</v>
      </c>
    </row>
    <row r="1757" spans="1:26">
      <c r="A1757" s="17">
        <v>11499</v>
      </c>
      <c r="B1757" s="17">
        <v>3</v>
      </c>
      <c r="C1757" s="17">
        <v>6</v>
      </c>
      <c r="D1757" s="17" t="s">
        <v>91</v>
      </c>
      <c r="E1757" s="17" t="s">
        <v>404</v>
      </c>
      <c r="F1757" s="17" t="str">
        <f>TEXT(data[[#This Row],[ShipDate]],"yyyy - mmmm")</f>
        <v>2016 - July</v>
      </c>
      <c r="G1757" s="17" t="str">
        <f>data[[#This Row],[OriginCity]] &amp; " - "  &amp; data[[#This Row],[DestinationCity]]</f>
        <v>Grand Rapids - Toledo</v>
      </c>
      <c r="H1757" s="17" t="s">
        <v>20</v>
      </c>
      <c r="I1757" s="17" t="s">
        <v>21</v>
      </c>
      <c r="J1757" s="17">
        <v>1</v>
      </c>
      <c r="K1757" s="17" t="s">
        <v>22</v>
      </c>
      <c r="L1757" s="17" t="s">
        <v>23</v>
      </c>
      <c r="M1757" s="17" t="s">
        <v>63</v>
      </c>
      <c r="N1757" s="17">
        <v>844</v>
      </c>
      <c r="O1757" s="17">
        <v>231</v>
      </c>
      <c r="P1757" s="26">
        <f>(data[[#This Row],[LoadedMiles]]/data[[#This Row],[TotalMiles]])*100</f>
        <v>27.369668246445499</v>
      </c>
      <c r="Q1757" s="25">
        <f>data[[#This Row],[ShippingCost]]/data[[#This Row],[TotalMiles]]</f>
        <v>9.738151658767773</v>
      </c>
      <c r="R1757" s="17">
        <v>8219</v>
      </c>
      <c r="S1757" s="25">
        <f>data[[#This Row],[Revenue]]/data[[#This Row],[TotalMiles]]</f>
        <v>9.8862559241706158</v>
      </c>
      <c r="T1757" s="26">
        <f>data[[#This Row],[Revenue]]-data[[#This Row],[ShippingCost]]</f>
        <v>125</v>
      </c>
      <c r="U1757" s="17">
        <v>8344</v>
      </c>
      <c r="V1757" s="17">
        <v>80</v>
      </c>
      <c r="W1757" s="17" t="s">
        <v>25</v>
      </c>
      <c r="X1757" s="17">
        <v>10</v>
      </c>
      <c r="Y1757" s="17">
        <f>data[[#This Row],[DeliveryDate]]-data[[#This Row],[ShipDate]]</f>
        <v>1</v>
      </c>
      <c r="Z1757" s="17" t="str">
        <f>IF(data[[#This Row],[Actual Delivery Days]]&gt;AD1758,"Yes","No")</f>
        <v>Yes</v>
      </c>
    </row>
    <row r="1758" spans="1:26">
      <c r="A1758" s="17">
        <v>11500</v>
      </c>
      <c r="B1758" s="17">
        <v>3</v>
      </c>
      <c r="C1758" s="17">
        <v>5</v>
      </c>
      <c r="D1758" s="17" t="s">
        <v>96</v>
      </c>
      <c r="E1758" s="17" t="s">
        <v>610</v>
      </c>
      <c r="F1758" s="17" t="str">
        <f>TEXT(data[[#This Row],[ShipDate]],"yyyy - mmmm")</f>
        <v>2016 - June</v>
      </c>
      <c r="G1758" s="17" t="str">
        <f>data[[#This Row],[OriginCity]] &amp; " - "  &amp; data[[#This Row],[DestinationCity]]</f>
        <v>Milwaukee - Springfield</v>
      </c>
      <c r="H1758" s="17" t="s">
        <v>28</v>
      </c>
      <c r="I1758" s="17" t="s">
        <v>29</v>
      </c>
      <c r="J1758" s="17">
        <v>1</v>
      </c>
      <c r="K1758" s="17" t="s">
        <v>30</v>
      </c>
      <c r="L1758" s="17" t="s">
        <v>31</v>
      </c>
      <c r="M1758" s="17" t="s">
        <v>136</v>
      </c>
      <c r="N1758" s="17">
        <v>656</v>
      </c>
      <c r="O1758" s="17">
        <v>236</v>
      </c>
      <c r="P1758" s="26">
        <f>(data[[#This Row],[LoadedMiles]]/data[[#This Row],[TotalMiles]])*100</f>
        <v>35.975609756097562</v>
      </c>
      <c r="Q1758" s="25">
        <f>data[[#This Row],[ShippingCost]]/data[[#This Row],[TotalMiles]]</f>
        <v>10.588414634146341</v>
      </c>
      <c r="R1758" s="17">
        <v>6946</v>
      </c>
      <c r="S1758" s="25">
        <f>data[[#This Row],[Revenue]]/data[[#This Row],[TotalMiles]]</f>
        <v>11.135670731707316</v>
      </c>
      <c r="T1758" s="26">
        <f>data[[#This Row],[Revenue]]-data[[#This Row],[ShippingCost]]</f>
        <v>359</v>
      </c>
      <c r="U1758" s="17">
        <v>7305</v>
      </c>
      <c r="V1758" s="17">
        <v>91</v>
      </c>
      <c r="W1758" s="17" t="s">
        <v>25</v>
      </c>
      <c r="X1758" s="17">
        <v>8</v>
      </c>
      <c r="Y1758" s="17">
        <f>data[[#This Row],[DeliveryDate]]-data[[#This Row],[ShipDate]]</f>
        <v>1</v>
      </c>
      <c r="Z1758" s="17" t="str">
        <f>IF(data[[#This Row],[Actual Delivery Days]]&gt;AD1759,"Yes","No")</f>
        <v>Yes</v>
      </c>
    </row>
    <row r="1759" spans="1:26">
      <c r="A1759" s="17">
        <v>11509</v>
      </c>
      <c r="B1759" s="17">
        <v>2</v>
      </c>
      <c r="C1759" s="17">
        <v>1</v>
      </c>
      <c r="D1759" s="17" t="s">
        <v>126</v>
      </c>
      <c r="E1759" s="17" t="s">
        <v>179</v>
      </c>
      <c r="F1759" s="17" t="str">
        <f>TEXT(data[[#This Row],[ShipDate]],"yyyy - mmmm")</f>
        <v>2016 - July</v>
      </c>
      <c r="G1759" s="17" t="str">
        <f>data[[#This Row],[OriginCity]] &amp; " - "  &amp; data[[#This Row],[DestinationCity]]</f>
        <v>Green Bay - Joliet</v>
      </c>
      <c r="H1759" s="17" t="s">
        <v>75</v>
      </c>
      <c r="I1759" s="17" t="s">
        <v>29</v>
      </c>
      <c r="J1759" s="17">
        <v>1</v>
      </c>
      <c r="K1759" s="17" t="s">
        <v>61</v>
      </c>
      <c r="L1759" s="17" t="s">
        <v>31</v>
      </c>
      <c r="M1759" s="17" t="s">
        <v>540</v>
      </c>
      <c r="N1759" s="17">
        <v>866</v>
      </c>
      <c r="O1759" s="17">
        <v>342</v>
      </c>
      <c r="P1759" s="26">
        <f>(data[[#This Row],[LoadedMiles]]/data[[#This Row],[TotalMiles]])*100</f>
        <v>39.491916859122398</v>
      </c>
      <c r="Q1759" s="25">
        <f>data[[#This Row],[ShippingCost]]/data[[#This Row],[TotalMiles]]</f>
        <v>8.9018475750577366</v>
      </c>
      <c r="R1759" s="17">
        <v>7709</v>
      </c>
      <c r="S1759" s="25">
        <f>data[[#This Row],[Revenue]]/data[[#This Row],[TotalMiles]]</f>
        <v>14.374133949191686</v>
      </c>
      <c r="T1759" s="26">
        <f>data[[#This Row],[Revenue]]-data[[#This Row],[ShippingCost]]</f>
        <v>4739</v>
      </c>
      <c r="U1759" s="17">
        <v>12448</v>
      </c>
      <c r="V1759" s="17">
        <v>73</v>
      </c>
      <c r="W1759" s="17" t="s">
        <v>25</v>
      </c>
      <c r="X1759" s="17">
        <v>3</v>
      </c>
      <c r="Y1759" s="17">
        <f>data[[#This Row],[DeliveryDate]]-data[[#This Row],[ShipDate]]</f>
        <v>1</v>
      </c>
      <c r="Z1759" s="17" t="str">
        <f>IF(data[[#This Row],[Actual Delivery Days]]&gt;AD1760,"Yes","No")</f>
        <v>Yes</v>
      </c>
    </row>
    <row r="1760" spans="1:26">
      <c r="A1760" s="17">
        <v>11516</v>
      </c>
      <c r="B1760" s="17">
        <v>2</v>
      </c>
      <c r="C1760" s="17">
        <v>2</v>
      </c>
      <c r="D1760" s="17" t="s">
        <v>145</v>
      </c>
      <c r="E1760" s="17" t="s">
        <v>587</v>
      </c>
      <c r="F1760" s="17" t="str">
        <f>TEXT(data[[#This Row],[ShipDate]],"yyyy - mmmm")</f>
        <v>2016 - August</v>
      </c>
      <c r="G1760" s="17" t="str">
        <f>data[[#This Row],[OriginCity]] &amp; " - "  &amp; data[[#This Row],[DestinationCity]]</f>
        <v>Lansing - Dayton</v>
      </c>
      <c r="H1760" s="17" t="s">
        <v>66</v>
      </c>
      <c r="I1760" s="17" t="s">
        <v>21</v>
      </c>
      <c r="J1760" s="17">
        <v>1</v>
      </c>
      <c r="K1760" s="17" t="s">
        <v>93</v>
      </c>
      <c r="L1760" s="17" t="s">
        <v>23</v>
      </c>
      <c r="M1760" s="17" t="s">
        <v>34</v>
      </c>
      <c r="N1760" s="17">
        <v>609</v>
      </c>
      <c r="O1760" s="17">
        <v>609</v>
      </c>
      <c r="P1760" s="26">
        <f>(data[[#This Row],[LoadedMiles]]/data[[#This Row],[TotalMiles]])*100</f>
        <v>100</v>
      </c>
      <c r="Q1760" s="25">
        <f>data[[#This Row],[ShippingCost]]/data[[#This Row],[TotalMiles]]</f>
        <v>1.8013136288998357</v>
      </c>
      <c r="R1760" s="17">
        <v>1097</v>
      </c>
      <c r="S1760" s="25">
        <f>data[[#This Row],[Revenue]]/data[[#This Row],[TotalMiles]]</f>
        <v>3.1461412151067325</v>
      </c>
      <c r="T1760" s="26">
        <f>data[[#This Row],[Revenue]]-data[[#This Row],[ShippingCost]]</f>
        <v>819</v>
      </c>
      <c r="U1760" s="17">
        <v>1916</v>
      </c>
      <c r="V1760" s="17">
        <v>85</v>
      </c>
      <c r="W1760" s="17" t="s">
        <v>86</v>
      </c>
      <c r="X1760" s="17">
        <v>6</v>
      </c>
      <c r="Y1760" s="17">
        <f>data[[#This Row],[DeliveryDate]]-data[[#This Row],[ShipDate]]</f>
        <v>1</v>
      </c>
      <c r="Z1760" s="17" t="str">
        <f>IF(data[[#This Row],[Actual Delivery Days]]&gt;AD1761,"Yes","No")</f>
        <v>Yes</v>
      </c>
    </row>
    <row r="1761" spans="1:26">
      <c r="A1761" s="17">
        <v>11528</v>
      </c>
      <c r="B1761" s="17">
        <v>3</v>
      </c>
      <c r="C1761" s="17">
        <v>3</v>
      </c>
      <c r="D1761" s="17" t="s">
        <v>175</v>
      </c>
      <c r="E1761" s="17" t="s">
        <v>236</v>
      </c>
      <c r="F1761" s="17" t="str">
        <f>TEXT(data[[#This Row],[ShipDate]],"yyyy - mmmm")</f>
        <v>2016 - January</v>
      </c>
      <c r="G1761" s="17" t="str">
        <f>data[[#This Row],[OriginCity]] &amp; " - "  &amp; data[[#This Row],[DestinationCity]]</f>
        <v>Detriot - Monon</v>
      </c>
      <c r="H1761" s="17" t="s">
        <v>52</v>
      </c>
      <c r="I1761" s="17" t="s">
        <v>21</v>
      </c>
      <c r="J1761" s="17">
        <v>1</v>
      </c>
      <c r="K1761" s="17" t="s">
        <v>53</v>
      </c>
      <c r="L1761" s="17" t="s">
        <v>44</v>
      </c>
      <c r="M1761" s="17" t="s">
        <v>166</v>
      </c>
      <c r="N1761" s="17">
        <v>885</v>
      </c>
      <c r="O1761" s="17">
        <v>241</v>
      </c>
      <c r="P1761" s="26">
        <f>(data[[#This Row],[LoadedMiles]]/data[[#This Row],[TotalMiles]])*100</f>
        <v>27.231638418079097</v>
      </c>
      <c r="Q1761" s="25">
        <f>data[[#This Row],[ShippingCost]]/data[[#This Row],[TotalMiles]]</f>
        <v>3.6372881355932205</v>
      </c>
      <c r="R1761" s="17">
        <v>3219</v>
      </c>
      <c r="S1761" s="25">
        <f>data[[#This Row],[Revenue]]/data[[#This Row],[TotalMiles]]</f>
        <v>4.7604519774011296</v>
      </c>
      <c r="T1761" s="26">
        <f>data[[#This Row],[Revenue]]-data[[#This Row],[ShippingCost]]</f>
        <v>994</v>
      </c>
      <c r="U1761" s="17">
        <v>4213</v>
      </c>
      <c r="V1761" s="17">
        <v>82</v>
      </c>
      <c r="W1761" s="17" t="s">
        <v>25</v>
      </c>
      <c r="X1761" s="17">
        <v>1</v>
      </c>
      <c r="Y1761" s="17">
        <f>data[[#This Row],[DeliveryDate]]-data[[#This Row],[ShipDate]]</f>
        <v>1</v>
      </c>
      <c r="Z1761" s="17" t="str">
        <f>IF(data[[#This Row],[Actual Delivery Days]]&gt;AD1762,"Yes","No")</f>
        <v>Yes</v>
      </c>
    </row>
    <row r="1762" spans="1:26">
      <c r="A1762" s="17">
        <v>11536</v>
      </c>
      <c r="B1762" s="17">
        <v>3</v>
      </c>
      <c r="C1762" s="17">
        <v>6</v>
      </c>
      <c r="D1762" s="17" t="s">
        <v>194</v>
      </c>
      <c r="E1762" s="17" t="s">
        <v>183</v>
      </c>
      <c r="F1762" s="17" t="str">
        <f>TEXT(data[[#This Row],[ShipDate]],"yyyy - mmmm")</f>
        <v>2016 - July</v>
      </c>
      <c r="G1762" s="17" t="str">
        <f>data[[#This Row],[OriginCity]] &amp; " - "  &amp; data[[#This Row],[DestinationCity]]</f>
        <v>Appleton - Grand Rapids</v>
      </c>
      <c r="H1762" s="17" t="s">
        <v>85</v>
      </c>
      <c r="I1762" s="17" t="s">
        <v>29</v>
      </c>
      <c r="J1762" s="17">
        <v>1</v>
      </c>
      <c r="K1762" s="17" t="s">
        <v>20</v>
      </c>
      <c r="L1762" s="17" t="s">
        <v>21</v>
      </c>
      <c r="M1762" s="17" t="s">
        <v>149</v>
      </c>
      <c r="N1762" s="17">
        <v>432</v>
      </c>
      <c r="O1762" s="17">
        <v>421</v>
      </c>
      <c r="P1762" s="26">
        <f>(data[[#This Row],[LoadedMiles]]/data[[#This Row],[TotalMiles]])*100</f>
        <v>97.453703703703709</v>
      </c>
      <c r="Q1762" s="25">
        <f>data[[#This Row],[ShippingCost]]/data[[#This Row],[TotalMiles]]</f>
        <v>13.715277777777779</v>
      </c>
      <c r="R1762" s="17">
        <v>5925</v>
      </c>
      <c r="S1762" s="25">
        <f>data[[#This Row],[Revenue]]/data[[#This Row],[TotalMiles]]</f>
        <v>14.664351851851851</v>
      </c>
      <c r="T1762" s="26">
        <f>data[[#This Row],[Revenue]]-data[[#This Row],[ShippingCost]]</f>
        <v>410</v>
      </c>
      <c r="U1762" s="17">
        <v>6335</v>
      </c>
      <c r="V1762" s="17">
        <v>56</v>
      </c>
      <c r="W1762" s="17" t="s">
        <v>86</v>
      </c>
      <c r="X1762" s="17">
        <v>7</v>
      </c>
      <c r="Y1762" s="17">
        <f>data[[#This Row],[DeliveryDate]]-data[[#This Row],[ShipDate]]</f>
        <v>1</v>
      </c>
      <c r="Z1762" s="17" t="str">
        <f>IF(data[[#This Row],[Actual Delivery Days]]&gt;AD1763,"Yes","No")</f>
        <v>Yes</v>
      </c>
    </row>
    <row r="1763" spans="1:26">
      <c r="A1763" s="17">
        <v>11542</v>
      </c>
      <c r="B1763" s="17">
        <v>3</v>
      </c>
      <c r="C1763" s="17">
        <v>2</v>
      </c>
      <c r="D1763" s="17" t="s">
        <v>208</v>
      </c>
      <c r="E1763" s="17" t="s">
        <v>332</v>
      </c>
      <c r="F1763" s="17" t="str">
        <f>TEXT(data[[#This Row],[ShipDate]],"yyyy - mmmm")</f>
        <v>2016 - February</v>
      </c>
      <c r="G1763" s="17" t="str">
        <f>data[[#This Row],[OriginCity]] &amp; " - "  &amp; data[[#This Row],[DestinationCity]]</f>
        <v>Elgin - Cincinnati</v>
      </c>
      <c r="H1763" s="17" t="s">
        <v>94</v>
      </c>
      <c r="I1763" s="17" t="s">
        <v>31</v>
      </c>
      <c r="J1763" s="17">
        <v>1</v>
      </c>
      <c r="K1763" s="17" t="s">
        <v>89</v>
      </c>
      <c r="L1763" s="17" t="s">
        <v>23</v>
      </c>
      <c r="M1763" s="17" t="s">
        <v>332</v>
      </c>
      <c r="N1763" s="17">
        <v>318</v>
      </c>
      <c r="O1763" s="17">
        <v>318</v>
      </c>
      <c r="P1763" s="26">
        <f>(data[[#This Row],[LoadedMiles]]/data[[#This Row],[TotalMiles]])*100</f>
        <v>100</v>
      </c>
      <c r="Q1763" s="25">
        <f>data[[#This Row],[ShippingCost]]/data[[#This Row],[TotalMiles]]</f>
        <v>24.474842767295598</v>
      </c>
      <c r="R1763" s="17">
        <v>7783</v>
      </c>
      <c r="S1763" s="25">
        <f>data[[#This Row],[Revenue]]/data[[#This Row],[TotalMiles]]</f>
        <v>26.786163522012579</v>
      </c>
      <c r="T1763" s="26">
        <f>data[[#This Row],[Revenue]]-data[[#This Row],[ShippingCost]]</f>
        <v>735</v>
      </c>
      <c r="U1763" s="17">
        <v>8518</v>
      </c>
      <c r="V1763" s="17">
        <v>87</v>
      </c>
      <c r="W1763" s="17" t="s">
        <v>25</v>
      </c>
      <c r="X1763" s="17">
        <v>10</v>
      </c>
      <c r="Y1763" s="17">
        <f>data[[#This Row],[DeliveryDate]]-data[[#This Row],[ShipDate]]</f>
        <v>0</v>
      </c>
      <c r="Z1763" s="17" t="str">
        <f>IF(data[[#This Row],[Actual Delivery Days]]&gt;AD1764,"Yes","No")</f>
        <v>No</v>
      </c>
    </row>
    <row r="1764" spans="1:26">
      <c r="A1764" s="17">
        <v>11545</v>
      </c>
      <c r="B1764" s="17">
        <v>2</v>
      </c>
      <c r="C1764" s="17">
        <v>2</v>
      </c>
      <c r="D1764" s="17" t="s">
        <v>215</v>
      </c>
      <c r="E1764" s="17" t="s">
        <v>449</v>
      </c>
      <c r="F1764" s="17" t="str">
        <f>TEXT(data[[#This Row],[ShipDate]],"yyyy - mmmm")</f>
        <v>2016 - March</v>
      </c>
      <c r="G1764" s="17" t="str">
        <f>data[[#This Row],[OriginCity]] &amp; " - "  &amp; data[[#This Row],[DestinationCity]]</f>
        <v>Davenport - Appleton</v>
      </c>
      <c r="H1764" s="17" t="s">
        <v>105</v>
      </c>
      <c r="I1764" s="17" t="s">
        <v>106</v>
      </c>
      <c r="J1764" s="17">
        <v>1</v>
      </c>
      <c r="K1764" s="17" t="s">
        <v>85</v>
      </c>
      <c r="L1764" s="17" t="s">
        <v>29</v>
      </c>
      <c r="M1764" s="17" t="s">
        <v>274</v>
      </c>
      <c r="N1764" s="17">
        <v>573</v>
      </c>
      <c r="O1764" s="17">
        <v>573</v>
      </c>
      <c r="P1764" s="26">
        <f>(data[[#This Row],[LoadedMiles]]/data[[#This Row],[TotalMiles]])*100</f>
        <v>100</v>
      </c>
      <c r="Q1764" s="25">
        <f>data[[#This Row],[ShippingCost]]/data[[#This Row],[TotalMiles]]</f>
        <v>4.1239092495636998</v>
      </c>
      <c r="R1764" s="17">
        <v>2363</v>
      </c>
      <c r="S1764" s="25">
        <f>data[[#This Row],[Revenue]]/data[[#This Row],[TotalMiles]]</f>
        <v>4.8987783595113434</v>
      </c>
      <c r="T1764" s="26">
        <f>data[[#This Row],[Revenue]]-data[[#This Row],[ShippingCost]]</f>
        <v>444</v>
      </c>
      <c r="U1764" s="17">
        <v>2807</v>
      </c>
      <c r="V1764" s="17">
        <v>66</v>
      </c>
      <c r="W1764" s="17" t="s">
        <v>25</v>
      </c>
      <c r="X1764" s="17">
        <v>1</v>
      </c>
      <c r="Y1764" s="17">
        <f>data[[#This Row],[DeliveryDate]]-data[[#This Row],[ShipDate]]</f>
        <v>1</v>
      </c>
      <c r="Z1764" s="17" t="str">
        <f>IF(data[[#This Row],[Actual Delivery Days]]&gt;AD1765,"Yes","No")</f>
        <v>Yes</v>
      </c>
    </row>
    <row r="1765" spans="1:26">
      <c r="A1765" s="17">
        <v>11547</v>
      </c>
      <c r="B1765" s="17">
        <v>3</v>
      </c>
      <c r="C1765" s="17">
        <v>2</v>
      </c>
      <c r="D1765" s="17" t="s">
        <v>220</v>
      </c>
      <c r="E1765" s="17" t="s">
        <v>608</v>
      </c>
      <c r="F1765" s="17" t="str">
        <f>TEXT(data[[#This Row],[ShipDate]],"yyyy - mmmm")</f>
        <v>2016 - July</v>
      </c>
      <c r="G1765" s="17" t="str">
        <f>data[[#This Row],[OriginCity]] &amp; " - "  &amp; data[[#This Row],[DestinationCity]]</f>
        <v>Springfield - Skokie</v>
      </c>
      <c r="H1765" s="17" t="s">
        <v>30</v>
      </c>
      <c r="I1765" s="17" t="s">
        <v>31</v>
      </c>
      <c r="J1765" s="17">
        <v>1</v>
      </c>
      <c r="K1765" s="17" t="s">
        <v>35</v>
      </c>
      <c r="L1765" s="17" t="s">
        <v>31</v>
      </c>
      <c r="M1765" s="17" t="s">
        <v>191</v>
      </c>
      <c r="N1765" s="17">
        <v>971</v>
      </c>
      <c r="O1765" s="17">
        <v>446</v>
      </c>
      <c r="P1765" s="26">
        <f>(data[[#This Row],[LoadedMiles]]/data[[#This Row],[TotalMiles]])*100</f>
        <v>45.932028836251284</v>
      </c>
      <c r="Q1765" s="25">
        <f>data[[#This Row],[ShippingCost]]/data[[#This Row],[TotalMiles]]</f>
        <v>8.7929969104016479</v>
      </c>
      <c r="R1765" s="17">
        <v>8538</v>
      </c>
      <c r="S1765" s="25">
        <f>data[[#This Row],[Revenue]]/data[[#This Row],[TotalMiles]]</f>
        <v>9.1318228630278071</v>
      </c>
      <c r="T1765" s="26">
        <f>data[[#This Row],[Revenue]]-data[[#This Row],[ShippingCost]]</f>
        <v>329</v>
      </c>
      <c r="U1765" s="17">
        <v>8867</v>
      </c>
      <c r="V1765" s="17">
        <v>80</v>
      </c>
      <c r="W1765" s="17" t="s">
        <v>25</v>
      </c>
      <c r="X1765" s="17">
        <v>2</v>
      </c>
      <c r="Y1765" s="17">
        <f>data[[#This Row],[DeliveryDate]]-data[[#This Row],[ShipDate]]</f>
        <v>1</v>
      </c>
      <c r="Z1765" s="17" t="str">
        <f>IF(data[[#This Row],[Actual Delivery Days]]&gt;AD1766,"Yes","No")</f>
        <v>Yes</v>
      </c>
    </row>
    <row r="1766" spans="1:26">
      <c r="A1766" s="17">
        <v>11582</v>
      </c>
      <c r="B1766" s="17">
        <v>3</v>
      </c>
      <c r="C1766" s="17">
        <v>4</v>
      </c>
      <c r="D1766" s="17" t="s">
        <v>300</v>
      </c>
      <c r="E1766" s="17" t="s">
        <v>56</v>
      </c>
      <c r="F1766" s="17" t="str">
        <f>TEXT(data[[#This Row],[ShipDate]],"yyyy - mmmm")</f>
        <v>2016 - May</v>
      </c>
      <c r="G1766" s="17" t="str">
        <f>data[[#This Row],[OriginCity]] &amp; " - "  &amp; data[[#This Row],[DestinationCity]]</f>
        <v>Lansing - Dayton</v>
      </c>
      <c r="H1766" s="17" t="s">
        <v>66</v>
      </c>
      <c r="I1766" s="17" t="s">
        <v>21</v>
      </c>
      <c r="J1766" s="17">
        <v>1</v>
      </c>
      <c r="K1766" s="17" t="s">
        <v>93</v>
      </c>
      <c r="L1766" s="17" t="s">
        <v>23</v>
      </c>
      <c r="M1766" s="17" t="s">
        <v>312</v>
      </c>
      <c r="N1766" s="17">
        <v>398</v>
      </c>
      <c r="O1766" s="17">
        <v>376</v>
      </c>
      <c r="P1766" s="26">
        <f>(data[[#This Row],[LoadedMiles]]/data[[#This Row],[TotalMiles]])*100</f>
        <v>94.472361809045225</v>
      </c>
      <c r="Q1766" s="25">
        <f>data[[#This Row],[ShippingCost]]/data[[#This Row],[TotalMiles]]</f>
        <v>11.942211055276381</v>
      </c>
      <c r="R1766" s="17">
        <v>4753</v>
      </c>
      <c r="S1766" s="25">
        <f>data[[#This Row],[Revenue]]/data[[#This Row],[TotalMiles]]</f>
        <v>8.4974874371859297</v>
      </c>
      <c r="T1766" s="26">
        <f>data[[#This Row],[Revenue]]-data[[#This Row],[ShippingCost]]</f>
        <v>-1371</v>
      </c>
      <c r="U1766" s="17">
        <v>3382</v>
      </c>
      <c r="V1766" s="17">
        <v>58</v>
      </c>
      <c r="W1766" s="17" t="s">
        <v>25</v>
      </c>
      <c r="X1766" s="17">
        <v>9</v>
      </c>
      <c r="Y1766" s="17">
        <f>data[[#This Row],[DeliveryDate]]-data[[#This Row],[ShipDate]]</f>
        <v>1</v>
      </c>
      <c r="Z1766" s="17" t="str">
        <f>IF(data[[#This Row],[Actual Delivery Days]]&gt;AD1767,"Yes","No")</f>
        <v>Yes</v>
      </c>
    </row>
    <row r="1767" spans="1:26">
      <c r="A1767" s="17">
        <v>11583</v>
      </c>
      <c r="B1767" s="17">
        <v>2</v>
      </c>
      <c r="C1767" s="17">
        <v>3</v>
      </c>
      <c r="D1767" s="17" t="s">
        <v>303</v>
      </c>
      <c r="E1767" s="17" t="s">
        <v>227</v>
      </c>
      <c r="F1767" s="17" t="str">
        <f>TEXT(data[[#This Row],[ShipDate]],"yyyy - mmmm")</f>
        <v>2016 - May</v>
      </c>
      <c r="G1767" s="17" t="str">
        <f>data[[#This Row],[OriginCity]] &amp; " - "  &amp; data[[#This Row],[DestinationCity]]</f>
        <v>Bangor - Davenport</v>
      </c>
      <c r="H1767" s="17" t="s">
        <v>104</v>
      </c>
      <c r="I1767" s="17" t="s">
        <v>21</v>
      </c>
      <c r="J1767" s="17">
        <v>1</v>
      </c>
      <c r="K1767" s="17" t="s">
        <v>105</v>
      </c>
      <c r="L1767" s="17" t="s">
        <v>106</v>
      </c>
      <c r="M1767" s="17" t="s">
        <v>218</v>
      </c>
      <c r="N1767" s="17">
        <v>947</v>
      </c>
      <c r="O1767" s="17">
        <v>643</v>
      </c>
      <c r="P1767" s="26">
        <f>(data[[#This Row],[LoadedMiles]]/data[[#This Row],[TotalMiles]])*100</f>
        <v>67.898627243928189</v>
      </c>
      <c r="Q1767" s="25">
        <f>data[[#This Row],[ShippingCost]]/data[[#This Row],[TotalMiles]]</f>
        <v>8.3210137275607181</v>
      </c>
      <c r="R1767" s="17">
        <v>7880</v>
      </c>
      <c r="S1767" s="25">
        <f>data[[#This Row],[Revenue]]/data[[#This Row],[TotalMiles]]</f>
        <v>9.3051742344244985</v>
      </c>
      <c r="T1767" s="26">
        <f>data[[#This Row],[Revenue]]-data[[#This Row],[ShippingCost]]</f>
        <v>932</v>
      </c>
      <c r="U1767" s="17">
        <v>8812</v>
      </c>
      <c r="V1767" s="17">
        <v>53</v>
      </c>
      <c r="W1767" s="17" t="s">
        <v>25</v>
      </c>
      <c r="X1767" s="17">
        <v>8</v>
      </c>
      <c r="Y1767" s="17">
        <f>data[[#This Row],[DeliveryDate]]-data[[#This Row],[ShipDate]]</f>
        <v>1</v>
      </c>
      <c r="Z1767" s="17" t="str">
        <f>IF(data[[#This Row],[Actual Delivery Days]]&gt;AD1768,"Yes","No")</f>
        <v>Yes</v>
      </c>
    </row>
    <row r="1768" spans="1:26">
      <c r="A1768" s="17">
        <v>11584</v>
      </c>
      <c r="B1768" s="17">
        <v>3</v>
      </c>
      <c r="C1768" s="17">
        <v>1</v>
      </c>
      <c r="D1768" s="17" t="s">
        <v>305</v>
      </c>
      <c r="E1768" s="17" t="s">
        <v>350</v>
      </c>
      <c r="F1768" s="17" t="str">
        <f>TEXT(data[[#This Row],[ShipDate]],"yyyy - mmmm")</f>
        <v>2016 - May</v>
      </c>
      <c r="G1768" s="17" t="str">
        <f>data[[#This Row],[OriginCity]] &amp; " - "  &amp; data[[#This Row],[DestinationCity]]</f>
        <v>Elgin - Cincinnati</v>
      </c>
      <c r="H1768" s="17" t="s">
        <v>94</v>
      </c>
      <c r="I1768" s="17" t="s">
        <v>31</v>
      </c>
      <c r="J1768" s="17">
        <v>1</v>
      </c>
      <c r="K1768" s="17" t="s">
        <v>89</v>
      </c>
      <c r="L1768" s="17" t="s">
        <v>23</v>
      </c>
      <c r="M1768" s="17" t="s">
        <v>350</v>
      </c>
      <c r="N1768" s="17">
        <v>941</v>
      </c>
      <c r="O1768" s="17">
        <v>263</v>
      </c>
      <c r="P1768" s="26">
        <f>(data[[#This Row],[LoadedMiles]]/data[[#This Row],[TotalMiles]])*100</f>
        <v>27.948990435706694</v>
      </c>
      <c r="Q1768" s="25">
        <f>data[[#This Row],[ShippingCost]]/data[[#This Row],[TotalMiles]]</f>
        <v>5.0977683315621682</v>
      </c>
      <c r="R1768" s="17">
        <v>4797</v>
      </c>
      <c r="S1768" s="25">
        <f>data[[#This Row],[Revenue]]/data[[#This Row],[TotalMiles]]</f>
        <v>11.171094580233794</v>
      </c>
      <c r="T1768" s="26">
        <f>data[[#This Row],[Revenue]]-data[[#This Row],[ShippingCost]]</f>
        <v>5715</v>
      </c>
      <c r="U1768" s="17">
        <v>10512</v>
      </c>
      <c r="V1768" s="17">
        <v>70</v>
      </c>
      <c r="W1768" s="17" t="s">
        <v>25</v>
      </c>
      <c r="X1768" s="17">
        <v>9</v>
      </c>
      <c r="Y1768" s="17">
        <f>data[[#This Row],[DeliveryDate]]-data[[#This Row],[ShipDate]]</f>
        <v>0</v>
      </c>
      <c r="Z1768" s="17" t="str">
        <f>IF(data[[#This Row],[Actual Delivery Days]]&gt;AD1769,"Yes","No")</f>
        <v>No</v>
      </c>
    </row>
    <row r="1769" spans="1:26">
      <c r="A1769" s="17">
        <v>11597</v>
      </c>
      <c r="B1769" s="17">
        <v>2</v>
      </c>
      <c r="C1769" s="17">
        <v>2</v>
      </c>
      <c r="D1769" s="17" t="s">
        <v>330</v>
      </c>
      <c r="E1769" s="17" t="s">
        <v>229</v>
      </c>
      <c r="F1769" s="17" t="str">
        <f>TEXT(data[[#This Row],[ShipDate]],"yyyy - mmmm")</f>
        <v>2016 - January</v>
      </c>
      <c r="G1769" s="17" t="str">
        <f>data[[#This Row],[OriginCity]] &amp; " - "  &amp; data[[#This Row],[DestinationCity]]</f>
        <v>Naperville - Indianapolis</v>
      </c>
      <c r="H1769" s="17" t="s">
        <v>48</v>
      </c>
      <c r="I1769" s="17" t="s">
        <v>31</v>
      </c>
      <c r="J1769" s="17">
        <v>1</v>
      </c>
      <c r="K1769" s="17" t="s">
        <v>43</v>
      </c>
      <c r="L1769" s="17" t="s">
        <v>44</v>
      </c>
      <c r="M1769" s="17" t="s">
        <v>394</v>
      </c>
      <c r="N1769" s="17">
        <v>496</v>
      </c>
      <c r="O1769" s="17">
        <v>496</v>
      </c>
      <c r="P1769" s="26">
        <f>(data[[#This Row],[LoadedMiles]]/data[[#This Row],[TotalMiles]])*100</f>
        <v>100</v>
      </c>
      <c r="Q1769" s="25">
        <f>data[[#This Row],[ShippingCost]]/data[[#This Row],[TotalMiles]]</f>
        <v>7.096774193548387</v>
      </c>
      <c r="R1769" s="17">
        <v>3520</v>
      </c>
      <c r="S1769" s="25">
        <f>data[[#This Row],[Revenue]]/data[[#This Row],[TotalMiles]]</f>
        <v>8.875</v>
      </c>
      <c r="T1769" s="26">
        <f>data[[#This Row],[Revenue]]-data[[#This Row],[ShippingCost]]</f>
        <v>882</v>
      </c>
      <c r="U1769" s="17">
        <v>4402</v>
      </c>
      <c r="V1769" s="17">
        <v>56</v>
      </c>
      <c r="W1769" s="17" t="s">
        <v>25</v>
      </c>
      <c r="X1769" s="17">
        <v>5</v>
      </c>
      <c r="Y1769" s="17">
        <f>data[[#This Row],[DeliveryDate]]-data[[#This Row],[ShipDate]]</f>
        <v>2</v>
      </c>
      <c r="Z1769" s="17" t="str">
        <f>IF(data[[#This Row],[Actual Delivery Days]]&gt;AD1770,"Yes","No")</f>
        <v>Yes</v>
      </c>
    </row>
    <row r="1770" spans="1:26">
      <c r="A1770" s="17">
        <v>11611</v>
      </c>
      <c r="B1770" s="17">
        <v>2</v>
      </c>
      <c r="C1770" s="17">
        <v>4</v>
      </c>
      <c r="D1770" s="17" t="s">
        <v>357</v>
      </c>
      <c r="E1770" s="17" t="s">
        <v>611</v>
      </c>
      <c r="F1770" s="17" t="str">
        <f>TEXT(data[[#This Row],[ShipDate]],"yyyy - mmmm")</f>
        <v>2016 - February</v>
      </c>
      <c r="G1770" s="17" t="str">
        <f>data[[#This Row],[OriginCity]] &amp; " - "  &amp; data[[#This Row],[DestinationCity]]</f>
        <v>Indianapolis - Northbrook</v>
      </c>
      <c r="H1770" s="17" t="s">
        <v>43</v>
      </c>
      <c r="I1770" s="17" t="s">
        <v>44</v>
      </c>
      <c r="J1770" s="17">
        <v>1</v>
      </c>
      <c r="K1770" s="17" t="s">
        <v>45</v>
      </c>
      <c r="L1770" s="17" t="s">
        <v>31</v>
      </c>
      <c r="M1770" s="17" t="s">
        <v>611</v>
      </c>
      <c r="N1770" s="17">
        <v>265</v>
      </c>
      <c r="O1770" s="17">
        <v>265</v>
      </c>
      <c r="P1770" s="26">
        <f>(data[[#This Row],[LoadedMiles]]/data[[#This Row],[TotalMiles]])*100</f>
        <v>100</v>
      </c>
      <c r="Q1770" s="25">
        <f>data[[#This Row],[ShippingCost]]/data[[#This Row],[TotalMiles]]</f>
        <v>25.550943396226415</v>
      </c>
      <c r="R1770" s="17">
        <v>6771</v>
      </c>
      <c r="S1770" s="25">
        <f>data[[#This Row],[Revenue]]/data[[#This Row],[TotalMiles]]</f>
        <v>15.611320754716981</v>
      </c>
      <c r="T1770" s="26">
        <f>data[[#This Row],[Revenue]]-data[[#This Row],[ShippingCost]]</f>
        <v>-2634</v>
      </c>
      <c r="U1770" s="17">
        <v>4137</v>
      </c>
      <c r="V1770" s="17">
        <v>71</v>
      </c>
      <c r="W1770" s="17" t="s">
        <v>25</v>
      </c>
      <c r="X1770" s="17">
        <v>1</v>
      </c>
      <c r="Y1770" s="17">
        <f>data[[#This Row],[DeliveryDate]]-data[[#This Row],[ShipDate]]</f>
        <v>0</v>
      </c>
      <c r="Z1770" s="17" t="str">
        <f>IF(data[[#This Row],[Actual Delivery Days]]&gt;AD1771,"Yes","No")</f>
        <v>No</v>
      </c>
    </row>
    <row r="1771" spans="1:26">
      <c r="A1771" s="17">
        <v>11612</v>
      </c>
      <c r="B1771" s="17">
        <v>3</v>
      </c>
      <c r="C1771" s="17">
        <v>4</v>
      </c>
      <c r="D1771" s="17" t="s">
        <v>360</v>
      </c>
      <c r="E1771" s="17" t="s">
        <v>136</v>
      </c>
      <c r="F1771" s="17" t="str">
        <f>TEXT(data[[#This Row],[ShipDate]],"yyyy - mmmm")</f>
        <v>2016 - June</v>
      </c>
      <c r="G1771" s="17" t="str">
        <f>data[[#This Row],[OriginCity]] &amp; " - "  &amp; data[[#This Row],[DestinationCity]]</f>
        <v>Detriot - Monon</v>
      </c>
      <c r="H1771" s="17" t="s">
        <v>52</v>
      </c>
      <c r="I1771" s="17" t="s">
        <v>21</v>
      </c>
      <c r="J1771" s="17">
        <v>1</v>
      </c>
      <c r="K1771" s="17" t="s">
        <v>53</v>
      </c>
      <c r="L1771" s="17" t="s">
        <v>44</v>
      </c>
      <c r="M1771" s="17" t="s">
        <v>617</v>
      </c>
      <c r="N1771" s="17">
        <v>219</v>
      </c>
      <c r="O1771" s="17">
        <v>219</v>
      </c>
      <c r="P1771" s="26">
        <f>(data[[#This Row],[LoadedMiles]]/data[[#This Row],[TotalMiles]])*100</f>
        <v>100</v>
      </c>
      <c r="Q1771" s="25">
        <f>data[[#This Row],[ShippingCost]]/data[[#This Row],[TotalMiles]]</f>
        <v>17.30593607305936</v>
      </c>
      <c r="R1771" s="17">
        <v>3790</v>
      </c>
      <c r="S1771" s="25">
        <f>data[[#This Row],[Revenue]]/data[[#This Row],[TotalMiles]]</f>
        <v>9.5662100456620998</v>
      </c>
      <c r="T1771" s="26">
        <f>data[[#This Row],[Revenue]]-data[[#This Row],[ShippingCost]]</f>
        <v>-1695</v>
      </c>
      <c r="U1771" s="17">
        <v>2095</v>
      </c>
      <c r="V1771" s="17">
        <v>85</v>
      </c>
      <c r="W1771" s="17" t="s">
        <v>25</v>
      </c>
      <c r="X1771" s="17">
        <v>1</v>
      </c>
      <c r="Y1771" s="17">
        <f>data[[#This Row],[DeliveryDate]]-data[[#This Row],[ShipDate]]</f>
        <v>1</v>
      </c>
      <c r="Z1771" s="17" t="str">
        <f>IF(data[[#This Row],[Actual Delivery Days]]&gt;AD1772,"Yes","No")</f>
        <v>Yes</v>
      </c>
    </row>
    <row r="1772" spans="1:26">
      <c r="A1772" s="17">
        <v>11626</v>
      </c>
      <c r="B1772" s="17">
        <v>3</v>
      </c>
      <c r="C1772" s="17">
        <v>1</v>
      </c>
      <c r="D1772" s="17" t="s">
        <v>383</v>
      </c>
      <c r="E1772" s="17" t="s">
        <v>221</v>
      </c>
      <c r="F1772" s="17" t="str">
        <f>TEXT(data[[#This Row],[ShipDate]],"yyyy - mmmm")</f>
        <v>2016 - April</v>
      </c>
      <c r="G1772" s="17" t="str">
        <f>data[[#This Row],[OriginCity]] &amp; " - "  &amp; data[[#This Row],[DestinationCity]]</f>
        <v>Skokie - Chicago</v>
      </c>
      <c r="H1772" s="17" t="s">
        <v>35</v>
      </c>
      <c r="I1772" s="17" t="s">
        <v>31</v>
      </c>
      <c r="J1772" s="17">
        <v>1</v>
      </c>
      <c r="K1772" s="17" t="s">
        <v>39</v>
      </c>
      <c r="L1772" s="17" t="s">
        <v>31</v>
      </c>
      <c r="M1772" s="17" t="s">
        <v>623</v>
      </c>
      <c r="N1772" s="17">
        <v>406</v>
      </c>
      <c r="O1772" s="17">
        <v>406</v>
      </c>
      <c r="P1772" s="26">
        <f>(data[[#This Row],[LoadedMiles]]/data[[#This Row],[TotalMiles]])*100</f>
        <v>100</v>
      </c>
      <c r="Q1772" s="25">
        <f>data[[#This Row],[ShippingCost]]/data[[#This Row],[TotalMiles]]</f>
        <v>19.884236453201972</v>
      </c>
      <c r="R1772" s="17">
        <v>8073</v>
      </c>
      <c r="S1772" s="25">
        <f>data[[#This Row],[Revenue]]/data[[#This Row],[TotalMiles]]</f>
        <v>31.137931034482758</v>
      </c>
      <c r="T1772" s="26">
        <f>data[[#This Row],[Revenue]]-data[[#This Row],[ShippingCost]]</f>
        <v>4569</v>
      </c>
      <c r="U1772" s="17">
        <v>12642</v>
      </c>
      <c r="V1772" s="17">
        <v>74</v>
      </c>
      <c r="W1772" s="17" t="s">
        <v>25</v>
      </c>
      <c r="X1772" s="17">
        <v>8</v>
      </c>
      <c r="Y1772" s="17">
        <f>data[[#This Row],[DeliveryDate]]-data[[#This Row],[ShipDate]]</f>
        <v>1</v>
      </c>
      <c r="Z1772" s="17" t="str">
        <f>IF(data[[#This Row],[Actual Delivery Days]]&gt;AD1773,"Yes","No")</f>
        <v>Yes</v>
      </c>
    </row>
    <row r="1773" spans="1:26">
      <c r="A1773" s="17">
        <v>11634</v>
      </c>
      <c r="B1773" s="17">
        <v>3</v>
      </c>
      <c r="C1773" s="17">
        <v>6</v>
      </c>
      <c r="D1773" s="17" t="s">
        <v>395</v>
      </c>
      <c r="E1773" s="17" t="s">
        <v>404</v>
      </c>
      <c r="F1773" s="17" t="str">
        <f>TEXT(data[[#This Row],[ShipDate]],"yyyy - mmmm")</f>
        <v>2016 - July</v>
      </c>
      <c r="G1773" s="17" t="str">
        <f>data[[#This Row],[OriginCity]] &amp; " - "  &amp; data[[#This Row],[DestinationCity]]</f>
        <v>Northbrook - Naperville</v>
      </c>
      <c r="H1773" s="17" t="s">
        <v>45</v>
      </c>
      <c r="I1773" s="17" t="s">
        <v>31</v>
      </c>
      <c r="J1773" s="17">
        <v>1</v>
      </c>
      <c r="K1773" s="17" t="s">
        <v>48</v>
      </c>
      <c r="L1773" s="17" t="s">
        <v>31</v>
      </c>
      <c r="M1773" s="17" t="s">
        <v>63</v>
      </c>
      <c r="N1773" s="17">
        <v>436</v>
      </c>
      <c r="O1773" s="17">
        <v>401</v>
      </c>
      <c r="P1773" s="26">
        <f>(data[[#This Row],[LoadedMiles]]/data[[#This Row],[TotalMiles]])*100</f>
        <v>91.972477064220186</v>
      </c>
      <c r="Q1773" s="25">
        <f>data[[#This Row],[ShippingCost]]/data[[#This Row],[TotalMiles]]</f>
        <v>4.1238532110091741</v>
      </c>
      <c r="R1773" s="17">
        <v>1798</v>
      </c>
      <c r="S1773" s="25">
        <f>data[[#This Row],[Revenue]]/data[[#This Row],[TotalMiles]]</f>
        <v>5.8096330275229358</v>
      </c>
      <c r="T1773" s="26">
        <f>data[[#This Row],[Revenue]]-data[[#This Row],[ShippingCost]]</f>
        <v>735</v>
      </c>
      <c r="U1773" s="17">
        <v>2533</v>
      </c>
      <c r="V1773" s="17">
        <v>97</v>
      </c>
      <c r="W1773" s="17" t="s">
        <v>25</v>
      </c>
      <c r="X1773" s="17">
        <v>5</v>
      </c>
      <c r="Y1773" s="17">
        <f>data[[#This Row],[DeliveryDate]]-data[[#This Row],[ShipDate]]</f>
        <v>1</v>
      </c>
      <c r="Z1773" s="17" t="str">
        <f>IF(data[[#This Row],[Actual Delivery Days]]&gt;AD1774,"Yes","No")</f>
        <v>Yes</v>
      </c>
    </row>
    <row r="1774" spans="1:26">
      <c r="A1774" s="17">
        <v>11636</v>
      </c>
      <c r="B1774" s="17">
        <v>2</v>
      </c>
      <c r="C1774" s="17">
        <v>5</v>
      </c>
      <c r="D1774" s="17" t="s">
        <v>398</v>
      </c>
      <c r="E1774" s="17" t="s">
        <v>462</v>
      </c>
      <c r="F1774" s="17" t="str">
        <f>TEXT(data[[#This Row],[ShipDate]],"yyyy - mmmm")</f>
        <v>2016 - March</v>
      </c>
      <c r="G1774" s="17" t="str">
        <f>data[[#This Row],[OriginCity]] &amp; " - "  &amp; data[[#This Row],[DestinationCity]]</f>
        <v>Gary - Milwaukee</v>
      </c>
      <c r="H1774" s="17" t="s">
        <v>57</v>
      </c>
      <c r="I1774" s="17" t="s">
        <v>44</v>
      </c>
      <c r="J1774" s="17">
        <v>1</v>
      </c>
      <c r="K1774" s="17" t="s">
        <v>28</v>
      </c>
      <c r="L1774" s="17" t="s">
        <v>29</v>
      </c>
      <c r="M1774" s="17" t="s">
        <v>74</v>
      </c>
      <c r="N1774" s="17">
        <v>1146</v>
      </c>
      <c r="O1774" s="17">
        <v>473</v>
      </c>
      <c r="P1774" s="26">
        <f>(data[[#This Row],[LoadedMiles]]/data[[#This Row],[TotalMiles]])*100</f>
        <v>41.273996509598604</v>
      </c>
      <c r="Q1774" s="25">
        <f>data[[#This Row],[ShippingCost]]/data[[#This Row],[TotalMiles]]</f>
        <v>1.0287958115183247</v>
      </c>
      <c r="R1774" s="17">
        <v>1179</v>
      </c>
      <c r="S1774" s="25">
        <f>data[[#This Row],[Revenue]]/data[[#This Row],[TotalMiles]]</f>
        <v>1.4703315881326353</v>
      </c>
      <c r="T1774" s="26">
        <f>data[[#This Row],[Revenue]]-data[[#This Row],[ShippingCost]]</f>
        <v>506</v>
      </c>
      <c r="U1774" s="17">
        <v>1685</v>
      </c>
      <c r="V1774" s="17">
        <v>94</v>
      </c>
      <c r="W1774" s="17" t="s">
        <v>25</v>
      </c>
      <c r="X1774" s="17">
        <v>6</v>
      </c>
      <c r="Y1774" s="17">
        <f>data[[#This Row],[DeliveryDate]]-data[[#This Row],[ShipDate]]</f>
        <v>1</v>
      </c>
      <c r="Z1774" s="17" t="str">
        <f>IF(data[[#This Row],[Actual Delivery Days]]&gt;AD1775,"Yes","No")</f>
        <v>Yes</v>
      </c>
    </row>
    <row r="1775" spans="1:26">
      <c r="A1775" s="17">
        <v>11643</v>
      </c>
      <c r="B1775" s="17">
        <v>2</v>
      </c>
      <c r="C1775" s="17">
        <v>2</v>
      </c>
      <c r="D1775" s="17" t="s">
        <v>409</v>
      </c>
      <c r="E1775" s="17" t="s">
        <v>49</v>
      </c>
      <c r="F1775" s="17" t="str">
        <f>TEXT(data[[#This Row],[ShipDate]],"yyyy - mmmm")</f>
        <v>2016 - April</v>
      </c>
      <c r="G1775" s="17" t="str">
        <f>data[[#This Row],[OriginCity]] &amp; " - "  &amp; data[[#This Row],[DestinationCity]]</f>
        <v>Appleton - Grand Rapids</v>
      </c>
      <c r="H1775" s="17" t="s">
        <v>85</v>
      </c>
      <c r="I1775" s="17" t="s">
        <v>29</v>
      </c>
      <c r="J1775" s="17">
        <v>1</v>
      </c>
      <c r="K1775" s="17" t="s">
        <v>20</v>
      </c>
      <c r="L1775" s="17" t="s">
        <v>21</v>
      </c>
      <c r="M1775" s="17" t="s">
        <v>480</v>
      </c>
      <c r="N1775" s="17">
        <v>898</v>
      </c>
      <c r="O1775" s="17">
        <v>313</v>
      </c>
      <c r="P1775" s="26">
        <f>(data[[#This Row],[LoadedMiles]]/data[[#This Row],[TotalMiles]])*100</f>
        <v>34.855233853006681</v>
      </c>
      <c r="Q1775" s="25">
        <f>data[[#This Row],[ShippingCost]]/data[[#This Row],[TotalMiles]]</f>
        <v>5.4253897550111363</v>
      </c>
      <c r="R1775" s="17">
        <v>4872</v>
      </c>
      <c r="S1775" s="25">
        <f>data[[#This Row],[Revenue]]/data[[#This Row],[TotalMiles]]</f>
        <v>6.3975501113585747</v>
      </c>
      <c r="T1775" s="26">
        <f>data[[#This Row],[Revenue]]-data[[#This Row],[ShippingCost]]</f>
        <v>873</v>
      </c>
      <c r="U1775" s="17">
        <v>5745</v>
      </c>
      <c r="V1775" s="17">
        <v>72</v>
      </c>
      <c r="W1775" s="17" t="s">
        <v>86</v>
      </c>
      <c r="X1775" s="17">
        <v>9</v>
      </c>
      <c r="Y1775" s="17">
        <f>data[[#This Row],[DeliveryDate]]-data[[#This Row],[ShipDate]]</f>
        <v>1</v>
      </c>
      <c r="Z1775" s="17" t="str">
        <f>IF(data[[#This Row],[Actual Delivery Days]]&gt;AD1776,"Yes","No")</f>
        <v>Yes</v>
      </c>
    </row>
    <row r="1776" spans="1:26">
      <c r="A1776" s="17">
        <v>11645</v>
      </c>
      <c r="B1776" s="17">
        <v>2</v>
      </c>
      <c r="C1776" s="17">
        <v>1</v>
      </c>
      <c r="D1776" s="17" t="s">
        <v>412</v>
      </c>
      <c r="E1776" s="17" t="s">
        <v>226</v>
      </c>
      <c r="F1776" s="17" t="str">
        <f>TEXT(data[[#This Row],[ShipDate]],"yyyy - mmmm")</f>
        <v>2016 - May</v>
      </c>
      <c r="G1776" s="17" t="str">
        <f>data[[#This Row],[OriginCity]] &amp; " - "  &amp; data[[#This Row],[DestinationCity]]</f>
        <v>Dayton - Elgin</v>
      </c>
      <c r="H1776" s="17" t="s">
        <v>93</v>
      </c>
      <c r="I1776" s="17" t="s">
        <v>23</v>
      </c>
      <c r="J1776" s="17">
        <v>1</v>
      </c>
      <c r="K1776" s="17" t="s">
        <v>94</v>
      </c>
      <c r="L1776" s="17" t="s">
        <v>31</v>
      </c>
      <c r="M1776" s="17" t="s">
        <v>227</v>
      </c>
      <c r="N1776" s="17">
        <v>1167</v>
      </c>
      <c r="O1776" s="17">
        <v>627</v>
      </c>
      <c r="P1776" s="26">
        <f>(data[[#This Row],[LoadedMiles]]/data[[#This Row],[TotalMiles]])*100</f>
        <v>53.727506426735218</v>
      </c>
      <c r="Q1776" s="25">
        <f>data[[#This Row],[ShippingCost]]/data[[#This Row],[TotalMiles]]</f>
        <v>6.2193658954584405</v>
      </c>
      <c r="R1776" s="17">
        <v>7258</v>
      </c>
      <c r="S1776" s="25">
        <f>data[[#This Row],[Revenue]]/data[[#This Row],[TotalMiles]]</f>
        <v>10.025706940874036</v>
      </c>
      <c r="T1776" s="26">
        <f>data[[#This Row],[Revenue]]-data[[#This Row],[ShippingCost]]</f>
        <v>4442</v>
      </c>
      <c r="U1776" s="17">
        <v>11700</v>
      </c>
      <c r="V1776" s="17">
        <v>82</v>
      </c>
      <c r="W1776" s="17" t="s">
        <v>25</v>
      </c>
      <c r="X1776" s="17">
        <v>9</v>
      </c>
      <c r="Y1776" s="17">
        <f>data[[#This Row],[DeliveryDate]]-data[[#This Row],[ShipDate]]</f>
        <v>1</v>
      </c>
      <c r="Z1776" s="17" t="str">
        <f>IF(data[[#This Row],[Actual Delivery Days]]&gt;AD1777,"Yes","No")</f>
        <v>Yes</v>
      </c>
    </row>
    <row r="1777" spans="1:26">
      <c r="A1777" s="17">
        <v>11649</v>
      </c>
      <c r="B1777" s="17">
        <v>3</v>
      </c>
      <c r="C1777" s="17">
        <v>5</v>
      </c>
      <c r="D1777" s="17" t="s">
        <v>423</v>
      </c>
      <c r="E1777" s="17" t="s">
        <v>296</v>
      </c>
      <c r="F1777" s="17" t="str">
        <f>TEXT(data[[#This Row],[ShipDate]],"yyyy - mmmm")</f>
        <v>2016 - March</v>
      </c>
      <c r="G1777" s="17" t="str">
        <f>data[[#This Row],[OriginCity]] &amp; " - "  &amp; data[[#This Row],[DestinationCity]]</f>
        <v>Kalamazoo - Bangor</v>
      </c>
      <c r="H1777" s="17" t="s">
        <v>71</v>
      </c>
      <c r="I1777" s="17" t="s">
        <v>21</v>
      </c>
      <c r="J1777" s="17">
        <v>1</v>
      </c>
      <c r="K1777" s="17" t="s">
        <v>104</v>
      </c>
      <c r="L1777" s="17" t="s">
        <v>21</v>
      </c>
      <c r="M1777" s="17" t="s">
        <v>125</v>
      </c>
      <c r="N1777" s="17">
        <v>536</v>
      </c>
      <c r="O1777" s="17">
        <v>536</v>
      </c>
      <c r="P1777" s="26">
        <f>(data[[#This Row],[LoadedMiles]]/data[[#This Row],[TotalMiles]])*100</f>
        <v>100</v>
      </c>
      <c r="Q1777" s="25">
        <f>data[[#This Row],[ShippingCost]]/data[[#This Row],[TotalMiles]]</f>
        <v>5.8638059701492535</v>
      </c>
      <c r="R1777" s="17">
        <v>3143</v>
      </c>
      <c r="S1777" s="25">
        <f>data[[#This Row],[Revenue]]/data[[#This Row],[TotalMiles]]</f>
        <v>7.1921641791044779</v>
      </c>
      <c r="T1777" s="26">
        <f>data[[#This Row],[Revenue]]-data[[#This Row],[ShippingCost]]</f>
        <v>712</v>
      </c>
      <c r="U1777" s="17">
        <v>3855</v>
      </c>
      <c r="V1777" s="17">
        <v>98</v>
      </c>
      <c r="W1777" s="17" t="s">
        <v>25</v>
      </c>
      <c r="X1777" s="17">
        <v>4</v>
      </c>
      <c r="Y1777" s="17">
        <f>data[[#This Row],[DeliveryDate]]-data[[#This Row],[ShipDate]]</f>
        <v>1</v>
      </c>
      <c r="Z1777" s="17" t="str">
        <f>IF(data[[#This Row],[Actual Delivery Days]]&gt;AD1778,"Yes","No")</f>
        <v>Yes</v>
      </c>
    </row>
    <row r="1778" spans="1:26">
      <c r="A1778" s="17">
        <v>11666</v>
      </c>
      <c r="B1778" s="17">
        <v>2</v>
      </c>
      <c r="C1778" s="17">
        <v>4</v>
      </c>
      <c r="D1778" s="17" t="s">
        <v>455</v>
      </c>
      <c r="E1778" s="17" t="s">
        <v>190</v>
      </c>
      <c r="F1778" s="17" t="str">
        <f>TEXT(data[[#This Row],[ShipDate]],"yyyy - mmmm")</f>
        <v>2016 - July</v>
      </c>
      <c r="G1778" s="17" t="str">
        <f>data[[#This Row],[OriginCity]] &amp; " - "  &amp; data[[#This Row],[DestinationCity]]</f>
        <v>Bangor - Davenport</v>
      </c>
      <c r="H1778" s="17" t="s">
        <v>104</v>
      </c>
      <c r="I1778" s="17" t="s">
        <v>21</v>
      </c>
      <c r="J1778" s="17">
        <v>1</v>
      </c>
      <c r="K1778" s="17" t="s">
        <v>105</v>
      </c>
      <c r="L1778" s="17" t="s">
        <v>106</v>
      </c>
      <c r="M1778" s="17" t="s">
        <v>299</v>
      </c>
      <c r="N1778" s="17">
        <v>379</v>
      </c>
      <c r="O1778" s="17">
        <v>379</v>
      </c>
      <c r="P1778" s="26">
        <f>(data[[#This Row],[LoadedMiles]]/data[[#This Row],[TotalMiles]])*100</f>
        <v>100</v>
      </c>
      <c r="Q1778" s="25">
        <f>data[[#This Row],[ShippingCost]]/data[[#This Row],[TotalMiles]]</f>
        <v>6.9366754617414248</v>
      </c>
      <c r="R1778" s="17">
        <v>2629</v>
      </c>
      <c r="S1778" s="25">
        <f>data[[#This Row],[Revenue]]/data[[#This Row],[TotalMiles]]</f>
        <v>1.7361477572559367</v>
      </c>
      <c r="T1778" s="26">
        <f>data[[#This Row],[Revenue]]-data[[#This Row],[ShippingCost]]</f>
        <v>-1971</v>
      </c>
      <c r="U1778" s="17">
        <v>658</v>
      </c>
      <c r="V1778" s="17">
        <v>93</v>
      </c>
      <c r="W1778" s="17" t="s">
        <v>25</v>
      </c>
      <c r="X1778" s="17">
        <v>4</v>
      </c>
      <c r="Y1778" s="17">
        <f>data[[#This Row],[DeliveryDate]]-data[[#This Row],[ShipDate]]</f>
        <v>1</v>
      </c>
      <c r="Z1778" s="17" t="str">
        <f>IF(data[[#This Row],[Actual Delivery Days]]&gt;AD1779,"Yes","No")</f>
        <v>Yes</v>
      </c>
    </row>
    <row r="1779" spans="1:26">
      <c r="A1779" s="17">
        <v>11671</v>
      </c>
      <c r="B1779" s="17">
        <v>2</v>
      </c>
      <c r="C1779" s="17">
        <v>1</v>
      </c>
      <c r="D1779" s="17" t="s">
        <v>461</v>
      </c>
      <c r="E1779" s="17" t="s">
        <v>611</v>
      </c>
      <c r="F1779" s="17" t="str">
        <f>TEXT(data[[#This Row],[ShipDate]],"yyyy - mmmm")</f>
        <v>2016 - February</v>
      </c>
      <c r="G1779" s="17" t="str">
        <f>data[[#This Row],[OriginCity]] &amp; " - "  &amp; data[[#This Row],[DestinationCity]]</f>
        <v>Grand Rapids - Toledo</v>
      </c>
      <c r="H1779" s="17" t="s">
        <v>20</v>
      </c>
      <c r="I1779" s="17" t="s">
        <v>21</v>
      </c>
      <c r="J1779" s="17">
        <v>1</v>
      </c>
      <c r="K1779" s="17" t="s">
        <v>22</v>
      </c>
      <c r="L1779" s="17" t="s">
        <v>23</v>
      </c>
      <c r="M1779" s="17" t="s">
        <v>611</v>
      </c>
      <c r="N1779" s="17">
        <v>682</v>
      </c>
      <c r="O1779" s="17">
        <v>664</v>
      </c>
      <c r="P1779" s="26">
        <f>(data[[#This Row],[LoadedMiles]]/data[[#This Row],[TotalMiles]])*100</f>
        <v>97.360703812316714</v>
      </c>
      <c r="Q1779" s="25">
        <f>data[[#This Row],[ShippingCost]]/data[[#This Row],[TotalMiles]]</f>
        <v>3.3475073313782993</v>
      </c>
      <c r="R1779" s="17">
        <v>2283</v>
      </c>
      <c r="S1779" s="25">
        <f>data[[#This Row],[Revenue]]/data[[#This Row],[TotalMiles]]</f>
        <v>9.7624633431085037</v>
      </c>
      <c r="T1779" s="26">
        <f>data[[#This Row],[Revenue]]-data[[#This Row],[ShippingCost]]</f>
        <v>4375</v>
      </c>
      <c r="U1779" s="17">
        <v>6658</v>
      </c>
      <c r="V1779" s="17">
        <v>81</v>
      </c>
      <c r="W1779" s="17" t="s">
        <v>25</v>
      </c>
      <c r="X1779" s="17">
        <v>6</v>
      </c>
      <c r="Y1779" s="17">
        <f>data[[#This Row],[DeliveryDate]]-data[[#This Row],[ShipDate]]</f>
        <v>0</v>
      </c>
      <c r="Z1779" s="17" t="str">
        <f>IF(data[[#This Row],[Actual Delivery Days]]&gt;AD1780,"Yes","No")</f>
        <v>No</v>
      </c>
    </row>
    <row r="1780" spans="1:26">
      <c r="A1780" s="17">
        <v>11676</v>
      </c>
      <c r="B1780" s="17">
        <v>3</v>
      </c>
      <c r="C1780" s="17">
        <v>1</v>
      </c>
      <c r="D1780" s="17" t="s">
        <v>469</v>
      </c>
      <c r="E1780" s="17" t="s">
        <v>624</v>
      </c>
      <c r="F1780" s="17" t="str">
        <f>TEXT(data[[#This Row],[ShipDate]],"yyyy - mmmm")</f>
        <v>2016 - April</v>
      </c>
      <c r="G1780" s="17" t="str">
        <f>data[[#This Row],[OriginCity]] &amp; " - "  &amp; data[[#This Row],[DestinationCity]]</f>
        <v>Detriot - Monon</v>
      </c>
      <c r="H1780" s="17" t="s">
        <v>52</v>
      </c>
      <c r="I1780" s="17" t="s">
        <v>21</v>
      </c>
      <c r="J1780" s="17">
        <v>1</v>
      </c>
      <c r="K1780" s="17" t="s">
        <v>53</v>
      </c>
      <c r="L1780" s="17" t="s">
        <v>44</v>
      </c>
      <c r="M1780" s="17" t="s">
        <v>285</v>
      </c>
      <c r="N1780" s="17">
        <v>454</v>
      </c>
      <c r="O1780" s="17">
        <v>397</v>
      </c>
      <c r="P1780" s="26">
        <f>(data[[#This Row],[LoadedMiles]]/data[[#This Row],[TotalMiles]])*100</f>
        <v>87.444933920704841</v>
      </c>
      <c r="Q1780" s="25">
        <f>data[[#This Row],[ShippingCost]]/data[[#This Row],[TotalMiles]]</f>
        <v>11.548458149779735</v>
      </c>
      <c r="R1780" s="17">
        <v>5243</v>
      </c>
      <c r="S1780" s="25">
        <f>data[[#This Row],[Revenue]]/data[[#This Row],[TotalMiles]]</f>
        <v>21.720264317180618</v>
      </c>
      <c r="T1780" s="26">
        <f>data[[#This Row],[Revenue]]-data[[#This Row],[ShippingCost]]</f>
        <v>4618</v>
      </c>
      <c r="U1780" s="17">
        <v>9861</v>
      </c>
      <c r="V1780" s="17">
        <v>84</v>
      </c>
      <c r="W1780" s="17" t="s">
        <v>86</v>
      </c>
      <c r="X1780" s="17">
        <v>7</v>
      </c>
      <c r="Y1780" s="17">
        <f>data[[#This Row],[DeliveryDate]]-data[[#This Row],[ShipDate]]</f>
        <v>1</v>
      </c>
      <c r="Z1780" s="17" t="str">
        <f>IF(data[[#This Row],[Actual Delivery Days]]&gt;AD1781,"Yes","No")</f>
        <v>Yes</v>
      </c>
    </row>
    <row r="1781" spans="1:26">
      <c r="A1781" s="17">
        <v>11677</v>
      </c>
      <c r="B1781" s="17">
        <v>2</v>
      </c>
      <c r="C1781" s="17">
        <v>5</v>
      </c>
      <c r="D1781" s="17" t="s">
        <v>471</v>
      </c>
      <c r="E1781" s="17" t="s">
        <v>315</v>
      </c>
      <c r="F1781" s="17" t="str">
        <f>TEXT(data[[#This Row],[ShipDate]],"yyyy - mmmm")</f>
        <v>2016 - June</v>
      </c>
      <c r="G1781" s="17" t="str">
        <f>data[[#This Row],[OriginCity]] &amp; " - "  &amp; data[[#This Row],[DestinationCity]]</f>
        <v>Gary - Milwaukee</v>
      </c>
      <c r="H1781" s="17" t="s">
        <v>57</v>
      </c>
      <c r="I1781" s="17" t="s">
        <v>44</v>
      </c>
      <c r="J1781" s="17">
        <v>1</v>
      </c>
      <c r="K1781" s="17" t="s">
        <v>28</v>
      </c>
      <c r="L1781" s="17" t="s">
        <v>29</v>
      </c>
      <c r="M1781" s="17" t="s">
        <v>316</v>
      </c>
      <c r="N1781" s="17">
        <v>1000</v>
      </c>
      <c r="O1781" s="17">
        <v>704</v>
      </c>
      <c r="P1781" s="26">
        <f>(data[[#This Row],[LoadedMiles]]/data[[#This Row],[TotalMiles]])*100</f>
        <v>70.399999999999991</v>
      </c>
      <c r="Q1781" s="25">
        <f>data[[#This Row],[ShippingCost]]/data[[#This Row],[TotalMiles]]</f>
        <v>3.1520000000000001</v>
      </c>
      <c r="R1781" s="17">
        <v>3152</v>
      </c>
      <c r="S1781" s="25">
        <f>data[[#This Row],[Revenue]]/data[[#This Row],[TotalMiles]]</f>
        <v>3.931</v>
      </c>
      <c r="T1781" s="26">
        <f>data[[#This Row],[Revenue]]-data[[#This Row],[ShippingCost]]</f>
        <v>779</v>
      </c>
      <c r="U1781" s="17">
        <v>3931</v>
      </c>
      <c r="V1781" s="17">
        <v>71</v>
      </c>
      <c r="W1781" s="17" t="s">
        <v>25</v>
      </c>
      <c r="X1781" s="17">
        <v>7</v>
      </c>
      <c r="Y1781" s="17">
        <f>data[[#This Row],[DeliveryDate]]-data[[#This Row],[ShipDate]]</f>
        <v>1</v>
      </c>
      <c r="Z1781" s="17" t="str">
        <f>IF(data[[#This Row],[Actual Delivery Days]]&gt;AD1782,"Yes","No")</f>
        <v>Yes</v>
      </c>
    </row>
    <row r="1782" spans="1:26">
      <c r="A1782" s="17">
        <v>11680</v>
      </c>
      <c r="B1782" s="17">
        <v>2</v>
      </c>
      <c r="C1782" s="17">
        <v>3</v>
      </c>
      <c r="D1782" s="17" t="s">
        <v>478</v>
      </c>
      <c r="E1782" s="17" t="s">
        <v>168</v>
      </c>
      <c r="F1782" s="17" t="str">
        <f>TEXT(data[[#This Row],[ShipDate]],"yyyy - mmmm")</f>
        <v>2016 - February</v>
      </c>
      <c r="G1782" s="17" t="str">
        <f>data[[#This Row],[OriginCity]] &amp; " - "  &amp; data[[#This Row],[DestinationCity]]</f>
        <v>Naperville - Indianapolis</v>
      </c>
      <c r="H1782" s="17" t="s">
        <v>48</v>
      </c>
      <c r="I1782" s="17" t="s">
        <v>31</v>
      </c>
      <c r="J1782" s="17">
        <v>1</v>
      </c>
      <c r="K1782" s="17" t="s">
        <v>43</v>
      </c>
      <c r="L1782" s="17" t="s">
        <v>44</v>
      </c>
      <c r="M1782" s="17" t="s">
        <v>168</v>
      </c>
      <c r="N1782" s="17">
        <v>985</v>
      </c>
      <c r="O1782" s="17">
        <v>254</v>
      </c>
      <c r="P1782" s="26">
        <f>(data[[#This Row],[LoadedMiles]]/data[[#This Row],[TotalMiles]])*100</f>
        <v>25.786802030456851</v>
      </c>
      <c r="Q1782" s="25">
        <f>data[[#This Row],[ShippingCost]]/data[[#This Row],[TotalMiles]]</f>
        <v>0.75736040609137056</v>
      </c>
      <c r="R1782" s="17">
        <v>746</v>
      </c>
      <c r="S1782" s="25">
        <f>data[[#This Row],[Revenue]]/data[[#This Row],[TotalMiles]]</f>
        <v>1.549238578680203</v>
      </c>
      <c r="T1782" s="26">
        <f>data[[#This Row],[Revenue]]-data[[#This Row],[ShippingCost]]</f>
        <v>780</v>
      </c>
      <c r="U1782" s="17">
        <v>1526</v>
      </c>
      <c r="V1782" s="17">
        <v>85</v>
      </c>
      <c r="W1782" s="17" t="s">
        <v>25</v>
      </c>
      <c r="X1782" s="17">
        <v>5</v>
      </c>
      <c r="Y1782" s="17">
        <f>data[[#This Row],[DeliveryDate]]-data[[#This Row],[ShipDate]]</f>
        <v>0</v>
      </c>
      <c r="Z1782" s="17" t="str">
        <f>IF(data[[#This Row],[Actual Delivery Days]]&gt;AD1783,"Yes","No")</f>
        <v>No</v>
      </c>
    </row>
    <row r="1783" spans="1:26">
      <c r="A1783" s="17">
        <v>11682</v>
      </c>
      <c r="B1783" s="17">
        <v>3</v>
      </c>
      <c r="C1783" s="17">
        <v>6</v>
      </c>
      <c r="D1783" s="17" t="s">
        <v>481</v>
      </c>
      <c r="E1783" s="17" t="s">
        <v>368</v>
      </c>
      <c r="F1783" s="17" t="str">
        <f>TEXT(data[[#This Row],[ShipDate]],"yyyy - mmmm")</f>
        <v>2016 - May</v>
      </c>
      <c r="G1783" s="17" t="str">
        <f>data[[#This Row],[OriginCity]] &amp; " - "  &amp; data[[#This Row],[DestinationCity]]</f>
        <v>Appleton - Grand Rapids</v>
      </c>
      <c r="H1783" s="17" t="s">
        <v>85</v>
      </c>
      <c r="I1783" s="17" t="s">
        <v>29</v>
      </c>
      <c r="J1783" s="17">
        <v>1</v>
      </c>
      <c r="K1783" s="17" t="s">
        <v>20</v>
      </c>
      <c r="L1783" s="17" t="s">
        <v>21</v>
      </c>
      <c r="M1783" s="17" t="s">
        <v>616</v>
      </c>
      <c r="N1783" s="17">
        <v>545</v>
      </c>
      <c r="O1783" s="17">
        <v>545</v>
      </c>
      <c r="P1783" s="26">
        <f>(data[[#This Row],[LoadedMiles]]/data[[#This Row],[TotalMiles]])*100</f>
        <v>100</v>
      </c>
      <c r="Q1783" s="25">
        <f>data[[#This Row],[ShippingCost]]/data[[#This Row],[TotalMiles]]</f>
        <v>11.803669724770643</v>
      </c>
      <c r="R1783" s="17">
        <v>6433</v>
      </c>
      <c r="S1783" s="25">
        <f>data[[#This Row],[Revenue]]/data[[#This Row],[TotalMiles]]</f>
        <v>12.31743119266055</v>
      </c>
      <c r="T1783" s="26">
        <f>data[[#This Row],[Revenue]]-data[[#This Row],[ShippingCost]]</f>
        <v>280</v>
      </c>
      <c r="U1783" s="17">
        <v>6713</v>
      </c>
      <c r="V1783" s="17">
        <v>51</v>
      </c>
      <c r="W1783" s="17" t="s">
        <v>25</v>
      </c>
      <c r="X1783" s="17">
        <v>9</v>
      </c>
      <c r="Y1783" s="17">
        <f>data[[#This Row],[DeliveryDate]]-data[[#This Row],[ShipDate]]</f>
        <v>1</v>
      </c>
      <c r="Z1783" s="17" t="str">
        <f>IF(data[[#This Row],[Actual Delivery Days]]&gt;AD1784,"Yes","No")</f>
        <v>Yes</v>
      </c>
    </row>
    <row r="1784" spans="1:26">
      <c r="A1784" s="17">
        <v>11692</v>
      </c>
      <c r="B1784" s="17">
        <v>2</v>
      </c>
      <c r="C1784" s="17">
        <v>6</v>
      </c>
      <c r="D1784" s="17" t="s">
        <v>494</v>
      </c>
      <c r="E1784" s="17" t="s">
        <v>327</v>
      </c>
      <c r="F1784" s="17" t="str">
        <f>TEXT(data[[#This Row],[ShipDate]],"yyyy - mmmm")</f>
        <v>2016 - January</v>
      </c>
      <c r="G1784" s="17" t="str">
        <f>data[[#This Row],[OriginCity]] &amp; " - "  &amp; data[[#This Row],[DestinationCity]]</f>
        <v>Springfield - Skokie</v>
      </c>
      <c r="H1784" s="17" t="s">
        <v>30</v>
      </c>
      <c r="I1784" s="17" t="s">
        <v>31</v>
      </c>
      <c r="J1784" s="17">
        <v>1</v>
      </c>
      <c r="K1784" s="17" t="s">
        <v>35</v>
      </c>
      <c r="L1784" s="17" t="s">
        <v>31</v>
      </c>
      <c r="M1784" s="17" t="s">
        <v>394</v>
      </c>
      <c r="N1784" s="17">
        <v>835</v>
      </c>
      <c r="O1784" s="17">
        <v>724</v>
      </c>
      <c r="P1784" s="26">
        <f>(data[[#This Row],[LoadedMiles]]/data[[#This Row],[TotalMiles]])*100</f>
        <v>86.706586826347305</v>
      </c>
      <c r="Q1784" s="25">
        <f>data[[#This Row],[ShippingCost]]/data[[#This Row],[TotalMiles]]</f>
        <v>5.9293413173652691</v>
      </c>
      <c r="R1784" s="17">
        <v>4951</v>
      </c>
      <c r="S1784" s="25">
        <f>data[[#This Row],[Revenue]]/data[[#This Row],[TotalMiles]]</f>
        <v>6.1856287425149699</v>
      </c>
      <c r="T1784" s="26">
        <f>data[[#This Row],[Revenue]]-data[[#This Row],[ShippingCost]]</f>
        <v>214</v>
      </c>
      <c r="U1784" s="17">
        <v>5165</v>
      </c>
      <c r="V1784" s="17">
        <v>69</v>
      </c>
      <c r="W1784" s="17" t="s">
        <v>86</v>
      </c>
      <c r="X1784" s="17">
        <v>4</v>
      </c>
      <c r="Y1784" s="17">
        <f>data[[#This Row],[DeliveryDate]]-data[[#This Row],[ShipDate]]</f>
        <v>1</v>
      </c>
      <c r="Z1784" s="17" t="str">
        <f>IF(data[[#This Row],[Actual Delivery Days]]&gt;AD1785,"Yes","No")</f>
        <v>Yes</v>
      </c>
    </row>
    <row r="1785" spans="1:26">
      <c r="A1785" s="17">
        <v>11693</v>
      </c>
      <c r="B1785" s="17">
        <v>3</v>
      </c>
      <c r="C1785" s="17">
        <v>3</v>
      </c>
      <c r="D1785" s="17" t="s">
        <v>496</v>
      </c>
      <c r="E1785" s="17" t="s">
        <v>473</v>
      </c>
      <c r="F1785" s="17" t="str">
        <f>TEXT(data[[#This Row],[ShipDate]],"yyyy - mmmm")</f>
        <v>2016 - June</v>
      </c>
      <c r="G1785" s="17" t="str">
        <f>data[[#This Row],[OriginCity]] &amp; " - "  &amp; data[[#This Row],[DestinationCity]]</f>
        <v>Indianapolis - Northbrook</v>
      </c>
      <c r="H1785" s="17" t="s">
        <v>43</v>
      </c>
      <c r="I1785" s="17" t="s">
        <v>44</v>
      </c>
      <c r="J1785" s="17">
        <v>1</v>
      </c>
      <c r="K1785" s="17" t="s">
        <v>45</v>
      </c>
      <c r="L1785" s="17" t="s">
        <v>31</v>
      </c>
      <c r="M1785" s="17" t="s">
        <v>474</v>
      </c>
      <c r="N1785" s="17">
        <v>836</v>
      </c>
      <c r="O1785" s="17">
        <v>251</v>
      </c>
      <c r="P1785" s="26">
        <f>(data[[#This Row],[LoadedMiles]]/data[[#This Row],[TotalMiles]])*100</f>
        <v>30.023923444976074</v>
      </c>
      <c r="Q1785" s="25">
        <f>data[[#This Row],[ShippingCost]]/data[[#This Row],[TotalMiles]]</f>
        <v>9.5466507177033488</v>
      </c>
      <c r="R1785" s="17">
        <v>7981</v>
      </c>
      <c r="S1785" s="25">
        <f>data[[#This Row],[Revenue]]/data[[#This Row],[TotalMiles]]</f>
        <v>10.011961722488039</v>
      </c>
      <c r="T1785" s="26">
        <f>data[[#This Row],[Revenue]]-data[[#This Row],[ShippingCost]]</f>
        <v>389</v>
      </c>
      <c r="U1785" s="17">
        <v>8370</v>
      </c>
      <c r="V1785" s="17">
        <v>83</v>
      </c>
      <c r="W1785" s="17" t="s">
        <v>25</v>
      </c>
      <c r="X1785" s="17">
        <v>6</v>
      </c>
      <c r="Y1785" s="17">
        <f>data[[#This Row],[DeliveryDate]]-data[[#This Row],[ShipDate]]</f>
        <v>1</v>
      </c>
      <c r="Z1785" s="17" t="str">
        <f>IF(data[[#This Row],[Actual Delivery Days]]&gt;AD1786,"Yes","No")</f>
        <v>Yes</v>
      </c>
    </row>
    <row r="1786" spans="1:26">
      <c r="A1786" s="17">
        <v>11697</v>
      </c>
      <c r="B1786" s="17">
        <v>3</v>
      </c>
      <c r="C1786" s="17">
        <v>6</v>
      </c>
      <c r="D1786" s="17" t="s">
        <v>502</v>
      </c>
      <c r="E1786" s="17" t="s">
        <v>259</v>
      </c>
      <c r="F1786" s="17" t="str">
        <f>TEXT(data[[#This Row],[ShipDate]],"yyyy - mmmm")</f>
        <v>2016 - February</v>
      </c>
      <c r="G1786" s="17" t="str">
        <f>data[[#This Row],[OriginCity]] &amp; " - "  &amp; data[[#This Row],[DestinationCity]]</f>
        <v>Joliet - Madison</v>
      </c>
      <c r="H1786" s="17" t="s">
        <v>61</v>
      </c>
      <c r="I1786" s="17" t="s">
        <v>31</v>
      </c>
      <c r="J1786" s="17">
        <v>1</v>
      </c>
      <c r="K1786" s="17" t="s">
        <v>62</v>
      </c>
      <c r="L1786" s="17" t="s">
        <v>29</v>
      </c>
      <c r="M1786" s="17" t="s">
        <v>259</v>
      </c>
      <c r="N1786" s="17">
        <v>885</v>
      </c>
      <c r="O1786" s="17">
        <v>599</v>
      </c>
      <c r="P1786" s="26">
        <f>(data[[#This Row],[LoadedMiles]]/data[[#This Row],[TotalMiles]])*100</f>
        <v>67.683615819209038</v>
      </c>
      <c r="Q1786" s="25">
        <f>data[[#This Row],[ShippingCost]]/data[[#This Row],[TotalMiles]]</f>
        <v>7.7694915254237289</v>
      </c>
      <c r="R1786" s="17">
        <v>6876</v>
      </c>
      <c r="S1786" s="25">
        <f>data[[#This Row],[Revenue]]/data[[#This Row],[TotalMiles]]</f>
        <v>7.9039548022598867</v>
      </c>
      <c r="T1786" s="26">
        <f>data[[#This Row],[Revenue]]-data[[#This Row],[ShippingCost]]</f>
        <v>119</v>
      </c>
      <c r="U1786" s="17">
        <v>6995</v>
      </c>
      <c r="V1786" s="17">
        <v>66</v>
      </c>
      <c r="W1786" s="17" t="s">
        <v>25</v>
      </c>
      <c r="X1786" s="17">
        <v>4</v>
      </c>
      <c r="Y1786" s="17">
        <f>data[[#This Row],[DeliveryDate]]-data[[#This Row],[ShipDate]]</f>
        <v>0</v>
      </c>
      <c r="Z1786" s="17" t="str">
        <f>IF(data[[#This Row],[Actual Delivery Days]]&gt;AD1787,"Yes","No")</f>
        <v>No</v>
      </c>
    </row>
    <row r="1787" spans="1:26">
      <c r="A1787" s="17">
        <v>11698</v>
      </c>
      <c r="B1787" s="17">
        <v>3</v>
      </c>
      <c r="C1787" s="17">
        <v>2</v>
      </c>
      <c r="D1787" s="17" t="s">
        <v>503</v>
      </c>
      <c r="E1787" s="17" t="s">
        <v>449</v>
      </c>
      <c r="F1787" s="17" t="str">
        <f>TEXT(data[[#This Row],[ShipDate]],"yyyy - mmmm")</f>
        <v>2016 - March</v>
      </c>
      <c r="G1787" s="17" t="str">
        <f>data[[#This Row],[OriginCity]] &amp; " - "  &amp; data[[#This Row],[DestinationCity]]</f>
        <v>Monon - Lansing</v>
      </c>
      <c r="H1787" s="17" t="s">
        <v>53</v>
      </c>
      <c r="I1787" s="17" t="s">
        <v>44</v>
      </c>
      <c r="J1787" s="17">
        <v>1</v>
      </c>
      <c r="K1787" s="17" t="s">
        <v>66</v>
      </c>
      <c r="L1787" s="17" t="s">
        <v>21</v>
      </c>
      <c r="M1787" s="17" t="s">
        <v>274</v>
      </c>
      <c r="N1787" s="17">
        <v>1072</v>
      </c>
      <c r="O1787" s="17">
        <v>692</v>
      </c>
      <c r="P1787" s="26">
        <f>(data[[#This Row],[LoadedMiles]]/data[[#This Row],[TotalMiles]])*100</f>
        <v>64.552238805970148</v>
      </c>
      <c r="Q1787" s="25">
        <f>data[[#This Row],[ShippingCost]]/data[[#This Row],[TotalMiles]]</f>
        <v>1.3843283582089552</v>
      </c>
      <c r="R1787" s="17">
        <v>1484</v>
      </c>
      <c r="S1787" s="25">
        <f>data[[#This Row],[Revenue]]/data[[#This Row],[TotalMiles]]</f>
        <v>1.7863805970149254</v>
      </c>
      <c r="T1787" s="26">
        <f>data[[#This Row],[Revenue]]-data[[#This Row],[ShippingCost]]</f>
        <v>431</v>
      </c>
      <c r="U1787" s="17">
        <v>1915</v>
      </c>
      <c r="V1787" s="17">
        <v>83</v>
      </c>
      <c r="W1787" s="17" t="s">
        <v>25</v>
      </c>
      <c r="X1787" s="17">
        <v>8</v>
      </c>
      <c r="Y1787" s="17">
        <f>data[[#This Row],[DeliveryDate]]-data[[#This Row],[ShipDate]]</f>
        <v>1</v>
      </c>
      <c r="Z1787" s="17" t="str">
        <f>IF(data[[#This Row],[Actual Delivery Days]]&gt;AD1788,"Yes","No")</f>
        <v>Yes</v>
      </c>
    </row>
    <row r="1788" spans="1:26">
      <c r="A1788" s="17">
        <v>11702</v>
      </c>
      <c r="B1788" s="17">
        <v>2</v>
      </c>
      <c r="C1788" s="17">
        <v>2</v>
      </c>
      <c r="D1788" s="17" t="s">
        <v>507</v>
      </c>
      <c r="E1788" s="17" t="s">
        <v>293</v>
      </c>
      <c r="F1788" s="17" t="str">
        <f>TEXT(data[[#This Row],[ShipDate]],"yyyy - mmmm")</f>
        <v>2016 - June</v>
      </c>
      <c r="G1788" s="17" t="str">
        <f>data[[#This Row],[OriginCity]] &amp; " - "  &amp; data[[#This Row],[DestinationCity]]</f>
        <v>Rockford - Green Bay</v>
      </c>
      <c r="H1788" s="17" t="s">
        <v>40</v>
      </c>
      <c r="I1788" s="17" t="s">
        <v>31</v>
      </c>
      <c r="J1788" s="17">
        <v>1</v>
      </c>
      <c r="K1788" s="17" t="s">
        <v>75</v>
      </c>
      <c r="L1788" s="17" t="s">
        <v>29</v>
      </c>
      <c r="M1788" s="17" t="s">
        <v>176</v>
      </c>
      <c r="N1788" s="17">
        <v>1060</v>
      </c>
      <c r="O1788" s="17">
        <v>787</v>
      </c>
      <c r="P1788" s="26">
        <f>(data[[#This Row],[LoadedMiles]]/data[[#This Row],[TotalMiles]])*100</f>
        <v>74.245283018867923</v>
      </c>
      <c r="Q1788" s="25">
        <f>data[[#This Row],[ShippingCost]]/data[[#This Row],[TotalMiles]]</f>
        <v>7.9754716981132079</v>
      </c>
      <c r="R1788" s="17">
        <v>8454</v>
      </c>
      <c r="S1788" s="25">
        <f>data[[#This Row],[Revenue]]/data[[#This Row],[TotalMiles]]</f>
        <v>8.2273584905660382</v>
      </c>
      <c r="T1788" s="26">
        <f>data[[#This Row],[Revenue]]-data[[#This Row],[ShippingCost]]</f>
        <v>267</v>
      </c>
      <c r="U1788" s="17">
        <v>8721</v>
      </c>
      <c r="V1788" s="17">
        <v>85</v>
      </c>
      <c r="W1788" s="17" t="s">
        <v>25</v>
      </c>
      <c r="X1788" s="17">
        <v>1</v>
      </c>
      <c r="Y1788" s="17">
        <f>data[[#This Row],[DeliveryDate]]-data[[#This Row],[ShipDate]]</f>
        <v>1</v>
      </c>
      <c r="Z1788" s="17" t="str">
        <f>IF(data[[#This Row],[Actual Delivery Days]]&gt;AD1789,"Yes","No")</f>
        <v>Yes</v>
      </c>
    </row>
    <row r="1789" spans="1:26">
      <c r="A1789" s="17">
        <v>11703</v>
      </c>
      <c r="B1789" s="17">
        <v>2</v>
      </c>
      <c r="C1789" s="17">
        <v>3</v>
      </c>
      <c r="D1789" s="17" t="s">
        <v>508</v>
      </c>
      <c r="E1789" s="17" t="s">
        <v>224</v>
      </c>
      <c r="F1789" s="17" t="str">
        <f>TEXT(data[[#This Row],[ShipDate]],"yyyy - mmmm")</f>
        <v>2016 - May</v>
      </c>
      <c r="G1789" s="17" t="str">
        <f>data[[#This Row],[OriginCity]] &amp; " - "  &amp; data[[#This Row],[DestinationCity]]</f>
        <v>Appleton - Grand Rapids</v>
      </c>
      <c r="H1789" s="17" t="s">
        <v>85</v>
      </c>
      <c r="I1789" s="17" t="s">
        <v>29</v>
      </c>
      <c r="J1789" s="17">
        <v>1</v>
      </c>
      <c r="K1789" s="17" t="s">
        <v>20</v>
      </c>
      <c r="L1789" s="17" t="s">
        <v>21</v>
      </c>
      <c r="M1789" s="17" t="s">
        <v>261</v>
      </c>
      <c r="N1789" s="17">
        <v>1062</v>
      </c>
      <c r="O1789" s="17">
        <v>514</v>
      </c>
      <c r="P1789" s="26">
        <f>(data[[#This Row],[LoadedMiles]]/data[[#This Row],[TotalMiles]])*100</f>
        <v>48.399246704331453</v>
      </c>
      <c r="Q1789" s="25">
        <f>data[[#This Row],[ShippingCost]]/data[[#This Row],[TotalMiles]]</f>
        <v>5.8775894538606401</v>
      </c>
      <c r="R1789" s="17">
        <v>6242</v>
      </c>
      <c r="S1789" s="25">
        <f>data[[#This Row],[Revenue]]/data[[#This Row],[TotalMiles]]</f>
        <v>6.2146892655367232</v>
      </c>
      <c r="T1789" s="26">
        <f>data[[#This Row],[Revenue]]-data[[#This Row],[ShippingCost]]</f>
        <v>358</v>
      </c>
      <c r="U1789" s="17">
        <v>6600</v>
      </c>
      <c r="V1789" s="17">
        <v>62</v>
      </c>
      <c r="W1789" s="17" t="s">
        <v>25</v>
      </c>
      <c r="X1789" s="17">
        <v>8</v>
      </c>
      <c r="Y1789" s="17">
        <f>data[[#This Row],[DeliveryDate]]-data[[#This Row],[ShipDate]]</f>
        <v>1</v>
      </c>
      <c r="Z1789" s="17" t="str">
        <f>IF(data[[#This Row],[Actual Delivery Days]]&gt;AD1790,"Yes","No")</f>
        <v>Yes</v>
      </c>
    </row>
    <row r="1790" spans="1:26">
      <c r="A1790" s="17">
        <v>11704</v>
      </c>
      <c r="B1790" s="17">
        <v>2</v>
      </c>
      <c r="C1790" s="17">
        <v>3</v>
      </c>
      <c r="D1790" s="17" t="s">
        <v>510</v>
      </c>
      <c r="E1790" s="17" t="s">
        <v>612</v>
      </c>
      <c r="F1790" s="17" t="str">
        <f>TEXT(data[[#This Row],[ShipDate]],"yyyy - mmmm")</f>
        <v>2016 - January</v>
      </c>
      <c r="G1790" s="17" t="str">
        <f>data[[#This Row],[OriginCity]] &amp; " - "  &amp; data[[#This Row],[DestinationCity]]</f>
        <v>Cincinnati - Gary</v>
      </c>
      <c r="H1790" s="17" t="s">
        <v>89</v>
      </c>
      <c r="I1790" s="17" t="s">
        <v>23</v>
      </c>
      <c r="J1790" s="17">
        <v>1</v>
      </c>
      <c r="K1790" s="17" t="s">
        <v>57</v>
      </c>
      <c r="L1790" s="17" t="s">
        <v>44</v>
      </c>
      <c r="M1790" s="17" t="s">
        <v>304</v>
      </c>
      <c r="N1790" s="17">
        <v>365</v>
      </c>
      <c r="O1790" s="17">
        <v>365</v>
      </c>
      <c r="P1790" s="26">
        <f>(data[[#This Row],[LoadedMiles]]/data[[#This Row],[TotalMiles]])*100</f>
        <v>100</v>
      </c>
      <c r="Q1790" s="25">
        <f>data[[#This Row],[ShippingCost]]/data[[#This Row],[TotalMiles]]</f>
        <v>12.232876712328768</v>
      </c>
      <c r="R1790" s="17">
        <v>4465</v>
      </c>
      <c r="S1790" s="25">
        <f>data[[#This Row],[Revenue]]/data[[#This Row],[TotalMiles]]</f>
        <v>13.61917808219178</v>
      </c>
      <c r="T1790" s="26">
        <f>data[[#This Row],[Revenue]]-data[[#This Row],[ShippingCost]]</f>
        <v>506</v>
      </c>
      <c r="U1790" s="17">
        <v>4971</v>
      </c>
      <c r="V1790" s="17">
        <v>72</v>
      </c>
      <c r="W1790" s="17" t="s">
        <v>25</v>
      </c>
      <c r="X1790" s="17">
        <v>7</v>
      </c>
      <c r="Y1790" s="17">
        <f>data[[#This Row],[DeliveryDate]]-data[[#This Row],[ShipDate]]</f>
        <v>1</v>
      </c>
      <c r="Z1790" s="17" t="str">
        <f>IF(data[[#This Row],[Actual Delivery Days]]&gt;AD1791,"Yes","No")</f>
        <v>Yes</v>
      </c>
    </row>
    <row r="1791" spans="1:26">
      <c r="A1791" s="17">
        <v>11712</v>
      </c>
      <c r="B1791" s="17">
        <v>3</v>
      </c>
      <c r="C1791" s="17">
        <v>1</v>
      </c>
      <c r="D1791" s="17" t="s">
        <v>519</v>
      </c>
      <c r="E1791" s="17" t="s">
        <v>199</v>
      </c>
      <c r="F1791" s="17" t="str">
        <f>TEXT(data[[#This Row],[ShipDate]],"yyyy - mmmm")</f>
        <v>2016 - March</v>
      </c>
      <c r="G1791" s="17" t="str">
        <f>data[[#This Row],[OriginCity]] &amp; " - "  &amp; data[[#This Row],[DestinationCity]]</f>
        <v>Davenport - Appleton</v>
      </c>
      <c r="H1791" s="17" t="s">
        <v>105</v>
      </c>
      <c r="I1791" s="17" t="s">
        <v>106</v>
      </c>
      <c r="J1791" s="17">
        <v>1</v>
      </c>
      <c r="K1791" s="17" t="s">
        <v>85</v>
      </c>
      <c r="L1791" s="17" t="s">
        <v>29</v>
      </c>
      <c r="M1791" s="17" t="s">
        <v>200</v>
      </c>
      <c r="N1791" s="17">
        <v>599</v>
      </c>
      <c r="O1791" s="17">
        <v>439</v>
      </c>
      <c r="P1791" s="26">
        <f>(data[[#This Row],[LoadedMiles]]/data[[#This Row],[TotalMiles]])*100</f>
        <v>73.288814691151913</v>
      </c>
      <c r="Q1791" s="25">
        <f>data[[#This Row],[ShippingCost]]/data[[#This Row],[TotalMiles]]</f>
        <v>4.7762938230383973</v>
      </c>
      <c r="R1791" s="17">
        <v>2861</v>
      </c>
      <c r="S1791" s="25">
        <f>data[[#This Row],[Revenue]]/data[[#This Row],[TotalMiles]]</f>
        <v>11.79966611018364</v>
      </c>
      <c r="T1791" s="26">
        <f>data[[#This Row],[Revenue]]-data[[#This Row],[ShippingCost]]</f>
        <v>4207</v>
      </c>
      <c r="U1791" s="17">
        <v>7068</v>
      </c>
      <c r="V1791" s="17">
        <v>59</v>
      </c>
      <c r="W1791" s="17" t="s">
        <v>25</v>
      </c>
      <c r="X1791" s="17">
        <v>6</v>
      </c>
      <c r="Y1791" s="17">
        <f>data[[#This Row],[DeliveryDate]]-data[[#This Row],[ShipDate]]</f>
        <v>1</v>
      </c>
      <c r="Z1791" s="17" t="str">
        <f>IF(data[[#This Row],[Actual Delivery Days]]&gt;AD1792,"Yes","No")</f>
        <v>Yes</v>
      </c>
    </row>
    <row r="1792" spans="1:26">
      <c r="A1792" s="17">
        <v>11717</v>
      </c>
      <c r="B1792" s="17">
        <v>2</v>
      </c>
      <c r="C1792" s="17">
        <v>1</v>
      </c>
      <c r="D1792" s="17" t="s">
        <v>526</v>
      </c>
      <c r="E1792" s="17" t="s">
        <v>608</v>
      </c>
      <c r="F1792" s="17" t="str">
        <f>TEXT(data[[#This Row],[ShipDate]],"yyyy - mmmm")</f>
        <v>2016 - July</v>
      </c>
      <c r="G1792" s="17" t="str">
        <f>data[[#This Row],[OriginCity]] &amp; " - "  &amp; data[[#This Row],[DestinationCity]]</f>
        <v>Indianapolis - Northbrook</v>
      </c>
      <c r="H1792" s="17" t="s">
        <v>43</v>
      </c>
      <c r="I1792" s="17" t="s">
        <v>44</v>
      </c>
      <c r="J1792" s="17">
        <v>1</v>
      </c>
      <c r="K1792" s="17" t="s">
        <v>45</v>
      </c>
      <c r="L1792" s="17" t="s">
        <v>31</v>
      </c>
      <c r="M1792" s="17" t="s">
        <v>608</v>
      </c>
      <c r="N1792" s="17">
        <v>819</v>
      </c>
      <c r="O1792" s="17">
        <v>318</v>
      </c>
      <c r="P1792" s="26">
        <f>(data[[#This Row],[LoadedMiles]]/data[[#This Row],[TotalMiles]])*100</f>
        <v>38.827838827838832</v>
      </c>
      <c r="Q1792" s="25">
        <f>data[[#This Row],[ShippingCost]]/data[[#This Row],[TotalMiles]]</f>
        <v>9.0818070818070815</v>
      </c>
      <c r="R1792" s="17">
        <v>7438</v>
      </c>
      <c r="S1792" s="25">
        <f>data[[#This Row],[Revenue]]/data[[#This Row],[TotalMiles]]</f>
        <v>14.774114774114775</v>
      </c>
      <c r="T1792" s="26">
        <f>data[[#This Row],[Revenue]]-data[[#This Row],[ShippingCost]]</f>
        <v>4662</v>
      </c>
      <c r="U1792" s="17">
        <v>12100</v>
      </c>
      <c r="V1792" s="17">
        <v>75</v>
      </c>
      <c r="W1792" s="17" t="s">
        <v>25</v>
      </c>
      <c r="X1792" s="17">
        <v>10</v>
      </c>
      <c r="Y1792" s="17">
        <f>data[[#This Row],[DeliveryDate]]-data[[#This Row],[ShipDate]]</f>
        <v>0</v>
      </c>
      <c r="Z1792" s="17" t="str">
        <f>IF(data[[#This Row],[Actual Delivery Days]]&gt;AD1793,"Yes","No")</f>
        <v>No</v>
      </c>
    </row>
    <row r="1793" spans="1:26">
      <c r="A1793" s="17">
        <v>11720</v>
      </c>
      <c r="B1793" s="17">
        <v>3</v>
      </c>
      <c r="C1793" s="17">
        <v>4</v>
      </c>
      <c r="D1793" s="17" t="s">
        <v>533</v>
      </c>
      <c r="E1793" s="17" t="s">
        <v>231</v>
      </c>
      <c r="F1793" s="17" t="str">
        <f>TEXT(data[[#This Row],[ShipDate]],"yyyy - mmmm")</f>
        <v>2016 - May</v>
      </c>
      <c r="G1793" s="17" t="str">
        <f>data[[#This Row],[OriginCity]] &amp; " - "  &amp; data[[#This Row],[DestinationCity]]</f>
        <v>Monon - Lansing</v>
      </c>
      <c r="H1793" s="17" t="s">
        <v>53</v>
      </c>
      <c r="I1793" s="17" t="s">
        <v>44</v>
      </c>
      <c r="J1793" s="17">
        <v>1</v>
      </c>
      <c r="K1793" s="17" t="s">
        <v>66</v>
      </c>
      <c r="L1793" s="17" t="s">
        <v>21</v>
      </c>
      <c r="M1793" s="17" t="s">
        <v>350</v>
      </c>
      <c r="N1793" s="17">
        <v>970</v>
      </c>
      <c r="O1793" s="17">
        <v>578</v>
      </c>
      <c r="P1793" s="26">
        <f>(data[[#This Row],[LoadedMiles]]/data[[#This Row],[TotalMiles]])*100</f>
        <v>59.587628865979383</v>
      </c>
      <c r="Q1793" s="25">
        <f>data[[#This Row],[ShippingCost]]/data[[#This Row],[TotalMiles]]</f>
        <v>6.815463917525773</v>
      </c>
      <c r="R1793" s="17">
        <v>6611</v>
      </c>
      <c r="S1793" s="25">
        <f>data[[#This Row],[Revenue]]/data[[#This Row],[TotalMiles]]</f>
        <v>4.8587628865979378</v>
      </c>
      <c r="T1793" s="26">
        <f>data[[#This Row],[Revenue]]-data[[#This Row],[ShippingCost]]</f>
        <v>-1898</v>
      </c>
      <c r="U1793" s="17">
        <v>4713</v>
      </c>
      <c r="V1793" s="17">
        <v>81</v>
      </c>
      <c r="W1793" s="17" t="s">
        <v>25</v>
      </c>
      <c r="X1793" s="17">
        <v>7</v>
      </c>
      <c r="Y1793" s="17">
        <f>data[[#This Row],[DeliveryDate]]-data[[#This Row],[ShipDate]]</f>
        <v>1</v>
      </c>
      <c r="Z1793" s="17" t="str">
        <f>IF(data[[#This Row],[Actual Delivery Days]]&gt;AD1794,"Yes","No")</f>
        <v>Yes</v>
      </c>
    </row>
    <row r="1794" spans="1:26">
      <c r="A1794" s="17">
        <v>11732</v>
      </c>
      <c r="B1794" s="17">
        <v>3</v>
      </c>
      <c r="C1794" s="17">
        <v>4</v>
      </c>
      <c r="D1794" s="17" t="s">
        <v>549</v>
      </c>
      <c r="E1794" s="17" t="s">
        <v>221</v>
      </c>
      <c r="F1794" s="17" t="str">
        <f>TEXT(data[[#This Row],[ShipDate]],"yyyy - mmmm")</f>
        <v>2016 - April</v>
      </c>
      <c r="G1794" s="17" t="str">
        <f>data[[#This Row],[OriginCity]] &amp; " - "  &amp; data[[#This Row],[DestinationCity]]</f>
        <v>Skokie - Chicago</v>
      </c>
      <c r="H1794" s="17" t="s">
        <v>35</v>
      </c>
      <c r="I1794" s="17" t="s">
        <v>31</v>
      </c>
      <c r="J1794" s="17">
        <v>1</v>
      </c>
      <c r="K1794" s="17" t="s">
        <v>39</v>
      </c>
      <c r="L1794" s="17" t="s">
        <v>31</v>
      </c>
      <c r="M1794" s="17" t="s">
        <v>623</v>
      </c>
      <c r="N1794" s="17">
        <v>266</v>
      </c>
      <c r="O1794" s="17">
        <v>266</v>
      </c>
      <c r="P1794" s="26">
        <f>(data[[#This Row],[LoadedMiles]]/data[[#This Row],[TotalMiles]])*100</f>
        <v>100</v>
      </c>
      <c r="Q1794" s="25">
        <f>data[[#This Row],[ShippingCost]]/data[[#This Row],[TotalMiles]]</f>
        <v>13.537593984962406</v>
      </c>
      <c r="R1794" s="17">
        <v>3601</v>
      </c>
      <c r="S1794" s="25">
        <f>data[[#This Row],[Revenue]]/data[[#This Row],[TotalMiles]]</f>
        <v>5.8421052631578947</v>
      </c>
      <c r="T1794" s="26">
        <f>data[[#This Row],[Revenue]]-data[[#This Row],[ShippingCost]]</f>
        <v>-2047</v>
      </c>
      <c r="U1794" s="17">
        <v>1554</v>
      </c>
      <c r="V1794" s="17">
        <v>54</v>
      </c>
      <c r="W1794" s="17" t="s">
        <v>25</v>
      </c>
      <c r="X1794" s="17">
        <v>3</v>
      </c>
      <c r="Y1794" s="17">
        <f>data[[#This Row],[DeliveryDate]]-data[[#This Row],[ShipDate]]</f>
        <v>1</v>
      </c>
      <c r="Z1794" s="17" t="str">
        <f>IF(data[[#This Row],[Actual Delivery Days]]&gt;AD1795,"Yes","No")</f>
        <v>Yes</v>
      </c>
    </row>
    <row r="1795" spans="1:26">
      <c r="A1795" s="17">
        <v>11735</v>
      </c>
      <c r="B1795" s="17">
        <v>2</v>
      </c>
      <c r="C1795" s="17">
        <v>4</v>
      </c>
      <c r="D1795" s="17" t="s">
        <v>554</v>
      </c>
      <c r="E1795" s="17" t="s">
        <v>498</v>
      </c>
      <c r="F1795" s="17" t="str">
        <f>TEXT(data[[#This Row],[ShipDate]],"yyyy - mmmm")</f>
        <v>2016 - July</v>
      </c>
      <c r="G1795" s="17" t="str">
        <f>data[[#This Row],[OriginCity]] &amp; " - "  &amp; data[[#This Row],[DestinationCity]]</f>
        <v>Milwaukee - Springfield</v>
      </c>
      <c r="H1795" s="17" t="s">
        <v>28</v>
      </c>
      <c r="I1795" s="17" t="s">
        <v>29</v>
      </c>
      <c r="J1795" s="17">
        <v>1</v>
      </c>
      <c r="K1795" s="17" t="s">
        <v>30</v>
      </c>
      <c r="L1795" s="17" t="s">
        <v>31</v>
      </c>
      <c r="M1795" s="17" t="s">
        <v>190</v>
      </c>
      <c r="N1795" s="17">
        <v>598</v>
      </c>
      <c r="O1795" s="17">
        <v>598</v>
      </c>
      <c r="P1795" s="26">
        <f>(data[[#This Row],[LoadedMiles]]/data[[#This Row],[TotalMiles]])*100</f>
        <v>100</v>
      </c>
      <c r="Q1795" s="25">
        <f>data[[#This Row],[ShippingCost]]/data[[#This Row],[TotalMiles]]</f>
        <v>4.8745819397993309</v>
      </c>
      <c r="R1795" s="17">
        <v>2915</v>
      </c>
      <c r="S1795" s="25">
        <f>data[[#This Row],[Revenue]]/data[[#This Row],[TotalMiles]]</f>
        <v>1.8712374581939799</v>
      </c>
      <c r="T1795" s="26">
        <f>data[[#This Row],[Revenue]]-data[[#This Row],[ShippingCost]]</f>
        <v>-1796</v>
      </c>
      <c r="U1795" s="17">
        <v>1119</v>
      </c>
      <c r="V1795" s="17">
        <v>71</v>
      </c>
      <c r="W1795" s="17" t="s">
        <v>25</v>
      </c>
      <c r="X1795" s="17">
        <v>2</v>
      </c>
      <c r="Y1795" s="17">
        <f>data[[#This Row],[DeliveryDate]]-data[[#This Row],[ShipDate]]</f>
        <v>1</v>
      </c>
      <c r="Z1795" s="17" t="str">
        <f>IF(data[[#This Row],[Actual Delivery Days]]&gt;AD1796,"Yes","No")</f>
        <v>Yes</v>
      </c>
    </row>
    <row r="1796" spans="1:26">
      <c r="A1796" s="17">
        <v>11736</v>
      </c>
      <c r="B1796" s="17">
        <v>3</v>
      </c>
      <c r="C1796" s="17">
        <v>6</v>
      </c>
      <c r="D1796" s="17" t="s">
        <v>555</v>
      </c>
      <c r="E1796" s="17" t="s">
        <v>530</v>
      </c>
      <c r="F1796" s="17" t="str">
        <f>TEXT(data[[#This Row],[ShipDate]],"yyyy - mmmm")</f>
        <v>2016 - January</v>
      </c>
      <c r="G1796" s="17" t="str">
        <f>data[[#This Row],[OriginCity]] &amp; " - "  &amp; data[[#This Row],[DestinationCity]]</f>
        <v>Springfield - Skokie</v>
      </c>
      <c r="H1796" s="17" t="s">
        <v>30</v>
      </c>
      <c r="I1796" s="17" t="s">
        <v>31</v>
      </c>
      <c r="J1796" s="17">
        <v>1</v>
      </c>
      <c r="K1796" s="17" t="s">
        <v>35</v>
      </c>
      <c r="L1796" s="17" t="s">
        <v>31</v>
      </c>
      <c r="M1796" s="17" t="s">
        <v>112</v>
      </c>
      <c r="N1796" s="17">
        <v>909</v>
      </c>
      <c r="O1796" s="17">
        <v>551</v>
      </c>
      <c r="P1796" s="26">
        <f>(data[[#This Row],[LoadedMiles]]/data[[#This Row],[TotalMiles]])*100</f>
        <v>60.616061606160621</v>
      </c>
      <c r="Q1796" s="25">
        <f>data[[#This Row],[ShippingCost]]/data[[#This Row],[TotalMiles]]</f>
        <v>0.65456545654565457</v>
      </c>
      <c r="R1796" s="17">
        <v>595</v>
      </c>
      <c r="S1796" s="25">
        <f>data[[#This Row],[Revenue]]/data[[#This Row],[TotalMiles]]</f>
        <v>1.3399339933993399</v>
      </c>
      <c r="T1796" s="26">
        <f>data[[#This Row],[Revenue]]-data[[#This Row],[ShippingCost]]</f>
        <v>623</v>
      </c>
      <c r="U1796" s="17">
        <v>1218</v>
      </c>
      <c r="V1796" s="17">
        <v>96</v>
      </c>
      <c r="W1796" s="17" t="s">
        <v>25</v>
      </c>
      <c r="X1796" s="17">
        <v>8</v>
      </c>
      <c r="Y1796" s="17">
        <f>data[[#This Row],[DeliveryDate]]-data[[#This Row],[ShipDate]]</f>
        <v>1</v>
      </c>
      <c r="Z1796" s="17" t="str">
        <f>IF(data[[#This Row],[Actual Delivery Days]]&gt;AD1797,"Yes","No")</f>
        <v>Yes</v>
      </c>
    </row>
    <row r="1797" spans="1:26">
      <c r="A1797" s="17">
        <v>11749</v>
      </c>
      <c r="B1797" s="17">
        <v>3</v>
      </c>
      <c r="C1797" s="17">
        <v>4</v>
      </c>
      <c r="D1797" s="17" t="s">
        <v>569</v>
      </c>
      <c r="E1797" s="17" t="s">
        <v>410</v>
      </c>
      <c r="F1797" s="17" t="str">
        <f>TEXT(data[[#This Row],[ShipDate]],"yyyy - mmmm")</f>
        <v>2016 - June</v>
      </c>
      <c r="G1797" s="17" t="str">
        <f>data[[#This Row],[OriginCity]] &amp; " - "  &amp; data[[#This Row],[DestinationCity]]</f>
        <v>Cincinnati - Gary</v>
      </c>
      <c r="H1797" s="17" t="s">
        <v>89</v>
      </c>
      <c r="I1797" s="17" t="s">
        <v>23</v>
      </c>
      <c r="J1797" s="17">
        <v>1</v>
      </c>
      <c r="K1797" s="17" t="s">
        <v>57</v>
      </c>
      <c r="L1797" s="17" t="s">
        <v>44</v>
      </c>
      <c r="M1797" s="17" t="s">
        <v>135</v>
      </c>
      <c r="N1797" s="17">
        <v>375</v>
      </c>
      <c r="O1797" s="17">
        <v>234</v>
      </c>
      <c r="P1797" s="26">
        <f>(data[[#This Row],[LoadedMiles]]/data[[#This Row],[TotalMiles]])*100</f>
        <v>62.4</v>
      </c>
      <c r="Q1797" s="25">
        <f>data[[#This Row],[ShippingCost]]/data[[#This Row],[TotalMiles]]</f>
        <v>14.189333333333334</v>
      </c>
      <c r="R1797" s="17">
        <v>5321</v>
      </c>
      <c r="S1797" s="25">
        <f>data[[#This Row],[Revenue]]/data[[#This Row],[TotalMiles]]</f>
        <v>8.4586666666666659</v>
      </c>
      <c r="T1797" s="26">
        <f>data[[#This Row],[Revenue]]-data[[#This Row],[ShippingCost]]</f>
        <v>-2149</v>
      </c>
      <c r="U1797" s="17">
        <v>3172</v>
      </c>
      <c r="V1797" s="17">
        <v>78</v>
      </c>
      <c r="W1797" s="17" t="s">
        <v>25</v>
      </c>
      <c r="X1797" s="17">
        <v>7</v>
      </c>
      <c r="Y1797" s="17">
        <f>data[[#This Row],[DeliveryDate]]-data[[#This Row],[ShipDate]]</f>
        <v>1</v>
      </c>
      <c r="Z1797" s="17" t="str">
        <f>IF(data[[#This Row],[Actual Delivery Days]]&gt;AD1798,"Yes","No")</f>
        <v>Yes</v>
      </c>
    </row>
    <row r="1798" spans="1:26">
      <c r="A1798" s="17">
        <v>11751</v>
      </c>
      <c r="B1798" s="17">
        <v>2</v>
      </c>
      <c r="C1798" s="17">
        <v>5</v>
      </c>
      <c r="D1798" s="17" t="s">
        <v>571</v>
      </c>
      <c r="E1798" s="17" t="s">
        <v>212</v>
      </c>
      <c r="F1798" s="17" t="str">
        <f>TEXT(data[[#This Row],[ShipDate]],"yyyy - mmmm")</f>
        <v>2016 - August</v>
      </c>
      <c r="G1798" s="17" t="str">
        <f>data[[#This Row],[OriginCity]] &amp; " - "  &amp; data[[#This Row],[DestinationCity]]</f>
        <v>Toledo - Detriot</v>
      </c>
      <c r="H1798" s="17" t="s">
        <v>22</v>
      </c>
      <c r="I1798" s="17" t="s">
        <v>23</v>
      </c>
      <c r="J1798" s="17">
        <v>1</v>
      </c>
      <c r="K1798" s="17" t="s">
        <v>52</v>
      </c>
      <c r="L1798" s="17" t="s">
        <v>21</v>
      </c>
      <c r="M1798" s="17" t="s">
        <v>307</v>
      </c>
      <c r="N1798" s="17">
        <v>1074</v>
      </c>
      <c r="O1798" s="17">
        <v>500</v>
      </c>
      <c r="P1798" s="26">
        <f>(data[[#This Row],[LoadedMiles]]/data[[#This Row],[TotalMiles]])*100</f>
        <v>46.554934823091251</v>
      </c>
      <c r="Q1798" s="25">
        <f>data[[#This Row],[ShippingCost]]/data[[#This Row],[TotalMiles]]</f>
        <v>5.0409683426443204</v>
      </c>
      <c r="R1798" s="17">
        <v>5414</v>
      </c>
      <c r="S1798" s="25">
        <f>data[[#This Row],[Revenue]]/data[[#This Row],[TotalMiles]]</f>
        <v>5.2579143389199254</v>
      </c>
      <c r="T1798" s="26">
        <f>data[[#This Row],[Revenue]]-data[[#This Row],[ShippingCost]]</f>
        <v>233</v>
      </c>
      <c r="U1798" s="17">
        <v>5647</v>
      </c>
      <c r="V1798" s="17">
        <v>76</v>
      </c>
      <c r="W1798" s="17" t="s">
        <v>25</v>
      </c>
      <c r="X1798" s="17">
        <v>7</v>
      </c>
      <c r="Y1798" s="17">
        <f>data[[#This Row],[DeliveryDate]]-data[[#This Row],[ShipDate]]</f>
        <v>1</v>
      </c>
      <c r="Z1798" s="17" t="str">
        <f>IF(data[[#This Row],[Actual Delivery Days]]&gt;AD1799,"Yes","No")</f>
        <v>Yes</v>
      </c>
    </row>
    <row r="1799" spans="1:26">
      <c r="A1799" s="17">
        <v>11761</v>
      </c>
      <c r="B1799" s="17">
        <v>2</v>
      </c>
      <c r="C1799" s="17">
        <v>1</v>
      </c>
      <c r="D1799" s="17" t="s">
        <v>582</v>
      </c>
      <c r="E1799" s="17" t="s">
        <v>531</v>
      </c>
      <c r="F1799" s="17" t="str">
        <f>TEXT(data[[#This Row],[ShipDate]],"yyyy - mmmm")</f>
        <v>2016 - January</v>
      </c>
      <c r="G1799" s="17" t="str">
        <f>data[[#This Row],[OriginCity]] &amp; " - "  &amp; data[[#This Row],[DestinationCity]]</f>
        <v>Chicago - Rockford</v>
      </c>
      <c r="H1799" s="17" t="s">
        <v>39</v>
      </c>
      <c r="I1799" s="17" t="s">
        <v>31</v>
      </c>
      <c r="J1799" s="17">
        <v>1</v>
      </c>
      <c r="K1799" s="17" t="s">
        <v>40</v>
      </c>
      <c r="L1799" s="17" t="s">
        <v>31</v>
      </c>
      <c r="M1799" s="17" t="s">
        <v>625</v>
      </c>
      <c r="N1799" s="17">
        <v>735</v>
      </c>
      <c r="O1799" s="17">
        <v>458</v>
      </c>
      <c r="P1799" s="26">
        <f>(data[[#This Row],[LoadedMiles]]/data[[#This Row],[TotalMiles]])*100</f>
        <v>62.31292517006802</v>
      </c>
      <c r="Q1799" s="25">
        <f>data[[#This Row],[ShippingCost]]/data[[#This Row],[TotalMiles]]</f>
        <v>6.0027210884353739</v>
      </c>
      <c r="R1799" s="17">
        <v>4412</v>
      </c>
      <c r="S1799" s="25">
        <f>data[[#This Row],[Revenue]]/data[[#This Row],[TotalMiles]]</f>
        <v>12.242176870748299</v>
      </c>
      <c r="T1799" s="26">
        <f>data[[#This Row],[Revenue]]-data[[#This Row],[ShippingCost]]</f>
        <v>4586</v>
      </c>
      <c r="U1799" s="17">
        <v>8998</v>
      </c>
      <c r="V1799" s="17">
        <v>85</v>
      </c>
      <c r="W1799" s="17" t="s">
        <v>25</v>
      </c>
      <c r="X1799" s="17">
        <v>4</v>
      </c>
      <c r="Y1799" s="17">
        <f>data[[#This Row],[DeliveryDate]]-data[[#This Row],[ShipDate]]</f>
        <v>1</v>
      </c>
      <c r="Z1799" s="17" t="str">
        <f>IF(data[[#This Row],[Actual Delivery Days]]&gt;AD1800,"Yes","No")</f>
        <v>Yes</v>
      </c>
    </row>
    <row r="1800" spans="1:26">
      <c r="A1800" s="17">
        <v>11768</v>
      </c>
      <c r="B1800" s="17">
        <v>3</v>
      </c>
      <c r="C1800" s="17">
        <v>3</v>
      </c>
      <c r="D1800" s="17" t="s">
        <v>592</v>
      </c>
      <c r="E1800" s="17" t="s">
        <v>352</v>
      </c>
      <c r="F1800" s="17" t="str">
        <f>TEXT(data[[#This Row],[ShipDate]],"yyyy - mmmm")</f>
        <v>2016 - March</v>
      </c>
      <c r="G1800" s="17" t="str">
        <f>data[[#This Row],[OriginCity]] &amp; " - "  &amp; data[[#This Row],[DestinationCity]]</f>
        <v>Green Bay - Joliet</v>
      </c>
      <c r="H1800" s="17" t="s">
        <v>75</v>
      </c>
      <c r="I1800" s="17" t="s">
        <v>29</v>
      </c>
      <c r="J1800" s="17">
        <v>1</v>
      </c>
      <c r="K1800" s="17" t="s">
        <v>61</v>
      </c>
      <c r="L1800" s="17" t="s">
        <v>31</v>
      </c>
      <c r="M1800" s="17" t="s">
        <v>207</v>
      </c>
      <c r="N1800" s="17">
        <v>1094</v>
      </c>
      <c r="O1800" s="17">
        <v>354</v>
      </c>
      <c r="P1800" s="26">
        <f>(data[[#This Row],[LoadedMiles]]/data[[#This Row],[TotalMiles]])*100</f>
        <v>32.358318098720289</v>
      </c>
      <c r="Q1800" s="25">
        <f>data[[#This Row],[ShippingCost]]/data[[#This Row],[TotalMiles]]</f>
        <v>7.7321755027422308</v>
      </c>
      <c r="R1800" s="17">
        <v>8459</v>
      </c>
      <c r="S1800" s="25">
        <f>data[[#This Row],[Revenue]]/data[[#This Row],[TotalMiles]]</f>
        <v>8.0603290676416819</v>
      </c>
      <c r="T1800" s="26">
        <f>data[[#This Row],[Revenue]]-data[[#This Row],[ShippingCost]]</f>
        <v>359</v>
      </c>
      <c r="U1800" s="17">
        <v>8818</v>
      </c>
      <c r="V1800" s="17">
        <v>52</v>
      </c>
      <c r="W1800" s="17" t="s">
        <v>25</v>
      </c>
      <c r="X1800" s="17">
        <v>10</v>
      </c>
      <c r="Y1800" s="17">
        <f>data[[#This Row],[DeliveryDate]]-data[[#This Row],[ShipDate]]</f>
        <v>1</v>
      </c>
      <c r="Z1800" s="17" t="str">
        <f>IF(data[[#This Row],[Actual Delivery Days]]&gt;AD1801,"Yes","No")</f>
        <v>Yes</v>
      </c>
    </row>
    <row r="1801" spans="1:26">
      <c r="A1801" s="17">
        <v>11769</v>
      </c>
      <c r="B1801" s="17">
        <v>2</v>
      </c>
      <c r="C1801" s="17">
        <v>5</v>
      </c>
      <c r="D1801" s="17" t="s">
        <v>593</v>
      </c>
      <c r="E1801" s="17" t="s">
        <v>108</v>
      </c>
      <c r="F1801" s="17" t="str">
        <f>TEXT(data[[#This Row],[ShipDate]],"yyyy - mmmm")</f>
        <v>2016 - May</v>
      </c>
      <c r="G1801" s="17" t="str">
        <f>data[[#This Row],[OriginCity]] &amp; " - "  &amp; data[[#This Row],[DestinationCity]]</f>
        <v>Naperville - Indianapolis</v>
      </c>
      <c r="H1801" s="17" t="s">
        <v>48</v>
      </c>
      <c r="I1801" s="17" t="s">
        <v>31</v>
      </c>
      <c r="J1801" s="17">
        <v>1</v>
      </c>
      <c r="K1801" s="17" t="s">
        <v>43</v>
      </c>
      <c r="L1801" s="17" t="s">
        <v>44</v>
      </c>
      <c r="M1801" s="17" t="s">
        <v>109</v>
      </c>
      <c r="N1801" s="17">
        <v>558</v>
      </c>
      <c r="O1801" s="17">
        <v>453</v>
      </c>
      <c r="P1801" s="26">
        <f>(data[[#This Row],[LoadedMiles]]/data[[#This Row],[TotalMiles]])*100</f>
        <v>81.182795698924721</v>
      </c>
      <c r="Q1801" s="25">
        <f>data[[#This Row],[ShippingCost]]/data[[#This Row],[TotalMiles]]</f>
        <v>12.439068100358423</v>
      </c>
      <c r="R1801" s="17">
        <v>6941</v>
      </c>
      <c r="S1801" s="25">
        <f>data[[#This Row],[Revenue]]/data[[#This Row],[TotalMiles]]</f>
        <v>13.077060931899641</v>
      </c>
      <c r="T1801" s="26">
        <f>data[[#This Row],[Revenue]]-data[[#This Row],[ShippingCost]]</f>
        <v>356</v>
      </c>
      <c r="U1801" s="17">
        <v>7297</v>
      </c>
      <c r="V1801" s="17">
        <v>83</v>
      </c>
      <c r="W1801" s="17" t="s">
        <v>25</v>
      </c>
      <c r="X1801" s="17">
        <v>7</v>
      </c>
      <c r="Y1801" s="17">
        <f>data[[#This Row],[DeliveryDate]]-data[[#This Row],[ShipDate]]</f>
        <v>1</v>
      </c>
      <c r="Z1801" s="17" t="str">
        <f>IF(data[[#This Row],[Actual Delivery Days]]&gt;AD1802,"Yes","No")</f>
        <v>Yes</v>
      </c>
    </row>
    <row r="1802" spans="1:26">
      <c r="A1802" s="17">
        <v>11774</v>
      </c>
      <c r="B1802" s="17">
        <v>2</v>
      </c>
      <c r="C1802" s="17">
        <v>3</v>
      </c>
      <c r="D1802" s="17" t="s">
        <v>599</v>
      </c>
      <c r="E1802" s="17" t="s">
        <v>56</v>
      </c>
      <c r="F1802" s="17" t="str">
        <f>TEXT(data[[#This Row],[ShipDate]],"yyyy - mmmm")</f>
        <v>2016 - May</v>
      </c>
      <c r="G1802" s="17" t="str">
        <f>data[[#This Row],[OriginCity]] &amp; " - "  &amp; data[[#This Row],[DestinationCity]]</f>
        <v>Toledo - Detriot</v>
      </c>
      <c r="H1802" s="17" t="s">
        <v>22</v>
      </c>
      <c r="I1802" s="17" t="s">
        <v>23</v>
      </c>
      <c r="J1802" s="17">
        <v>1</v>
      </c>
      <c r="K1802" s="17" t="s">
        <v>52</v>
      </c>
      <c r="L1802" s="17" t="s">
        <v>21</v>
      </c>
      <c r="M1802" s="17" t="s">
        <v>312</v>
      </c>
      <c r="N1802" s="17">
        <v>684</v>
      </c>
      <c r="O1802" s="17">
        <v>455</v>
      </c>
      <c r="P1802" s="26">
        <f>(data[[#This Row],[LoadedMiles]]/data[[#This Row],[TotalMiles]])*100</f>
        <v>66.520467836257311</v>
      </c>
      <c r="Q1802" s="25">
        <f>data[[#This Row],[ShippingCost]]/data[[#This Row],[TotalMiles]]</f>
        <v>8.9137426900584789</v>
      </c>
      <c r="R1802" s="17">
        <v>6097</v>
      </c>
      <c r="S1802" s="25">
        <f>data[[#This Row],[Revenue]]/data[[#This Row],[TotalMiles]]</f>
        <v>9.0994152046783618</v>
      </c>
      <c r="T1802" s="26">
        <f>data[[#This Row],[Revenue]]-data[[#This Row],[ShippingCost]]</f>
        <v>127</v>
      </c>
      <c r="U1802" s="17">
        <v>6224</v>
      </c>
      <c r="V1802" s="17">
        <v>59</v>
      </c>
      <c r="W1802" s="17" t="s">
        <v>25</v>
      </c>
      <c r="X1802" s="17">
        <v>4</v>
      </c>
      <c r="Y1802" s="17">
        <f>data[[#This Row],[DeliveryDate]]-data[[#This Row],[ShipDate]]</f>
        <v>1</v>
      </c>
      <c r="Z1802" s="17" t="str">
        <f>IF(data[[#This Row],[Actual Delivery Days]]&gt;AD1803,"Yes","No")</f>
        <v>Yes</v>
      </c>
    </row>
    <row r="1803" spans="1:26">
      <c r="A1803" s="17">
        <v>11779</v>
      </c>
      <c r="B1803" s="17">
        <v>2</v>
      </c>
      <c r="C1803" s="17">
        <v>5</v>
      </c>
      <c r="D1803" s="17" t="s">
        <v>604</v>
      </c>
      <c r="E1803" s="17" t="s">
        <v>625</v>
      </c>
      <c r="F1803" s="17" t="str">
        <f>TEXT(data[[#This Row],[ShipDate]],"yyyy - mmmm")</f>
        <v>2016 - January</v>
      </c>
      <c r="G1803" s="17" t="str">
        <f>data[[#This Row],[OriginCity]] &amp; " - "  &amp; data[[#This Row],[DestinationCity]]</f>
        <v>Kalamazoo - Bangor</v>
      </c>
      <c r="H1803" s="17" t="s">
        <v>71</v>
      </c>
      <c r="I1803" s="17" t="s">
        <v>21</v>
      </c>
      <c r="J1803" s="17">
        <v>1</v>
      </c>
      <c r="K1803" s="17" t="s">
        <v>104</v>
      </c>
      <c r="L1803" s="17" t="s">
        <v>21</v>
      </c>
      <c r="M1803" s="17" t="s">
        <v>70</v>
      </c>
      <c r="N1803" s="17">
        <v>941</v>
      </c>
      <c r="O1803" s="17">
        <v>290</v>
      </c>
      <c r="P1803" s="26">
        <f>(data[[#This Row],[LoadedMiles]]/data[[#This Row],[TotalMiles]])*100</f>
        <v>30.818278427205104</v>
      </c>
      <c r="Q1803" s="25">
        <f>data[[#This Row],[ShippingCost]]/data[[#This Row],[TotalMiles]]</f>
        <v>2.6036131774707756</v>
      </c>
      <c r="R1803" s="17">
        <v>2450</v>
      </c>
      <c r="S1803" s="25">
        <f>data[[#This Row],[Revenue]]/data[[#This Row],[TotalMiles]]</f>
        <v>3.0573857598299683</v>
      </c>
      <c r="T1803" s="26">
        <f>data[[#This Row],[Revenue]]-data[[#This Row],[ShippingCost]]</f>
        <v>427</v>
      </c>
      <c r="U1803" s="17">
        <v>2877</v>
      </c>
      <c r="V1803" s="17">
        <v>78</v>
      </c>
      <c r="W1803" s="17" t="s">
        <v>25</v>
      </c>
      <c r="X1803" s="17">
        <v>8</v>
      </c>
      <c r="Y1803" s="17">
        <f>data[[#This Row],[DeliveryDate]]-data[[#This Row],[ShipDate]]</f>
        <v>1</v>
      </c>
      <c r="Z1803" s="17" t="str">
        <f>IF(data[[#This Row],[Actual Delivery Days]]&gt;AD1804,"Yes","No")</f>
        <v>Yes</v>
      </c>
    </row>
    <row r="1804" spans="1:26">
      <c r="A1804" s="17">
        <v>11789</v>
      </c>
      <c r="B1804" s="17">
        <v>2</v>
      </c>
      <c r="C1804" s="17">
        <v>2</v>
      </c>
      <c r="D1804" s="17" t="s">
        <v>64</v>
      </c>
      <c r="E1804" s="17" t="s">
        <v>413</v>
      </c>
      <c r="F1804" s="17" t="str">
        <f>TEXT(data[[#This Row],[ShipDate]],"yyyy - mmmm")</f>
        <v>2016 - April</v>
      </c>
      <c r="G1804" s="17" t="str">
        <f>data[[#This Row],[OriginCity]] &amp; " - "  &amp; data[[#This Row],[DestinationCity]]</f>
        <v>Monon - Lansing</v>
      </c>
      <c r="H1804" s="17" t="s">
        <v>53</v>
      </c>
      <c r="I1804" s="17" t="s">
        <v>44</v>
      </c>
      <c r="J1804" s="17">
        <v>1</v>
      </c>
      <c r="K1804" s="17" t="s">
        <v>66</v>
      </c>
      <c r="L1804" s="17" t="s">
        <v>21</v>
      </c>
      <c r="M1804" s="17" t="s">
        <v>97</v>
      </c>
      <c r="N1804" s="17">
        <v>529</v>
      </c>
      <c r="O1804" s="17">
        <v>529</v>
      </c>
      <c r="P1804" s="26">
        <f>(data[[#This Row],[LoadedMiles]]/data[[#This Row],[TotalMiles]])*100</f>
        <v>100</v>
      </c>
      <c r="Q1804" s="25">
        <f>data[[#This Row],[ShippingCost]]/data[[#This Row],[TotalMiles]]</f>
        <v>14.500945179584122</v>
      </c>
      <c r="R1804" s="17">
        <v>7671</v>
      </c>
      <c r="S1804" s="25">
        <f>data[[#This Row],[Revenue]]/data[[#This Row],[TotalMiles]]</f>
        <v>14.86578449905482</v>
      </c>
      <c r="T1804" s="26">
        <f>data[[#This Row],[Revenue]]-data[[#This Row],[ShippingCost]]</f>
        <v>193</v>
      </c>
      <c r="U1804" s="17">
        <v>7864</v>
      </c>
      <c r="V1804" s="17">
        <v>93</v>
      </c>
      <c r="W1804" s="17" t="s">
        <v>25</v>
      </c>
      <c r="X1804" s="17">
        <v>4</v>
      </c>
      <c r="Y1804" s="17">
        <f>data[[#This Row],[DeliveryDate]]-data[[#This Row],[ShipDate]]</f>
        <v>1</v>
      </c>
      <c r="Z1804" s="17" t="str">
        <f>IF(data[[#This Row],[Actual Delivery Days]]&gt;AD1805,"Yes","No")</f>
        <v>Yes</v>
      </c>
    </row>
    <row r="1805" spans="1:26">
      <c r="A1805" s="17">
        <v>11795</v>
      </c>
      <c r="B1805" s="17">
        <v>2</v>
      </c>
      <c r="C1805" s="17">
        <v>6</v>
      </c>
      <c r="D1805" s="17" t="s">
        <v>87</v>
      </c>
      <c r="E1805" s="17" t="s">
        <v>415</v>
      </c>
      <c r="F1805" s="17" t="str">
        <f>TEXT(data[[#This Row],[ShipDate]],"yyyy - mmmm")</f>
        <v>2016 - August</v>
      </c>
      <c r="G1805" s="17" t="str">
        <f>data[[#This Row],[OriginCity]] &amp; " - "  &amp; data[[#This Row],[DestinationCity]]</f>
        <v>Cincinnati - Gary</v>
      </c>
      <c r="H1805" s="17" t="s">
        <v>89</v>
      </c>
      <c r="I1805" s="17" t="s">
        <v>23</v>
      </c>
      <c r="J1805" s="17">
        <v>1</v>
      </c>
      <c r="K1805" s="17" t="s">
        <v>57</v>
      </c>
      <c r="L1805" s="17" t="s">
        <v>44</v>
      </c>
      <c r="M1805" s="17" t="s">
        <v>416</v>
      </c>
      <c r="N1805" s="17">
        <v>742</v>
      </c>
      <c r="O1805" s="17">
        <v>417</v>
      </c>
      <c r="P1805" s="26">
        <f>(data[[#This Row],[LoadedMiles]]/data[[#This Row],[TotalMiles]])*100</f>
        <v>56.199460916442042</v>
      </c>
      <c r="Q1805" s="25">
        <f>data[[#This Row],[ShippingCost]]/data[[#This Row],[TotalMiles]]</f>
        <v>6.6159029649595684</v>
      </c>
      <c r="R1805" s="17">
        <v>4909</v>
      </c>
      <c r="S1805" s="25">
        <f>data[[#This Row],[Revenue]]/data[[#This Row],[TotalMiles]]</f>
        <v>7.4663072776280321</v>
      </c>
      <c r="T1805" s="26">
        <f>data[[#This Row],[Revenue]]-data[[#This Row],[ShippingCost]]</f>
        <v>631</v>
      </c>
      <c r="U1805" s="17">
        <v>5540</v>
      </c>
      <c r="V1805" s="17">
        <v>93</v>
      </c>
      <c r="W1805" s="17" t="s">
        <v>25</v>
      </c>
      <c r="X1805" s="17">
        <v>7</v>
      </c>
      <c r="Y1805" s="17">
        <f>data[[#This Row],[DeliveryDate]]-data[[#This Row],[ShipDate]]</f>
        <v>1</v>
      </c>
      <c r="Z1805" s="17" t="str">
        <f>IF(data[[#This Row],[Actual Delivery Days]]&gt;AD1806,"Yes","No")</f>
        <v>Yes</v>
      </c>
    </row>
    <row r="1806" spans="1:26">
      <c r="A1806" s="17">
        <v>11798</v>
      </c>
      <c r="B1806" s="17">
        <v>2</v>
      </c>
      <c r="C1806" s="17">
        <v>1</v>
      </c>
      <c r="D1806" s="17" t="s">
        <v>99</v>
      </c>
      <c r="E1806" s="17" t="s">
        <v>447</v>
      </c>
      <c r="F1806" s="17" t="str">
        <f>TEXT(data[[#This Row],[ShipDate]],"yyyy - mmmm")</f>
        <v>2016 - January</v>
      </c>
      <c r="G1806" s="17" t="str">
        <f>data[[#This Row],[OriginCity]] &amp; " - "  &amp; data[[#This Row],[DestinationCity]]</f>
        <v>Lansing - Dayton</v>
      </c>
      <c r="H1806" s="17" t="s">
        <v>66</v>
      </c>
      <c r="I1806" s="17" t="s">
        <v>21</v>
      </c>
      <c r="J1806" s="17">
        <v>1</v>
      </c>
      <c r="K1806" s="17" t="s">
        <v>93</v>
      </c>
      <c r="L1806" s="17" t="s">
        <v>23</v>
      </c>
      <c r="M1806" s="17" t="s">
        <v>229</v>
      </c>
      <c r="N1806" s="17">
        <v>842</v>
      </c>
      <c r="O1806" s="17">
        <v>566</v>
      </c>
      <c r="P1806" s="26">
        <f>(data[[#This Row],[LoadedMiles]]/data[[#This Row],[TotalMiles]])*100</f>
        <v>67.220902612826606</v>
      </c>
      <c r="Q1806" s="25">
        <f>data[[#This Row],[ShippingCost]]/data[[#This Row],[TotalMiles]]</f>
        <v>1.4144893111638954</v>
      </c>
      <c r="R1806" s="17">
        <v>1191</v>
      </c>
      <c r="S1806" s="25">
        <f>data[[#This Row],[Revenue]]/data[[#This Row],[TotalMiles]]</f>
        <v>6.725653206650831</v>
      </c>
      <c r="T1806" s="26">
        <f>data[[#This Row],[Revenue]]-data[[#This Row],[ShippingCost]]</f>
        <v>4472</v>
      </c>
      <c r="U1806" s="17">
        <v>5663</v>
      </c>
      <c r="V1806" s="17">
        <v>60</v>
      </c>
      <c r="W1806" s="17" t="s">
        <v>25</v>
      </c>
      <c r="X1806" s="17">
        <v>7</v>
      </c>
      <c r="Y1806" s="17">
        <f>data[[#This Row],[DeliveryDate]]-data[[#This Row],[ShipDate]]</f>
        <v>1</v>
      </c>
      <c r="Z1806" s="17" t="str">
        <f>IF(data[[#This Row],[Actual Delivery Days]]&gt;AD1807,"Yes","No")</f>
        <v>Yes</v>
      </c>
    </row>
    <row r="1807" spans="1:26">
      <c r="A1807" s="17">
        <v>11805</v>
      </c>
      <c r="B1807" s="17">
        <v>3</v>
      </c>
      <c r="C1807" s="17">
        <v>5</v>
      </c>
      <c r="D1807" s="17" t="s">
        <v>123</v>
      </c>
      <c r="E1807" s="17" t="s">
        <v>116</v>
      </c>
      <c r="F1807" s="17" t="str">
        <f>TEXT(data[[#This Row],[ShipDate]],"yyyy - mmmm")</f>
        <v>2016 - July</v>
      </c>
      <c r="G1807" s="17" t="str">
        <f>data[[#This Row],[OriginCity]] &amp; " - "  &amp; data[[#This Row],[DestinationCity]]</f>
        <v>Springfield - Skokie</v>
      </c>
      <c r="H1807" s="17" t="s">
        <v>30</v>
      </c>
      <c r="I1807" s="17" t="s">
        <v>31</v>
      </c>
      <c r="J1807" s="17">
        <v>1</v>
      </c>
      <c r="K1807" s="17" t="s">
        <v>35</v>
      </c>
      <c r="L1807" s="17" t="s">
        <v>31</v>
      </c>
      <c r="M1807" s="17" t="s">
        <v>19</v>
      </c>
      <c r="N1807" s="17">
        <v>824</v>
      </c>
      <c r="O1807" s="17">
        <v>432</v>
      </c>
      <c r="P1807" s="26">
        <f>(data[[#This Row],[LoadedMiles]]/data[[#This Row],[TotalMiles]])*100</f>
        <v>52.427184466019419</v>
      </c>
      <c r="Q1807" s="25">
        <f>data[[#This Row],[ShippingCost]]/data[[#This Row],[TotalMiles]]</f>
        <v>9.2293689320388346</v>
      </c>
      <c r="R1807" s="17">
        <v>7605</v>
      </c>
      <c r="S1807" s="25">
        <f>data[[#This Row],[Revenue]]/data[[#This Row],[TotalMiles]]</f>
        <v>10.243932038834952</v>
      </c>
      <c r="T1807" s="26">
        <f>data[[#This Row],[Revenue]]-data[[#This Row],[ShippingCost]]</f>
        <v>836</v>
      </c>
      <c r="U1807" s="17">
        <v>8441</v>
      </c>
      <c r="V1807" s="17">
        <v>99</v>
      </c>
      <c r="W1807" s="17" t="s">
        <v>86</v>
      </c>
      <c r="X1807" s="17">
        <v>9</v>
      </c>
      <c r="Y1807" s="17">
        <f>data[[#This Row],[DeliveryDate]]-data[[#This Row],[ShipDate]]</f>
        <v>1</v>
      </c>
      <c r="Z1807" s="17" t="str">
        <f>IF(data[[#This Row],[Actual Delivery Days]]&gt;AD1808,"Yes","No")</f>
        <v>Yes</v>
      </c>
    </row>
    <row r="1808" spans="1:26">
      <c r="A1808" s="17">
        <v>11807</v>
      </c>
      <c r="B1808" s="17">
        <v>2</v>
      </c>
      <c r="C1808" s="17">
        <v>2</v>
      </c>
      <c r="D1808" s="17" t="s">
        <v>131</v>
      </c>
      <c r="E1808" s="17" t="s">
        <v>470</v>
      </c>
      <c r="F1808" s="17" t="str">
        <f>TEXT(data[[#This Row],[ShipDate]],"yyyy - mmmm")</f>
        <v>2016 - August</v>
      </c>
      <c r="G1808" s="17" t="str">
        <f>data[[#This Row],[OriginCity]] &amp; " - "  &amp; data[[#This Row],[DestinationCity]]</f>
        <v>Northbrook - Naperville</v>
      </c>
      <c r="H1808" s="17" t="s">
        <v>45</v>
      </c>
      <c r="I1808" s="17" t="s">
        <v>31</v>
      </c>
      <c r="J1808" s="17">
        <v>1</v>
      </c>
      <c r="K1808" s="17" t="s">
        <v>48</v>
      </c>
      <c r="L1808" s="17" t="s">
        <v>31</v>
      </c>
      <c r="M1808" s="17" t="s">
        <v>141</v>
      </c>
      <c r="N1808" s="17">
        <v>1193</v>
      </c>
      <c r="O1808" s="17">
        <v>433</v>
      </c>
      <c r="P1808" s="26">
        <f>(data[[#This Row],[LoadedMiles]]/data[[#This Row],[TotalMiles]])*100</f>
        <v>36.295054484492873</v>
      </c>
      <c r="Q1808" s="25">
        <f>data[[#This Row],[ShippingCost]]/data[[#This Row],[TotalMiles]]</f>
        <v>3.6797988264878456</v>
      </c>
      <c r="R1808" s="17">
        <v>4390</v>
      </c>
      <c r="S1808" s="25">
        <f>data[[#This Row],[Revenue]]/data[[#This Row],[TotalMiles]]</f>
        <v>4.169321039396479</v>
      </c>
      <c r="T1808" s="26">
        <f>data[[#This Row],[Revenue]]-data[[#This Row],[ShippingCost]]</f>
        <v>584</v>
      </c>
      <c r="U1808" s="17">
        <v>4974</v>
      </c>
      <c r="V1808" s="17">
        <v>74</v>
      </c>
      <c r="W1808" s="17" t="s">
        <v>25</v>
      </c>
      <c r="X1808" s="17">
        <v>6</v>
      </c>
      <c r="Y1808" s="17">
        <f>data[[#This Row],[DeliveryDate]]-data[[#This Row],[ShipDate]]</f>
        <v>1</v>
      </c>
      <c r="Z1808" s="17" t="str">
        <f>IF(data[[#This Row],[Actual Delivery Days]]&gt;AD1809,"Yes","No")</f>
        <v>Yes</v>
      </c>
    </row>
    <row r="1809" spans="1:26">
      <c r="A1809" s="17">
        <v>10079</v>
      </c>
      <c r="B1809" s="17">
        <v>1</v>
      </c>
      <c r="C1809" s="17">
        <v>5</v>
      </c>
      <c r="D1809" s="17" t="s">
        <v>280</v>
      </c>
      <c r="E1809" s="17" t="s">
        <v>226</v>
      </c>
      <c r="F1809" s="17" t="str">
        <f>TEXT(data[[#This Row],[ShipDate]],"yyyy - mmmm")</f>
        <v>2016 - May</v>
      </c>
      <c r="G1809" s="17" t="str">
        <f>data[[#This Row],[OriginCity]] &amp; " - "  &amp; data[[#This Row],[DestinationCity]]</f>
        <v>Grand Rapids - Toledo</v>
      </c>
      <c r="H1809" s="17" t="s">
        <v>20</v>
      </c>
      <c r="I1809" s="17" t="s">
        <v>21</v>
      </c>
      <c r="J1809" s="17"/>
      <c r="K1809" s="17" t="s">
        <v>22</v>
      </c>
      <c r="L1809" s="17" t="s">
        <v>23</v>
      </c>
      <c r="M1809" s="17" t="s">
        <v>227</v>
      </c>
      <c r="N1809" s="17">
        <v>469</v>
      </c>
      <c r="O1809" s="17">
        <v>264</v>
      </c>
      <c r="P1809" s="26">
        <f>(data[[#This Row],[LoadedMiles]]/data[[#This Row],[TotalMiles]])*100</f>
        <v>56.289978678038381</v>
      </c>
      <c r="Q1809" s="25">
        <f>data[[#This Row],[ShippingCost]]/data[[#This Row],[TotalMiles]]</f>
        <v>13.183368869936034</v>
      </c>
      <c r="R1809" s="17">
        <v>6183</v>
      </c>
      <c r="S1809" s="25">
        <f>data[[#This Row],[Revenue]]/data[[#This Row],[TotalMiles]]</f>
        <v>13.49680170575693</v>
      </c>
      <c r="T1809" s="26">
        <f>data[[#This Row],[Revenue]]-data[[#This Row],[ShippingCost]]</f>
        <v>147</v>
      </c>
      <c r="U1809" s="17">
        <v>6330</v>
      </c>
      <c r="V1809" s="17">
        <v>75</v>
      </c>
      <c r="W1809" s="17" t="s">
        <v>25</v>
      </c>
      <c r="X1809" s="17">
        <v>9</v>
      </c>
      <c r="Y1809" s="17">
        <f>data[[#This Row],[DeliveryDate]]-data[[#This Row],[ShipDate]]</f>
        <v>1</v>
      </c>
      <c r="Z1809" s="17" t="str">
        <f>IF(data[[#This Row],[Actual Delivery Days]]&gt;AD1810,"Yes","No")</f>
        <v>Yes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239F-FAD7-4E54-B9DA-8982E5AAAF6C}">
  <dimension ref="A2:P190"/>
  <sheetViews>
    <sheetView tabSelected="1" topLeftCell="B97" workbookViewId="0">
      <selection activeCell="I18" sqref="I18"/>
    </sheetView>
  </sheetViews>
  <sheetFormatPr defaultRowHeight="14.4"/>
  <cols>
    <col min="1" max="1" width="10.5546875" customWidth="1"/>
    <col min="2" max="2" width="21.5546875" customWidth="1"/>
    <col min="3" max="3" width="20.44140625" customWidth="1"/>
    <col min="4" max="4" width="20.5546875" customWidth="1"/>
    <col min="5" max="5" width="20.44140625" customWidth="1"/>
  </cols>
  <sheetData>
    <row r="2" spans="1:16">
      <c r="A2" s="51" t="s">
        <v>707</v>
      </c>
      <c r="B2" s="48" t="s">
        <v>643</v>
      </c>
      <c r="C2" s="23"/>
      <c r="D2" s="23"/>
      <c r="E2" s="23"/>
      <c r="F2" s="9"/>
      <c r="G2" s="9"/>
      <c r="H2" s="9"/>
      <c r="I2" s="9"/>
    </row>
    <row r="4" spans="1:16">
      <c r="A4" s="22" t="s">
        <v>708</v>
      </c>
      <c r="B4" s="62" t="s">
        <v>665</v>
      </c>
      <c r="C4" s="64">
        <f>AVERAGE(Data!J2:J1808)</f>
        <v>4.2401770890979522</v>
      </c>
    </row>
    <row r="6" spans="1:16">
      <c r="A6" s="51" t="s">
        <v>709</v>
      </c>
      <c r="B6" s="48" t="s">
        <v>644</v>
      </c>
      <c r="C6" s="23"/>
      <c r="D6" s="23"/>
      <c r="E6" s="23"/>
      <c r="F6" s="23"/>
      <c r="G6" s="9"/>
      <c r="H6" s="9"/>
      <c r="I6" s="9"/>
      <c r="J6" s="9"/>
      <c r="K6" s="9"/>
      <c r="L6" s="4"/>
    </row>
    <row r="7" spans="1:16">
      <c r="K7" s="42"/>
      <c r="L7" s="42"/>
      <c r="M7" s="42"/>
      <c r="N7" s="42"/>
      <c r="O7" s="42"/>
      <c r="P7" s="42"/>
    </row>
    <row r="8" spans="1:16">
      <c r="B8" s="62" t="s">
        <v>666</v>
      </c>
      <c r="C8" s="61"/>
      <c r="D8" s="62" t="s">
        <v>667</v>
      </c>
      <c r="E8" s="63"/>
      <c r="F8" s="43"/>
      <c r="G8" s="43"/>
      <c r="K8" s="45"/>
      <c r="L8" s="43"/>
      <c r="M8" s="45"/>
      <c r="N8" s="43"/>
      <c r="O8" s="43"/>
      <c r="P8" s="42"/>
    </row>
    <row r="9" spans="1:16">
      <c r="B9" s="65"/>
      <c r="C9" s="64"/>
      <c r="D9" s="65"/>
      <c r="E9" s="66"/>
      <c r="F9" s="43"/>
      <c r="G9" s="43"/>
      <c r="K9" s="45"/>
      <c r="L9" s="43"/>
      <c r="M9" s="45"/>
      <c r="N9" s="43"/>
      <c r="O9" s="43"/>
      <c r="P9" s="42"/>
    </row>
    <row r="10" spans="1:16">
      <c r="B10" s="64" t="s">
        <v>661</v>
      </c>
      <c r="C10" s="64" t="s">
        <v>663</v>
      </c>
      <c r="D10" s="64" t="s">
        <v>661</v>
      </c>
      <c r="E10" s="66" t="s">
        <v>663</v>
      </c>
      <c r="F10" s="43"/>
      <c r="G10" s="43"/>
      <c r="K10" s="43"/>
      <c r="L10" s="43"/>
      <c r="M10" s="43"/>
      <c r="N10" s="43"/>
      <c r="O10" s="43"/>
      <c r="P10" s="42"/>
    </row>
    <row r="11" spans="1:16">
      <c r="B11" s="67" t="s">
        <v>45</v>
      </c>
      <c r="C11" s="68">
        <v>4.8815789473684212</v>
      </c>
      <c r="D11" s="67" t="s">
        <v>61</v>
      </c>
      <c r="E11" s="69">
        <v>3.2328767123287672</v>
      </c>
      <c r="F11" s="43"/>
      <c r="G11" s="43"/>
      <c r="K11" s="42"/>
      <c r="L11" s="42"/>
      <c r="M11" s="42"/>
      <c r="N11" s="42"/>
      <c r="O11" s="43"/>
      <c r="P11" s="42"/>
    </row>
    <row r="12" spans="1:16">
      <c r="K12" s="42"/>
      <c r="L12" s="45"/>
      <c r="M12" s="43"/>
      <c r="N12" s="45"/>
      <c r="O12" s="43"/>
      <c r="P12" s="43"/>
    </row>
    <row r="13" spans="1:16">
      <c r="K13" s="42"/>
      <c r="L13" s="45"/>
      <c r="M13" s="43"/>
      <c r="N13" s="45"/>
      <c r="O13" s="43"/>
      <c r="P13" s="43"/>
    </row>
    <row r="14" spans="1:16">
      <c r="A14" s="23" t="s">
        <v>710</v>
      </c>
      <c r="B14" s="48" t="s">
        <v>631</v>
      </c>
      <c r="C14" s="23"/>
      <c r="D14" s="23"/>
      <c r="E14" s="23"/>
      <c r="F14" s="9"/>
      <c r="G14" s="9"/>
      <c r="H14" s="9"/>
      <c r="I14" s="9"/>
      <c r="J14" s="9"/>
      <c r="K14" s="43"/>
      <c r="L14" s="43"/>
      <c r="M14" s="43"/>
      <c r="N14" s="43"/>
      <c r="O14" s="43"/>
      <c r="P14" s="43"/>
    </row>
    <row r="15" spans="1:16">
      <c r="K15" s="42"/>
      <c r="L15" s="43"/>
      <c r="M15" s="43"/>
      <c r="N15" s="43"/>
      <c r="O15" s="43"/>
      <c r="P15" s="43"/>
    </row>
    <row r="16" spans="1:16">
      <c r="B16" s="61" t="s">
        <v>661</v>
      </c>
      <c r="C16" s="61" t="s">
        <v>668</v>
      </c>
      <c r="D16" s="61" t="s">
        <v>663</v>
      </c>
      <c r="F16" s="43"/>
    </row>
    <row r="17" spans="1:14">
      <c r="B17" s="67">
        <v>1</v>
      </c>
      <c r="C17" s="64">
        <v>479</v>
      </c>
      <c r="D17" s="68">
        <v>4.1255230125523017</v>
      </c>
      <c r="F17" s="43"/>
    </row>
    <row r="18" spans="1:14">
      <c r="B18" s="67">
        <v>2</v>
      </c>
      <c r="C18" s="64">
        <v>881</v>
      </c>
      <c r="D18" s="68">
        <v>4.2667423382519862</v>
      </c>
      <c r="F18" s="43"/>
    </row>
    <row r="19" spans="1:14">
      <c r="B19" s="67">
        <v>3</v>
      </c>
      <c r="C19" s="64">
        <v>448</v>
      </c>
      <c r="D19" s="68">
        <v>4.3102678571428568</v>
      </c>
      <c r="F19" s="43"/>
    </row>
    <row r="20" spans="1:14">
      <c r="B20" s="67" t="s">
        <v>662</v>
      </c>
      <c r="C20" s="64">
        <v>1808</v>
      </c>
      <c r="D20" s="68">
        <v>4.2401770890979522</v>
      </c>
      <c r="F20" s="43"/>
    </row>
    <row r="22" spans="1:14">
      <c r="A22" s="46"/>
      <c r="B22" s="9"/>
      <c r="C22" s="9"/>
      <c r="D22" s="9"/>
      <c r="E22" s="9"/>
      <c r="F22" s="9"/>
      <c r="G22" s="9"/>
    </row>
    <row r="23" spans="1:14">
      <c r="A23" s="49" t="s">
        <v>711</v>
      </c>
      <c r="B23" s="50" t="s">
        <v>633</v>
      </c>
      <c r="C23" s="23"/>
      <c r="D23" s="23"/>
      <c r="E23" s="9"/>
      <c r="F23" s="9"/>
      <c r="G23" s="9"/>
      <c r="H23" s="9"/>
      <c r="J23" s="42"/>
    </row>
    <row r="25" spans="1:14">
      <c r="B25" s="59" t="s">
        <v>669</v>
      </c>
      <c r="C25" s="59" t="s">
        <v>670</v>
      </c>
      <c r="D25" s="60" t="s">
        <v>671</v>
      </c>
      <c r="E25" s="61"/>
      <c r="F25" s="40"/>
      <c r="L25" s="42"/>
      <c r="M25" s="43"/>
      <c r="N25" s="43"/>
    </row>
    <row r="26" spans="1:14">
      <c r="B26" s="64">
        <v>8813359</v>
      </c>
      <c r="C26" s="64">
        <v>7876823</v>
      </c>
      <c r="D26" s="64" t="e">
        <f>GETPIVOTDATA("Sum of Revenue",$N$17)-GETPIVOTDATA("Sum of ShippingCost",$N$17)</f>
        <v>#REF!</v>
      </c>
      <c r="E26" s="64"/>
      <c r="F26" s="40"/>
      <c r="L26" s="43"/>
      <c r="M26" s="43"/>
      <c r="N26" s="43"/>
    </row>
    <row r="28" spans="1:14">
      <c r="A28" s="46"/>
    </row>
    <row r="29" spans="1:14">
      <c r="A29" s="49" t="s">
        <v>712</v>
      </c>
      <c r="B29" s="50" t="s">
        <v>645</v>
      </c>
      <c r="C29" s="23"/>
      <c r="D29" s="23"/>
      <c r="E29" s="9"/>
      <c r="F29" s="9"/>
      <c r="G29" s="9"/>
      <c r="M29" s="44"/>
    </row>
    <row r="31" spans="1:14">
      <c r="B31" s="41"/>
      <c r="C31" s="55" t="s">
        <v>661</v>
      </c>
      <c r="D31" s="58" t="s">
        <v>669</v>
      </c>
    </row>
    <row r="32" spans="1:14">
      <c r="B32" s="9"/>
      <c r="C32" s="70">
        <v>10847</v>
      </c>
      <c r="D32" s="71">
        <v>13410</v>
      </c>
    </row>
    <row r="33" spans="1:8">
      <c r="B33" s="9"/>
      <c r="C33" s="72" t="s">
        <v>662</v>
      </c>
      <c r="D33" s="73">
        <v>13410</v>
      </c>
    </row>
    <row r="35" spans="1:8">
      <c r="A35" s="23" t="s">
        <v>713</v>
      </c>
      <c r="B35" s="48" t="s">
        <v>646</v>
      </c>
      <c r="C35" s="23"/>
      <c r="D35" s="23"/>
      <c r="E35" s="9"/>
      <c r="F35" s="9"/>
      <c r="G35" s="9"/>
      <c r="H35" s="9"/>
    </row>
    <row r="37" spans="1:8">
      <c r="B37" s="41"/>
      <c r="C37" s="55" t="s">
        <v>661</v>
      </c>
      <c r="D37" s="55" t="s">
        <v>675</v>
      </c>
      <c r="E37" s="57" t="s">
        <v>674</v>
      </c>
      <c r="F37" s="9"/>
    </row>
    <row r="38" spans="1:8">
      <c r="B38" s="9"/>
      <c r="C38" s="70">
        <v>1</v>
      </c>
      <c r="D38" s="74">
        <v>3822.2199448314032</v>
      </c>
      <c r="E38" s="75">
        <v>3892.6587784644048</v>
      </c>
      <c r="F38" s="9"/>
    </row>
    <row r="39" spans="1:8">
      <c r="B39" s="9"/>
      <c r="C39" s="70">
        <v>2</v>
      </c>
      <c r="D39" s="74">
        <v>6673.6782280053121</v>
      </c>
      <c r="E39" s="75">
        <v>7527.9445323314158</v>
      </c>
      <c r="F39" s="9"/>
    </row>
    <row r="40" spans="1:8">
      <c r="B40" s="9"/>
      <c r="C40" s="70">
        <v>3</v>
      </c>
      <c r="D40" s="74">
        <v>3491.4484136213405</v>
      </c>
      <c r="E40" s="75">
        <v>4314.9030893760491</v>
      </c>
      <c r="F40" s="9"/>
    </row>
    <row r="41" spans="1:8">
      <c r="B41" s="9"/>
      <c r="C41" s="72" t="s">
        <v>662</v>
      </c>
      <c r="D41" s="76">
        <v>13987.346586458054</v>
      </c>
      <c r="E41" s="77">
        <v>15735.506400171871</v>
      </c>
      <c r="F41" s="9"/>
    </row>
    <row r="42" spans="1:8">
      <c r="B42" s="9"/>
      <c r="C42" s="9"/>
      <c r="D42" s="9"/>
      <c r="E42" s="9"/>
      <c r="F42" s="9"/>
    </row>
    <row r="44" spans="1:8">
      <c r="A44" s="23" t="s">
        <v>714</v>
      </c>
      <c r="B44" s="48" t="s">
        <v>647</v>
      </c>
      <c r="C44" s="23"/>
      <c r="D44" s="9"/>
      <c r="E44" s="9"/>
      <c r="F44" s="9"/>
    </row>
    <row r="46" spans="1:8">
      <c r="B46" s="22" t="s">
        <v>676</v>
      </c>
      <c r="C46" s="58" t="s">
        <v>664</v>
      </c>
    </row>
    <row r="47" spans="1:8">
      <c r="B47" t="s">
        <v>677</v>
      </c>
      <c r="C47" s="78">
        <v>74.643805309734518</v>
      </c>
    </row>
    <row r="49" spans="1:6">
      <c r="A49" s="23" t="s">
        <v>715</v>
      </c>
      <c r="B49" s="48" t="s">
        <v>648</v>
      </c>
      <c r="C49" s="23"/>
      <c r="D49" s="9"/>
      <c r="E49" s="9"/>
    </row>
    <row r="51" spans="1:6">
      <c r="B51" s="55" t="s">
        <v>661</v>
      </c>
      <c r="C51" s="58" t="s">
        <v>664</v>
      </c>
    </row>
    <row r="52" spans="1:6">
      <c r="B52" s="70" t="s">
        <v>25</v>
      </c>
      <c r="C52" s="79">
        <v>75.306422018348627</v>
      </c>
    </row>
    <row r="53" spans="1:6">
      <c r="B53" s="80" t="s">
        <v>86</v>
      </c>
      <c r="C53" s="81">
        <v>74.764705882352942</v>
      </c>
    </row>
    <row r="54" spans="1:6">
      <c r="B54" s="80" t="s">
        <v>68</v>
      </c>
      <c r="C54" s="81">
        <v>73.486571879936804</v>
      </c>
    </row>
    <row r="55" spans="1:6">
      <c r="B55" s="72" t="s">
        <v>662</v>
      </c>
      <c r="C55" s="82">
        <v>74.643805309734518</v>
      </c>
    </row>
    <row r="57" spans="1:6">
      <c r="A57" s="23" t="s">
        <v>716</v>
      </c>
      <c r="B57" s="48" t="s">
        <v>649</v>
      </c>
      <c r="C57" s="9"/>
      <c r="D57" s="9"/>
      <c r="E57" s="9"/>
    </row>
    <row r="59" spans="1:6">
      <c r="B59" s="58" t="s">
        <v>679</v>
      </c>
    </row>
    <row r="60" spans="1:6">
      <c r="B60" s="83">
        <v>70.676739115639279</v>
      </c>
    </row>
    <row r="62" spans="1:6">
      <c r="A62" s="23" t="s">
        <v>717</v>
      </c>
      <c r="B62" s="48" t="s">
        <v>636</v>
      </c>
      <c r="C62" s="23"/>
      <c r="D62" s="9"/>
      <c r="E62" s="9"/>
      <c r="F62" s="9"/>
    </row>
    <row r="64" spans="1:6">
      <c r="B64" s="55" t="s">
        <v>661</v>
      </c>
      <c r="C64" s="58" t="s">
        <v>680</v>
      </c>
    </row>
    <row r="65" spans="1:6">
      <c r="B65" s="72" t="s">
        <v>330</v>
      </c>
      <c r="C65" s="73">
        <v>12</v>
      </c>
    </row>
    <row r="67" spans="1:6">
      <c r="A67" s="23" t="s">
        <v>718</v>
      </c>
      <c r="B67" s="48" t="s">
        <v>650</v>
      </c>
      <c r="C67" s="23"/>
      <c r="D67" s="9"/>
      <c r="E67" s="9"/>
      <c r="F67" s="9"/>
    </row>
    <row r="69" spans="1:6">
      <c r="A69" s="22"/>
      <c r="B69" s="55" t="s">
        <v>661</v>
      </c>
      <c r="C69" s="58" t="s">
        <v>682</v>
      </c>
    </row>
    <row r="70" spans="1:6">
      <c r="B70" s="70" t="s">
        <v>330</v>
      </c>
      <c r="C70" s="84">
        <v>19163</v>
      </c>
    </row>
    <row r="71" spans="1:6">
      <c r="B71" s="80" t="s">
        <v>311</v>
      </c>
      <c r="C71" s="85">
        <v>15822</v>
      </c>
    </row>
    <row r="72" spans="1:6">
      <c r="B72" s="80" t="s">
        <v>239</v>
      </c>
      <c r="C72" s="85">
        <v>12428</v>
      </c>
    </row>
    <row r="73" spans="1:6">
      <c r="B73" s="80" t="s">
        <v>345</v>
      </c>
      <c r="C73" s="85">
        <v>12164</v>
      </c>
    </row>
    <row r="74" spans="1:6">
      <c r="B74" s="80" t="s">
        <v>351</v>
      </c>
      <c r="C74" s="85">
        <v>11827</v>
      </c>
    </row>
    <row r="75" spans="1:6">
      <c r="B75" s="80" t="s">
        <v>402</v>
      </c>
      <c r="C75" s="85">
        <v>11389</v>
      </c>
    </row>
    <row r="76" spans="1:6">
      <c r="B76" s="80" t="s">
        <v>203</v>
      </c>
      <c r="C76" s="85">
        <v>11340</v>
      </c>
    </row>
    <row r="77" spans="1:6">
      <c r="B77" s="80" t="s">
        <v>374</v>
      </c>
      <c r="C77" s="85">
        <v>11304</v>
      </c>
    </row>
    <row r="78" spans="1:6">
      <c r="B78" s="80" t="s">
        <v>59</v>
      </c>
      <c r="C78" s="85">
        <v>11157</v>
      </c>
    </row>
    <row r="79" spans="1:6">
      <c r="B79" s="80" t="s">
        <v>589</v>
      </c>
      <c r="C79" s="85">
        <v>11039</v>
      </c>
    </row>
    <row r="80" spans="1:6">
      <c r="B80" s="72" t="s">
        <v>662</v>
      </c>
      <c r="C80" s="86">
        <v>127633</v>
      </c>
    </row>
    <row r="82" spans="1:8">
      <c r="A82" s="23" t="s">
        <v>719</v>
      </c>
      <c r="B82" s="48" t="s">
        <v>651</v>
      </c>
      <c r="C82" s="23"/>
      <c r="D82" s="23"/>
      <c r="E82" s="9"/>
      <c r="F82" s="9"/>
      <c r="G82" s="9"/>
      <c r="H82" s="9"/>
    </row>
    <row r="84" spans="1:8">
      <c r="B84" s="55" t="s">
        <v>661</v>
      </c>
      <c r="C84" s="58" t="s">
        <v>680</v>
      </c>
    </row>
    <row r="85" spans="1:8">
      <c r="B85" s="72" t="s">
        <v>330</v>
      </c>
      <c r="C85" s="73">
        <v>12</v>
      </c>
    </row>
    <row r="87" spans="1:8">
      <c r="A87" s="23" t="s">
        <v>720</v>
      </c>
      <c r="B87" s="48" t="s">
        <v>652</v>
      </c>
      <c r="C87" s="23"/>
      <c r="D87" s="23"/>
      <c r="E87" s="9"/>
      <c r="F87" s="9"/>
      <c r="G87" s="9"/>
      <c r="H87" s="9"/>
    </row>
    <row r="89" spans="1:8">
      <c r="B89" s="55" t="s">
        <v>661</v>
      </c>
      <c r="C89" s="58" t="s">
        <v>684</v>
      </c>
    </row>
    <row r="90" spans="1:8">
      <c r="B90" s="21" t="s">
        <v>93</v>
      </c>
      <c r="C90" s="30">
        <v>81</v>
      </c>
    </row>
    <row r="92" spans="1:8">
      <c r="B92" s="55" t="s">
        <v>661</v>
      </c>
      <c r="C92" s="58" t="s">
        <v>683</v>
      </c>
    </row>
    <row r="93" spans="1:8">
      <c r="B93" s="72" t="s">
        <v>94</v>
      </c>
      <c r="C93" s="73">
        <v>81</v>
      </c>
    </row>
    <row r="95" spans="1:8">
      <c r="A95" s="23" t="s">
        <v>721</v>
      </c>
      <c r="B95" s="48" t="s">
        <v>653</v>
      </c>
      <c r="C95" s="23"/>
      <c r="D95" s="23"/>
      <c r="E95" s="9"/>
      <c r="F95" s="9"/>
      <c r="G95" s="9"/>
    </row>
    <row r="97" spans="1:7">
      <c r="A97" s="22"/>
      <c r="B97" s="55" t="s">
        <v>661</v>
      </c>
      <c r="C97" s="55" t="s">
        <v>669</v>
      </c>
      <c r="D97" s="57" t="s">
        <v>670</v>
      </c>
    </row>
    <row r="98" spans="1:7">
      <c r="B98" s="70" t="s">
        <v>106</v>
      </c>
      <c r="C98" s="87">
        <v>361158</v>
      </c>
      <c r="D98" s="88">
        <v>323223</v>
      </c>
    </row>
    <row r="99" spans="1:7">
      <c r="B99" s="80" t="s">
        <v>31</v>
      </c>
      <c r="C99" s="89">
        <v>2941932</v>
      </c>
      <c r="D99" s="90">
        <v>2658270</v>
      </c>
    </row>
    <row r="100" spans="1:7">
      <c r="B100" s="80" t="s">
        <v>44</v>
      </c>
      <c r="C100" s="89">
        <v>1072807</v>
      </c>
      <c r="D100" s="90">
        <v>978274</v>
      </c>
    </row>
    <row r="101" spans="1:7">
      <c r="B101" s="80" t="s">
        <v>21</v>
      </c>
      <c r="C101" s="89">
        <v>1806885</v>
      </c>
      <c r="D101" s="90">
        <v>1605084</v>
      </c>
    </row>
    <row r="102" spans="1:7">
      <c r="B102" s="80" t="s">
        <v>23</v>
      </c>
      <c r="C102" s="89">
        <v>1108094</v>
      </c>
      <c r="D102" s="90">
        <v>979076</v>
      </c>
    </row>
    <row r="103" spans="1:7">
      <c r="B103" s="80" t="s">
        <v>29</v>
      </c>
      <c r="C103" s="89">
        <v>1522483</v>
      </c>
      <c r="D103" s="90">
        <v>1332896</v>
      </c>
    </row>
    <row r="104" spans="1:7">
      <c r="B104" s="72" t="s">
        <v>662</v>
      </c>
      <c r="C104" s="91">
        <v>8813359</v>
      </c>
      <c r="D104" s="92">
        <v>7876823</v>
      </c>
    </row>
    <row r="106" spans="1:7">
      <c r="A106" s="23" t="s">
        <v>722</v>
      </c>
      <c r="B106" s="48" t="s">
        <v>638</v>
      </c>
      <c r="C106" s="23"/>
      <c r="D106" s="23"/>
      <c r="E106" s="9"/>
      <c r="F106" s="9"/>
      <c r="G106" s="9"/>
    </row>
    <row r="108" spans="1:7">
      <c r="B108" s="55" t="s">
        <v>661</v>
      </c>
      <c r="C108" s="58" t="s">
        <v>686</v>
      </c>
    </row>
    <row r="109" spans="1:7">
      <c r="B109" s="72" t="s">
        <v>687</v>
      </c>
      <c r="C109" s="73">
        <v>81</v>
      </c>
    </row>
    <row r="111" spans="1:7">
      <c r="A111" s="23" t="s">
        <v>723</v>
      </c>
      <c r="B111" s="48" t="s">
        <v>654</v>
      </c>
      <c r="C111" s="23"/>
      <c r="D111" s="9"/>
      <c r="E111" s="9"/>
      <c r="F111" s="9"/>
    </row>
    <row r="113" spans="1:7">
      <c r="B113" s="55" t="s">
        <v>661</v>
      </c>
      <c r="C113" s="58" t="s">
        <v>680</v>
      </c>
    </row>
    <row r="114" spans="1:7">
      <c r="B114" s="70" t="s">
        <v>693</v>
      </c>
      <c r="C114" s="71">
        <v>241</v>
      </c>
    </row>
    <row r="115" spans="1:7">
      <c r="B115" s="80" t="s">
        <v>692</v>
      </c>
      <c r="C115" s="93">
        <v>238</v>
      </c>
    </row>
    <row r="116" spans="1:7">
      <c r="B116" s="80" t="s">
        <v>690</v>
      </c>
      <c r="C116" s="93">
        <v>236</v>
      </c>
    </row>
    <row r="117" spans="1:7">
      <c r="B117" s="80" t="s">
        <v>694</v>
      </c>
      <c r="C117" s="93">
        <v>230</v>
      </c>
    </row>
    <row r="118" spans="1:7">
      <c r="B118" s="80" t="s">
        <v>691</v>
      </c>
      <c r="C118" s="93">
        <v>225</v>
      </c>
    </row>
    <row r="119" spans="1:7">
      <c r="B119" s="80" t="s">
        <v>696</v>
      </c>
      <c r="C119" s="93">
        <v>215</v>
      </c>
    </row>
    <row r="120" spans="1:7">
      <c r="B120" s="80" t="s">
        <v>695</v>
      </c>
      <c r="C120" s="93">
        <v>215</v>
      </c>
    </row>
    <row r="121" spans="1:7">
      <c r="B121" s="94" t="s">
        <v>697</v>
      </c>
      <c r="C121" s="95">
        <v>208</v>
      </c>
    </row>
    <row r="124" spans="1:7">
      <c r="A124" s="23" t="s">
        <v>724</v>
      </c>
      <c r="B124" s="48" t="s">
        <v>655</v>
      </c>
      <c r="C124" s="23"/>
      <c r="D124" s="23"/>
      <c r="E124" s="9"/>
      <c r="F124" s="9"/>
      <c r="G124" s="9"/>
    </row>
    <row r="126" spans="1:7">
      <c r="B126" s="55" t="s">
        <v>661</v>
      </c>
      <c r="C126" s="58" t="s">
        <v>689</v>
      </c>
    </row>
    <row r="127" spans="1:7">
      <c r="B127" s="70" t="s">
        <v>690</v>
      </c>
      <c r="C127" s="71">
        <v>485</v>
      </c>
    </row>
    <row r="128" spans="1:7">
      <c r="B128" s="80" t="s">
        <v>691</v>
      </c>
      <c r="C128" s="93">
        <v>460</v>
      </c>
    </row>
    <row r="129" spans="1:8">
      <c r="B129" s="80" t="s">
        <v>692</v>
      </c>
      <c r="C129" s="93">
        <v>456</v>
      </c>
    </row>
    <row r="130" spans="1:8">
      <c r="B130" s="80" t="s">
        <v>693</v>
      </c>
      <c r="C130" s="93">
        <v>452</v>
      </c>
    </row>
    <row r="131" spans="1:8">
      <c r="B131" s="80" t="s">
        <v>694</v>
      </c>
      <c r="C131" s="93">
        <v>452</v>
      </c>
    </row>
    <row r="132" spans="1:8">
      <c r="B132" s="80" t="s">
        <v>695</v>
      </c>
      <c r="C132" s="93">
        <v>439</v>
      </c>
    </row>
    <row r="133" spans="1:8">
      <c r="B133" s="80" t="s">
        <v>696</v>
      </c>
      <c r="C133" s="93">
        <v>436</v>
      </c>
    </row>
    <row r="134" spans="1:8">
      <c r="B134" s="80" t="s">
        <v>697</v>
      </c>
      <c r="C134" s="93">
        <v>405</v>
      </c>
    </row>
    <row r="135" spans="1:8">
      <c r="B135" s="72" t="s">
        <v>662</v>
      </c>
      <c r="C135" s="73">
        <v>3585</v>
      </c>
    </row>
    <row r="138" spans="1:8">
      <c r="A138" s="23" t="s">
        <v>725</v>
      </c>
      <c r="B138" s="48" t="s">
        <v>640</v>
      </c>
      <c r="C138" s="23"/>
      <c r="D138" s="23"/>
      <c r="E138" s="9"/>
      <c r="F138" s="9"/>
      <c r="G138" s="9"/>
      <c r="H138" s="9"/>
    </row>
    <row r="140" spans="1:8">
      <c r="B140" s="55" t="s">
        <v>661</v>
      </c>
      <c r="C140" s="58" t="s">
        <v>698</v>
      </c>
    </row>
    <row r="141" spans="1:8">
      <c r="B141" s="70" t="s">
        <v>692</v>
      </c>
      <c r="C141" s="79">
        <v>4030.705882352941</v>
      </c>
    </row>
    <row r="142" spans="1:8">
      <c r="B142" s="80" t="s">
        <v>695</v>
      </c>
      <c r="C142" s="81">
        <v>4253.4325581395351</v>
      </c>
    </row>
    <row r="143" spans="1:8">
      <c r="B143" s="80" t="s">
        <v>691</v>
      </c>
      <c r="C143" s="81">
        <v>4254.1466666666665</v>
      </c>
    </row>
    <row r="144" spans="1:8">
      <c r="B144" s="80" t="s">
        <v>694</v>
      </c>
      <c r="C144" s="81">
        <v>4284.0739130434786</v>
      </c>
    </row>
    <row r="145" spans="1:15">
      <c r="B145" s="80" t="s">
        <v>693</v>
      </c>
      <c r="C145" s="81">
        <v>4324.2157676348552</v>
      </c>
    </row>
    <row r="146" spans="1:15">
      <c r="B146" s="80" t="s">
        <v>697</v>
      </c>
      <c r="C146" s="81">
        <v>4403.3894230769229</v>
      </c>
    </row>
    <row r="147" spans="1:15">
      <c r="B147" s="80" t="s">
        <v>696</v>
      </c>
      <c r="C147" s="81">
        <v>4446.6651162790695</v>
      </c>
    </row>
    <row r="148" spans="1:15">
      <c r="B148" s="80" t="s">
        <v>690</v>
      </c>
      <c r="C148" s="81">
        <v>4857.7669491525421</v>
      </c>
    </row>
    <row r="149" spans="1:15">
      <c r="B149" s="72" t="s">
        <v>662</v>
      </c>
      <c r="C149" s="82">
        <v>4356.649889380531</v>
      </c>
    </row>
    <row r="152" spans="1:15">
      <c r="A152" s="23" t="s">
        <v>726</v>
      </c>
      <c r="B152" s="48" t="s">
        <v>656</v>
      </c>
      <c r="C152" s="23"/>
      <c r="D152" s="23"/>
      <c r="E152" s="23"/>
      <c r="F152" s="23"/>
      <c r="G152" s="23"/>
      <c r="H152" s="9"/>
      <c r="I152" s="9"/>
      <c r="J152" s="9"/>
      <c r="K152" s="9"/>
      <c r="L152" s="8"/>
      <c r="M152" s="4"/>
    </row>
    <row r="155" spans="1:15">
      <c r="B155" s="55" t="s">
        <v>704</v>
      </c>
      <c r="C155" s="55" t="s">
        <v>705</v>
      </c>
      <c r="D155" s="56"/>
      <c r="M155" s="18" t="s">
        <v>661</v>
      </c>
      <c r="N155" s="18" t="s">
        <v>701</v>
      </c>
      <c r="O155" s="24" t="s">
        <v>663</v>
      </c>
    </row>
    <row r="156" spans="1:15">
      <c r="B156" s="55" t="s">
        <v>661</v>
      </c>
      <c r="C156" s="55" t="s">
        <v>703</v>
      </c>
      <c r="D156" s="57" t="s">
        <v>702</v>
      </c>
      <c r="M156" s="19">
        <v>1</v>
      </c>
      <c r="N156" s="31">
        <v>0.64509394572025047</v>
      </c>
      <c r="O156" s="32">
        <v>4.1255230125523017</v>
      </c>
    </row>
    <row r="157" spans="1:15">
      <c r="B157" s="70">
        <v>2</v>
      </c>
      <c r="C157" s="87">
        <v>54</v>
      </c>
      <c r="D157" s="88">
        <v>827</v>
      </c>
      <c r="M157" s="20">
        <v>2</v>
      </c>
      <c r="N157" s="34">
        <v>2.1566401816118046</v>
      </c>
      <c r="O157" s="33">
        <v>4.2667423382519862</v>
      </c>
    </row>
    <row r="158" spans="1:15">
      <c r="B158" s="80">
        <v>1</v>
      </c>
      <c r="C158" s="89">
        <v>28</v>
      </c>
      <c r="D158" s="90">
        <v>451</v>
      </c>
      <c r="M158" s="28">
        <v>3</v>
      </c>
      <c r="N158" s="35">
        <v>3.3995535714285716</v>
      </c>
      <c r="O158" s="36">
        <v>4.3102678571428568</v>
      </c>
    </row>
    <row r="159" spans="1:15">
      <c r="B159" s="94">
        <v>3</v>
      </c>
      <c r="C159" s="96">
        <v>23</v>
      </c>
      <c r="D159" s="97">
        <v>425</v>
      </c>
    </row>
    <row r="166" spans="1:10">
      <c r="A166" s="23" t="s">
        <v>727</v>
      </c>
      <c r="B166" s="48" t="s">
        <v>657</v>
      </c>
      <c r="C166" s="23"/>
      <c r="D166" s="23"/>
      <c r="E166" s="23"/>
      <c r="F166" s="9"/>
      <c r="G166" s="9"/>
      <c r="H166" s="9"/>
      <c r="I166" s="9"/>
      <c r="J166" s="9"/>
    </row>
    <row r="168" spans="1:10">
      <c r="B168" s="55" t="s">
        <v>668</v>
      </c>
      <c r="C168" s="55" t="s">
        <v>705</v>
      </c>
      <c r="D168" s="56"/>
    </row>
    <row r="169" spans="1:10">
      <c r="B169" s="55" t="s">
        <v>661</v>
      </c>
      <c r="C169" s="55" t="s">
        <v>703</v>
      </c>
      <c r="D169" s="57" t="s">
        <v>702</v>
      </c>
    </row>
    <row r="170" spans="1:10">
      <c r="B170" s="70">
        <v>1</v>
      </c>
      <c r="C170" s="87">
        <v>8</v>
      </c>
      <c r="D170" s="88">
        <v>172</v>
      </c>
    </row>
    <row r="171" spans="1:10">
      <c r="B171" s="80">
        <v>2</v>
      </c>
      <c r="C171" s="89">
        <v>10</v>
      </c>
      <c r="D171" s="90">
        <v>186</v>
      </c>
    </row>
    <row r="172" spans="1:10">
      <c r="B172" s="80">
        <v>3</v>
      </c>
      <c r="C172" s="89">
        <v>7</v>
      </c>
      <c r="D172" s="90">
        <v>164</v>
      </c>
    </row>
    <row r="173" spans="1:10">
      <c r="B173" s="80">
        <v>4</v>
      </c>
      <c r="C173" s="89">
        <v>9</v>
      </c>
      <c r="D173" s="90">
        <v>168</v>
      </c>
    </row>
    <row r="174" spans="1:10">
      <c r="B174" s="80">
        <v>5</v>
      </c>
      <c r="C174" s="89">
        <v>20</v>
      </c>
      <c r="D174" s="90">
        <v>170</v>
      </c>
    </row>
    <row r="175" spans="1:10">
      <c r="B175" s="80">
        <v>6</v>
      </c>
      <c r="C175" s="89">
        <v>18</v>
      </c>
      <c r="D175" s="90">
        <v>177</v>
      </c>
    </row>
    <row r="176" spans="1:10">
      <c r="B176" s="80">
        <v>7</v>
      </c>
      <c r="C176" s="89">
        <v>9</v>
      </c>
      <c r="D176" s="90">
        <v>170</v>
      </c>
    </row>
    <row r="177" spans="1:8">
      <c r="B177" s="80">
        <v>8</v>
      </c>
      <c r="C177" s="89">
        <v>7</v>
      </c>
      <c r="D177" s="90">
        <v>171</v>
      </c>
    </row>
    <row r="178" spans="1:8">
      <c r="B178" s="80">
        <v>9</v>
      </c>
      <c r="C178" s="89">
        <v>9</v>
      </c>
      <c r="D178" s="90">
        <v>156</v>
      </c>
    </row>
    <row r="179" spans="1:8">
      <c r="B179" s="94">
        <v>10</v>
      </c>
      <c r="C179" s="96">
        <v>8</v>
      </c>
      <c r="D179" s="97">
        <v>169</v>
      </c>
    </row>
    <row r="182" spans="1:8">
      <c r="A182" s="47" t="s">
        <v>728</v>
      </c>
      <c r="B182" s="50" t="s">
        <v>658</v>
      </c>
      <c r="C182" s="52"/>
      <c r="D182" s="52"/>
      <c r="E182" s="43"/>
      <c r="F182" s="43"/>
      <c r="G182" s="43"/>
      <c r="H182" s="43"/>
    </row>
    <row r="184" spans="1:8">
      <c r="B184" s="55" t="s">
        <v>680</v>
      </c>
      <c r="C184" s="55" t="s">
        <v>705</v>
      </c>
      <c r="D184" s="56"/>
    </row>
    <row r="185" spans="1:8">
      <c r="B185" s="55" t="s">
        <v>661</v>
      </c>
      <c r="C185" s="55" t="s">
        <v>703</v>
      </c>
      <c r="D185" s="57" t="s">
        <v>702</v>
      </c>
    </row>
    <row r="186" spans="1:8">
      <c r="B186" s="70">
        <v>2</v>
      </c>
      <c r="C186" s="87">
        <v>54</v>
      </c>
      <c r="D186" s="88">
        <v>827</v>
      </c>
    </row>
    <row r="187" spans="1:8">
      <c r="B187" s="80">
        <v>1</v>
      </c>
      <c r="C187" s="89">
        <v>28</v>
      </c>
      <c r="D187" s="90">
        <v>451</v>
      </c>
    </row>
    <row r="188" spans="1:8">
      <c r="B188" s="94">
        <v>3</v>
      </c>
      <c r="C188" s="96">
        <v>23</v>
      </c>
      <c r="D188" s="97">
        <v>425</v>
      </c>
    </row>
    <row r="190" spans="1:8" ht="18">
      <c r="B190" s="53" t="s">
        <v>706</v>
      </c>
      <c r="C190" s="54"/>
      <c r="D190" s="54"/>
    </row>
  </sheetData>
  <pageMargins left="0.7" right="0.7" top="0.75" bottom="0.75" header="0.3" footer="0.3"/>
  <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Data</vt:lpstr>
      <vt:lpstr>insides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Chitranjan Adlak</cp:lastModifiedBy>
  <dcterms:created xsi:type="dcterms:W3CDTF">2021-01-13T10:55:01Z</dcterms:created>
  <dcterms:modified xsi:type="dcterms:W3CDTF">2025-11-22T16:55:30Z</dcterms:modified>
  <cp:category/>
</cp:coreProperties>
</file>